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51196F13-6AD0-C1B8-E2B4-A1F9AE17003E}"/>
  <workbookPr updateLinks="never" codeName="ThisWorkbook" defaultThemeVersion="166925"/>
  <mc:AlternateContent xmlns:mc="http://schemas.openxmlformats.org/markup-compatibility/2006">
    <mc:Choice Requires="x15">
      <x15ac:absPath xmlns:x15ac="http://schemas.microsoft.com/office/spreadsheetml/2010/11/ac" url="/Users/josh/Dropbox/Desktop/JT Current/POs and Cashflow/DSV Processing Files/Scripts/"/>
    </mc:Choice>
  </mc:AlternateContent>
  <xr:revisionPtr revIDLastSave="0" documentId="13_ncr:1_{269721F0-0BA7-8847-8514-B851DB189AE8}" xr6:coauthVersionLast="36" xr6:coauthVersionMax="45" xr10:uidLastSave="{00000000-0000-0000-0000-000000000000}"/>
  <bookViews>
    <workbookView xWindow="1120" yWindow="2300" windowWidth="22720" windowHeight="12340" xr2:uid="{00000000-000D-0000-FFFF-FFFF00000000}"/>
  </bookViews>
  <sheets>
    <sheet name="Master" sheetId="1" r:id="rId1"/>
    <sheet name="Setup" sheetId="10" r:id="rId2"/>
    <sheet name="Fanatics" sheetId="2" r:id="rId3"/>
    <sheet name="Target" sheetId="3" r:id="rId4"/>
    <sheet name="Groupon" sheetId="4" r:id="rId5"/>
    <sheet name="BBB" sheetId="20" r:id="rId6"/>
    <sheet name="ShopHQ" sheetId="22" r:id="rId7"/>
    <sheet name="HSN" sheetId="7" r:id="rId8"/>
    <sheet name="Hibbits" sheetId="23" r:id="rId9"/>
    <sheet name="Belk" sheetId="21" r:id="rId10"/>
    <sheet name="Walmart" sheetId="14" r:id="rId11"/>
  </sheets>
  <functionGroups builtInGroupCount="19"/>
  <externalReferences>
    <externalReference r:id="rId12"/>
    <externalReference r:id="rId13"/>
  </externalReferences>
  <definedNames>
    <definedName name="_xlnm._FilterDatabase" localSheetId="9" hidden="1">Belk!$A$3:$IV$134</definedName>
    <definedName name="_xlnm._FilterDatabase" localSheetId="2" hidden="1">Fanatics!$A$1:$J$554</definedName>
    <definedName name="_xlnm._FilterDatabase" localSheetId="0" hidden="1">Master!$A$2:$K$1206</definedName>
    <definedName name="Class" localSheetId="9">[1]Assortment!$B$144:$B$150</definedName>
    <definedName name="Class">[2]Assortment!$B$144:$B$150</definedName>
    <definedName name="Classes" localSheetId="9">[1]Assortment!$B$143:$B$150</definedName>
    <definedName name="Classes">[2]Assortment!$B$143:$B$150</definedName>
    <definedName name="_xlnm.Print_Area" localSheetId="1">Setup!$I$2:$I$30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14" i="4" l="1"/>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calcChain>
</file>

<file path=xl/sharedStrings.xml><?xml version="1.0" encoding="utf-8"?>
<sst xmlns="http://schemas.openxmlformats.org/spreadsheetml/2006/main" count="12994" uniqueCount="1954">
  <si>
    <t>SKU</t>
  </si>
  <si>
    <t>FSWB055</t>
  </si>
  <si>
    <t>FSWB125</t>
  </si>
  <si>
    <t>FCYB020</t>
  </si>
  <si>
    <t>CLWB13</t>
  </si>
  <si>
    <t>CSWB13</t>
  </si>
  <si>
    <t>FLWB075</t>
  </si>
  <si>
    <t>FCYB150</t>
  </si>
  <si>
    <t>FCYB035</t>
  </si>
  <si>
    <t>FSWB075</t>
  </si>
  <si>
    <t>FLWB130</t>
  </si>
  <si>
    <t>FCYB130</t>
  </si>
  <si>
    <t>FCYB070</t>
  </si>
  <si>
    <t>FCYB060</t>
  </si>
  <si>
    <t>CSWB4</t>
  </si>
  <si>
    <t>CLWB69</t>
  </si>
  <si>
    <t>CSWB9</t>
  </si>
  <si>
    <t>CLWB9</t>
  </si>
  <si>
    <t>FCYB175</t>
  </si>
  <si>
    <t>FCYB185</t>
  </si>
  <si>
    <t>FCYB025</t>
  </si>
  <si>
    <t>FCYB090</t>
  </si>
  <si>
    <t>CSWB53</t>
  </si>
  <si>
    <t>CLWB26</t>
  </si>
  <si>
    <t>CLWB10</t>
  </si>
  <si>
    <t>FLWB160</t>
  </si>
  <si>
    <t>FSWB120</t>
  </si>
  <si>
    <t>FLWB125</t>
  </si>
  <si>
    <t>CCYB38</t>
  </si>
  <si>
    <t>FSWB115</t>
  </si>
  <si>
    <t>FCYB155</t>
  </si>
  <si>
    <t>FSWB170</t>
  </si>
  <si>
    <t>FCYB010</t>
  </si>
  <si>
    <t>FCYB165</t>
  </si>
  <si>
    <t>FLWB115</t>
  </si>
  <si>
    <t>FCYB180</t>
  </si>
  <si>
    <t>FCYB135</t>
  </si>
  <si>
    <t>FLWB070</t>
  </si>
  <si>
    <t>FCYB015</t>
  </si>
  <si>
    <t>FLWB060</t>
  </si>
  <si>
    <t>FLWB120</t>
  </si>
  <si>
    <t>CSWB48</t>
  </si>
  <si>
    <t>BCYB005</t>
  </si>
  <si>
    <t>BCYB010</t>
  </si>
  <si>
    <t>BCYB025</t>
  </si>
  <si>
    <t>BCYB035</t>
  </si>
  <si>
    <t>BCYB040</t>
  </si>
  <si>
    <t>BCYB060</t>
  </si>
  <si>
    <t>BCYB080</t>
  </si>
  <si>
    <t>BCYB085</t>
  </si>
  <si>
    <t>BCYB095</t>
  </si>
  <si>
    <t>BCYB100</t>
  </si>
  <si>
    <t>BCYB105</t>
  </si>
  <si>
    <t>BCYB110</t>
  </si>
  <si>
    <t>BCYB125</t>
  </si>
  <si>
    <t>BCYB135</t>
  </si>
  <si>
    <t>BCYB145</t>
  </si>
  <si>
    <t>BCYB165</t>
  </si>
  <si>
    <t>CLWB22</t>
  </si>
  <si>
    <t>CLWB25</t>
  </si>
  <si>
    <t>CLWB3</t>
  </si>
  <si>
    <t>CLWB35</t>
  </si>
  <si>
    <t>CLWB38</t>
  </si>
  <si>
    <t>CLWB4</t>
  </si>
  <si>
    <t>CLWB42</t>
  </si>
  <si>
    <t>CLWB43</t>
  </si>
  <si>
    <t>CLWB48</t>
  </si>
  <si>
    <t>CLWB5</t>
  </si>
  <si>
    <t>CLWB50</t>
  </si>
  <si>
    <t>CLWB53</t>
  </si>
  <si>
    <t>CLWB6</t>
  </si>
  <si>
    <t>CLWB63</t>
  </si>
  <si>
    <t>CLWB7</t>
  </si>
  <si>
    <t>CSWB10</t>
  </si>
  <si>
    <t>CSWB22</t>
  </si>
  <si>
    <t>CSWB25</t>
  </si>
  <si>
    <t>CSWB26</t>
  </si>
  <si>
    <t>CSWB3</t>
  </si>
  <si>
    <t>CSWB35</t>
  </si>
  <si>
    <t>CSWB41</t>
  </si>
  <si>
    <t>CSWB42</t>
  </si>
  <si>
    <t>CSWB43</t>
  </si>
  <si>
    <t>CSWB5</t>
  </si>
  <si>
    <t>CSWB50</t>
  </si>
  <si>
    <t>CSWB6</t>
  </si>
  <si>
    <t>CSWB63</t>
  </si>
  <si>
    <t>CSWB69</t>
  </si>
  <si>
    <t>CSWB7</t>
  </si>
  <si>
    <t>FCYB005</t>
  </si>
  <si>
    <t>FCYB030</t>
  </si>
  <si>
    <t>FCYB040</t>
  </si>
  <si>
    <t>FCYB045</t>
  </si>
  <si>
    <t>FCYB050</t>
  </si>
  <si>
    <t>FCYB100</t>
  </si>
  <si>
    <t>FCYB115</t>
  </si>
  <si>
    <t>FCYB170</t>
  </si>
  <si>
    <t>FCYB190</t>
  </si>
  <si>
    <t>FLWB005</t>
  </si>
  <si>
    <t>FLWB020</t>
  </si>
  <si>
    <t>FLWB055</t>
  </si>
  <si>
    <t>FLWB090</t>
  </si>
  <si>
    <t>FLWB155</t>
  </si>
  <si>
    <t>FLWB170</t>
  </si>
  <si>
    <t>FLWB180</t>
  </si>
  <si>
    <t>FN030</t>
  </si>
  <si>
    <t>FN035</t>
  </si>
  <si>
    <t>FN100</t>
  </si>
  <si>
    <t>FN175</t>
  </si>
  <si>
    <t>FN180</t>
  </si>
  <si>
    <t>FN190</t>
  </si>
  <si>
    <t>FPCC005</t>
  </si>
  <si>
    <t>FPCC015</t>
  </si>
  <si>
    <t>FPCC035</t>
  </si>
  <si>
    <t>FPCC045</t>
  </si>
  <si>
    <t>FPCC050</t>
  </si>
  <si>
    <t>FPCC070</t>
  </si>
  <si>
    <t>FPCC100</t>
  </si>
  <si>
    <t>FPCC115</t>
  </si>
  <si>
    <t>FPCC125</t>
  </si>
  <si>
    <t>FPCC155</t>
  </si>
  <si>
    <t>FPCC190</t>
  </si>
  <si>
    <t>FSWB005</t>
  </si>
  <si>
    <t>FSWB020</t>
  </si>
  <si>
    <t>FSWB060</t>
  </si>
  <si>
    <t>FSWB065</t>
  </si>
  <si>
    <t>FSWB070</t>
  </si>
  <si>
    <t>FSWB090</t>
  </si>
  <si>
    <t>FSWB130</t>
  </si>
  <si>
    <t>FSWB180</t>
  </si>
  <si>
    <t>HCYB10</t>
  </si>
  <si>
    <t>HCYB100</t>
  </si>
  <si>
    <t>HCYB105</t>
  </si>
  <si>
    <t>HCYB110</t>
  </si>
  <si>
    <t>HCYB115</t>
  </si>
  <si>
    <t>HCYB120</t>
  </si>
  <si>
    <t>HCYB150</t>
  </si>
  <si>
    <t>HCYB155</t>
  </si>
  <si>
    <t>HCYB20</t>
  </si>
  <si>
    <t>HCYB30</t>
  </si>
  <si>
    <t>HCYB35</t>
  </si>
  <si>
    <t>HCYB50</t>
  </si>
  <si>
    <t>HCYB60</t>
  </si>
  <si>
    <t>HCYB65</t>
  </si>
  <si>
    <t>HCYB70</t>
  </si>
  <si>
    <t>HCYB85</t>
  </si>
  <si>
    <t>HCYB90</t>
  </si>
  <si>
    <t>FLWB065</t>
  </si>
  <si>
    <t>FSWB155</t>
  </si>
  <si>
    <t>FSWB160</t>
  </si>
  <si>
    <t>BCYB130</t>
  </si>
  <si>
    <t>FDE065</t>
  </si>
  <si>
    <t>FDE055</t>
  </si>
  <si>
    <t>FDE160</t>
  </si>
  <si>
    <t>FDE120</t>
  </si>
  <si>
    <t>FDE155</t>
  </si>
  <si>
    <t>C38-113-SW1</t>
  </si>
  <si>
    <t>C-101-AP1</t>
  </si>
  <si>
    <t>C-101-AP2</t>
  </si>
  <si>
    <t>C-103-AP1</t>
  </si>
  <si>
    <t>C-107-AP1</t>
  </si>
  <si>
    <t>C-109-AP1</t>
  </si>
  <si>
    <t>C-112-AP1</t>
  </si>
  <si>
    <t>C-113-AP1</t>
  </si>
  <si>
    <t>C-114-AP1</t>
  </si>
  <si>
    <t>C-115-AP1</t>
  </si>
  <si>
    <t>C-116-AP1</t>
  </si>
  <si>
    <t>C-116-AP2</t>
  </si>
  <si>
    <t>C-118-AP1</t>
  </si>
  <si>
    <t>C-118-AP2</t>
  </si>
  <si>
    <t>C-121-AP1</t>
  </si>
  <si>
    <t>C-122-AP1</t>
  </si>
  <si>
    <t>C-125-AP1</t>
  </si>
  <si>
    <t>C-125-AP2</t>
  </si>
  <si>
    <t>C-127-AP1</t>
  </si>
  <si>
    <t>C-129-AP1</t>
  </si>
  <si>
    <t>C-132-AP1</t>
  </si>
  <si>
    <t>C-133-AP1</t>
  </si>
  <si>
    <t>C-133-AP2</t>
  </si>
  <si>
    <t>C-135-AP1</t>
  </si>
  <si>
    <t>C-135-AP2</t>
  </si>
  <si>
    <t>C-137-AP1</t>
  </si>
  <si>
    <t>C-145-AP1</t>
  </si>
  <si>
    <t>C-147-AP1</t>
  </si>
  <si>
    <t>C-147-AP2</t>
  </si>
  <si>
    <t>C-149-AP1</t>
  </si>
  <si>
    <t>C-150-AP1</t>
  </si>
  <si>
    <t>C-153-AP1</t>
  </si>
  <si>
    <t>C-154-AP1</t>
  </si>
  <si>
    <t>C-154-AP2</t>
  </si>
  <si>
    <t>C-156-AP1</t>
  </si>
  <si>
    <t>C-157-AP1</t>
  </si>
  <si>
    <t>C-158-AP1</t>
  </si>
  <si>
    <t>C-167-AP1</t>
  </si>
  <si>
    <t>C-168-AP1</t>
  </si>
  <si>
    <t>C-172-AP1</t>
  </si>
  <si>
    <t>C-173-AP1</t>
  </si>
  <si>
    <t>C-177-AP1</t>
  </si>
  <si>
    <t>C-177-AP2</t>
  </si>
  <si>
    <t>C-178-AP1</t>
  </si>
  <si>
    <t>C-186-AP1</t>
  </si>
  <si>
    <t>C-201-AP1</t>
  </si>
  <si>
    <t>C-201-AP2</t>
  </si>
  <si>
    <t>C-203-AP1</t>
  </si>
  <si>
    <t>C-205-AP1</t>
  </si>
  <si>
    <t>C-283-AP1</t>
  </si>
  <si>
    <t>C-304-AP1</t>
  </si>
  <si>
    <t>C-313-AP1</t>
  </si>
  <si>
    <t>C-317-AP1</t>
  </si>
  <si>
    <t>C-365-AP1</t>
  </si>
  <si>
    <t>C38-101-SW2</t>
  </si>
  <si>
    <t>C38-101-SW4</t>
  </si>
  <si>
    <t>C38-102-SW1</t>
  </si>
  <si>
    <t>C38-103-SW1</t>
  </si>
  <si>
    <t>C38-107-SW1</t>
  </si>
  <si>
    <t>C38-107-SW2</t>
  </si>
  <si>
    <t>C38-109-SW1</t>
  </si>
  <si>
    <t>C38-109-SW2</t>
  </si>
  <si>
    <t>C38-110-SW1</t>
  </si>
  <si>
    <t>C38-112-SW1</t>
  </si>
  <si>
    <t>C38-114-SW1</t>
  </si>
  <si>
    <t>C38-115-SW1</t>
  </si>
  <si>
    <t>C38-116-SW1</t>
  </si>
  <si>
    <t>C38-116-SW2</t>
  </si>
  <si>
    <t>C38-116-SW3</t>
  </si>
  <si>
    <t>C38-116-SW4</t>
  </si>
  <si>
    <t>C38-117-SW1</t>
  </si>
  <si>
    <t>C38-118-SW2</t>
  </si>
  <si>
    <t>C38-118-SW3</t>
  </si>
  <si>
    <t>C38-119-SW2</t>
  </si>
  <si>
    <t>C38-121-SW2</t>
  </si>
  <si>
    <t>C38-121-SW3</t>
  </si>
  <si>
    <t>C38-122-SW1</t>
  </si>
  <si>
    <t>C38-125-SW1</t>
  </si>
  <si>
    <t>C38-125-SW2</t>
  </si>
  <si>
    <t>C38-125-SW3</t>
  </si>
  <si>
    <t>C38-127-SW1</t>
  </si>
  <si>
    <t>C38-128-SW1</t>
  </si>
  <si>
    <t>C38-129-SW1</t>
  </si>
  <si>
    <t>C38-132-SW2</t>
  </si>
  <si>
    <t>C38-133-SW1</t>
  </si>
  <si>
    <t>C38-133-SW2</t>
  </si>
  <si>
    <t>C38-133-SW3</t>
  </si>
  <si>
    <t>C38-135-SW1</t>
  </si>
  <si>
    <t>C38-135-SW2</t>
  </si>
  <si>
    <t>C38-135-SW3</t>
  </si>
  <si>
    <t>C38-136-SW1</t>
  </si>
  <si>
    <t>C38-140-SW1</t>
  </si>
  <si>
    <t>C38-147-SW1</t>
  </si>
  <si>
    <t>C38-147-SW3</t>
  </si>
  <si>
    <t>C38-149-SW1</t>
  </si>
  <si>
    <t>C38-149-SW3</t>
  </si>
  <si>
    <t>C38-150-SW1</t>
  </si>
  <si>
    <t>C38-150-SW2</t>
  </si>
  <si>
    <t>C38-152-SW1</t>
  </si>
  <si>
    <t>C38-153-SW1</t>
  </si>
  <si>
    <t>C38-154-SW1</t>
  </si>
  <si>
    <t>C38-154-SW4</t>
  </si>
  <si>
    <t>C38-155-SW1</t>
  </si>
  <si>
    <t>C38-156-SW1</t>
  </si>
  <si>
    <t>C38-156-SW2</t>
  </si>
  <si>
    <t>C38-157-SW1</t>
  </si>
  <si>
    <t>C38-157-SW3</t>
  </si>
  <si>
    <t>C38-158-SW1</t>
  </si>
  <si>
    <t>C38-161-SW2</t>
  </si>
  <si>
    <t>C38-163-SW2</t>
  </si>
  <si>
    <t>C38-168-SW1</t>
  </si>
  <si>
    <t>C38-172-SW1</t>
  </si>
  <si>
    <t>C38-173-SW2</t>
  </si>
  <si>
    <t>C38-177-SW1</t>
  </si>
  <si>
    <t>C38-177-SW2</t>
  </si>
  <si>
    <t>C38-177-SW3</t>
  </si>
  <si>
    <t>C38-178-SW1</t>
  </si>
  <si>
    <t>C38-178-SW2</t>
  </si>
  <si>
    <t>C38-182-SW1</t>
  </si>
  <si>
    <t>C38-182-SW2</t>
  </si>
  <si>
    <t>C38-186-SW1</t>
  </si>
  <si>
    <t>C38-186-SW2</t>
  </si>
  <si>
    <t>C38-201-SW1</t>
  </si>
  <si>
    <t>C38-201-SW2</t>
  </si>
  <si>
    <t>C38-203-SW1</t>
  </si>
  <si>
    <t>C38-205-SW1</t>
  </si>
  <si>
    <t>C38-207-SW1</t>
  </si>
  <si>
    <t>C38-209-SW1</t>
  </si>
  <si>
    <t>C38-233-SW1</t>
  </si>
  <si>
    <t>C38-242-SW1</t>
  </si>
  <si>
    <t>C38-267-SW1</t>
  </si>
  <si>
    <t>C38-272-SW1</t>
  </si>
  <si>
    <t>C38-277-SW1</t>
  </si>
  <si>
    <t>C38-283-SW2</t>
  </si>
  <si>
    <t>C38-304-SW2</t>
  </si>
  <si>
    <t>C38-304-SW3</t>
  </si>
  <si>
    <t>C38-317-SW1</t>
  </si>
  <si>
    <t>C38-318-SW1</t>
  </si>
  <si>
    <t>C38-365-SW1</t>
  </si>
  <si>
    <t>C42-101-SW2</t>
  </si>
  <si>
    <t>C42-101-SW4</t>
  </si>
  <si>
    <t>C42-103-SW1</t>
  </si>
  <si>
    <t>C42-107-SW1</t>
  </si>
  <si>
    <t>C42-107-SW2</t>
  </si>
  <si>
    <t>C42-109-SW1</t>
  </si>
  <si>
    <t>C42-110-SW1</t>
  </si>
  <si>
    <t>C42-112-SW1</t>
  </si>
  <si>
    <t>C42-113-SW1</t>
  </si>
  <si>
    <t>C42-114-SW1</t>
  </si>
  <si>
    <t>C42-115-SW1</t>
  </si>
  <si>
    <t>C42-116-SW1</t>
  </si>
  <si>
    <t>C42-116-SW2</t>
  </si>
  <si>
    <t>C42-116-SW3</t>
  </si>
  <si>
    <t>C42-116-SW4</t>
  </si>
  <si>
    <t>C42-117-SW1</t>
  </si>
  <si>
    <t>C42-117-SW2</t>
  </si>
  <si>
    <t>C42-118-SW2</t>
  </si>
  <si>
    <t>C42-118-SW3</t>
  </si>
  <si>
    <t>C42-119-SW2</t>
  </si>
  <si>
    <t>C42-121-SW2</t>
  </si>
  <si>
    <t>C42-121-SW3</t>
  </si>
  <si>
    <t>C42-122-SW1</t>
  </si>
  <si>
    <t>C42-125-SW1</t>
  </si>
  <si>
    <t>C42-125-SW2</t>
  </si>
  <si>
    <t>C42-125-SW3</t>
  </si>
  <si>
    <t>C42-127-SW1</t>
  </si>
  <si>
    <t>C42-128-SW1</t>
  </si>
  <si>
    <t>C42-129-SW1</t>
  </si>
  <si>
    <t>C42-132-SW2</t>
  </si>
  <si>
    <t>C42-133-SW1</t>
  </si>
  <si>
    <t>C42-133-SW2</t>
  </si>
  <si>
    <t>C42-133-SW3</t>
  </si>
  <si>
    <t>C42-135-SW1</t>
  </si>
  <si>
    <t>C42-135-SW2</t>
  </si>
  <si>
    <t>C42-136-SW1</t>
  </si>
  <si>
    <t>C42-137-SW1</t>
  </si>
  <si>
    <t>C42-140-SW1</t>
  </si>
  <si>
    <t>C42-140-SW2</t>
  </si>
  <si>
    <t>C42-142-SW1</t>
  </si>
  <si>
    <t>C42-145-SW1</t>
  </si>
  <si>
    <t>C42-145-SW2</t>
  </si>
  <si>
    <t>C42-147-SW1</t>
  </si>
  <si>
    <t>C42-147-SW3</t>
  </si>
  <si>
    <t>C42-149-SW1</t>
  </si>
  <si>
    <t>C42-149-SW2</t>
  </si>
  <si>
    <t>C42-149-SW3</t>
  </si>
  <si>
    <t>C42-150-SW1</t>
  </si>
  <si>
    <t>C42-150-SW2</t>
  </si>
  <si>
    <t>C42-151-SW1</t>
  </si>
  <si>
    <t>C42-152-SW1</t>
  </si>
  <si>
    <t>C42-153-SW1</t>
  </si>
  <si>
    <t>C42-154-SW1</t>
  </si>
  <si>
    <t>C42-154-SW3</t>
  </si>
  <si>
    <t>C42-154-SW4</t>
  </si>
  <si>
    <t>C42-155-SW1</t>
  </si>
  <si>
    <t>C42-156-SW1</t>
  </si>
  <si>
    <t>C42-156-SW2</t>
  </si>
  <si>
    <t>C42-157-SW1</t>
  </si>
  <si>
    <t>C42-157-SW3</t>
  </si>
  <si>
    <t>C42-158-SW1</t>
  </si>
  <si>
    <t>C42-161-SW2</t>
  </si>
  <si>
    <t>C42-162-SW1</t>
  </si>
  <si>
    <t>C42-163-SW2</t>
  </si>
  <si>
    <t>C42-167-SW1</t>
  </si>
  <si>
    <t>C42-168-SW1</t>
  </si>
  <si>
    <t>C42-172-SW1</t>
  </si>
  <si>
    <t>C42-173-SW2</t>
  </si>
  <si>
    <t>C42-177-SW1</t>
  </si>
  <si>
    <t>C42-177-SW2</t>
  </si>
  <si>
    <t>C42-177-SW3</t>
  </si>
  <si>
    <t>C42-178-SW1</t>
  </si>
  <si>
    <t>C42-178-SW2</t>
  </si>
  <si>
    <t>C42-182-SW1</t>
  </si>
  <si>
    <t>C42-182-SW2</t>
  </si>
  <si>
    <t>C42-186-SW2</t>
  </si>
  <si>
    <t>C42-194-SW1</t>
  </si>
  <si>
    <t>C42-200-SW1</t>
  </si>
  <si>
    <t>C42-201-SW1</t>
  </si>
  <si>
    <t>C42-201-SW2</t>
  </si>
  <si>
    <t>C42-203-SW1</t>
  </si>
  <si>
    <t>C42-205-SW1</t>
  </si>
  <si>
    <t>C42-207-SW1</t>
  </si>
  <si>
    <t>C42-209-SW1</t>
  </si>
  <si>
    <t>C42-233-SW1</t>
  </si>
  <si>
    <t>C42-242-SW1</t>
  </si>
  <si>
    <t>C42-267-SW1</t>
  </si>
  <si>
    <t>C42-268-SW1</t>
  </si>
  <si>
    <t>C42-272-SW1</t>
  </si>
  <si>
    <t>C42-277-SW1</t>
  </si>
  <si>
    <t>C42-280-SW1</t>
  </si>
  <si>
    <t>C42-283-SW2</t>
  </si>
  <si>
    <t>C42-304-SW2</t>
  </si>
  <si>
    <t>C42-304-SW3</t>
  </si>
  <si>
    <t>C42-317-SW1</t>
  </si>
  <si>
    <t>C42-318-SW1</t>
  </si>
  <si>
    <t>C42-365-SW1</t>
  </si>
  <si>
    <t>C42-376-SW1</t>
  </si>
  <si>
    <t>NFL38-01-AW1</t>
  </si>
  <si>
    <t>NFL38-02-AW1</t>
  </si>
  <si>
    <t>NFL38-03-AW1</t>
  </si>
  <si>
    <t>NFL38-04-AW1</t>
  </si>
  <si>
    <t>NFL38-05-AW1</t>
  </si>
  <si>
    <t>NFL38-06-AW1</t>
  </si>
  <si>
    <t>NFL38-07-AW1</t>
  </si>
  <si>
    <t>NFL38-08-AW1</t>
  </si>
  <si>
    <t>NFL38-09-AW1</t>
  </si>
  <si>
    <t>NFL38-09-AW2</t>
  </si>
  <si>
    <t>NFL38-10-AW1</t>
  </si>
  <si>
    <t>NFL38-11-AW1</t>
  </si>
  <si>
    <t>NFL38-12-AW1</t>
  </si>
  <si>
    <t>NFL38-13-AW1</t>
  </si>
  <si>
    <t>NFL38-14-AW1</t>
  </si>
  <si>
    <t>NFL38-15-AW1</t>
  </si>
  <si>
    <t>NFL38-16-AW1</t>
  </si>
  <si>
    <t>NFL38-19-AW1</t>
  </si>
  <si>
    <t>NFL38-20-AW1</t>
  </si>
  <si>
    <t>NFL38-21-AW1</t>
  </si>
  <si>
    <t>NFL38-21-AW2</t>
  </si>
  <si>
    <t>NFL38-22-AW1</t>
  </si>
  <si>
    <t>NFL38-23-AW1</t>
  </si>
  <si>
    <t>NFL38-24-AW1</t>
  </si>
  <si>
    <t>NFL38-25-AW1</t>
  </si>
  <si>
    <t>NFL38-26-AW1</t>
  </si>
  <si>
    <t>NFL38-27-AW1</t>
  </si>
  <si>
    <t>NFL38-28-AW1</t>
  </si>
  <si>
    <t>NFL38-29-AW1</t>
  </si>
  <si>
    <t>NFL38-31-AW1</t>
  </si>
  <si>
    <t>NFL38-32-AW1</t>
  </si>
  <si>
    <t>NFL42-01-AW1</t>
  </si>
  <si>
    <t>NFL42-02-AW1</t>
  </si>
  <si>
    <t>NFL42-03-AW1</t>
  </si>
  <si>
    <t>NFL42-04-AW1</t>
  </si>
  <si>
    <t>NFL42-05-AW1</t>
  </si>
  <si>
    <t>NFL42-06-AW1</t>
  </si>
  <si>
    <t>NFL42-07-AW1</t>
  </si>
  <si>
    <t>NFL42-08-AW1</t>
  </si>
  <si>
    <t>NFL42-09-AW1</t>
  </si>
  <si>
    <t>NFL42-09-AW2</t>
  </si>
  <si>
    <t>NFL42-10-AW1</t>
  </si>
  <si>
    <t>NFL42-12-AW1</t>
  </si>
  <si>
    <t>NFL42-13-AW1</t>
  </si>
  <si>
    <t>NFL42-14-AW1</t>
  </si>
  <si>
    <t>NFL42-15-AW1</t>
  </si>
  <si>
    <t>NFL42-16-AW1</t>
  </si>
  <si>
    <t>NFL42-17-AW1</t>
  </si>
  <si>
    <t>NFL42-18-AW1</t>
  </si>
  <si>
    <t>NFL42-19-AW1</t>
  </si>
  <si>
    <t>NFL42-20-AW1</t>
  </si>
  <si>
    <t>NFL42-21-AW1</t>
  </si>
  <si>
    <t>NFL42-21-AW2</t>
  </si>
  <si>
    <t>NFL42-22-AW1</t>
  </si>
  <si>
    <t>NFL42-23-AW1</t>
  </si>
  <si>
    <t>NFL42-24-AW1</t>
  </si>
  <si>
    <t>NFL42-25-AW1</t>
  </si>
  <si>
    <t>NFL42-26-AW1</t>
  </si>
  <si>
    <t>NFL42-27-AW1</t>
  </si>
  <si>
    <t>NFL42-28-AW1</t>
  </si>
  <si>
    <t>NFL42-29-AW1</t>
  </si>
  <si>
    <t>NFL42-30-AW1</t>
  </si>
  <si>
    <t>NFL42-31-AW1</t>
  </si>
  <si>
    <t>NFL42-32-AW1</t>
  </si>
  <si>
    <t>NHL38-01-AW1</t>
  </si>
  <si>
    <t>NHL38-03-AW1</t>
  </si>
  <si>
    <t>NHL38-10-AW1</t>
  </si>
  <si>
    <t>NHL38-11-AW1</t>
  </si>
  <si>
    <t>NHL38-14-AW1</t>
  </si>
  <si>
    <t>NHL38-20-AW1</t>
  </si>
  <si>
    <t>NHL38-23-AW1</t>
  </si>
  <si>
    <t>NHL38-24-AW1</t>
  </si>
  <si>
    <t>NHL38-26-AW1</t>
  </si>
  <si>
    <t>NHL38-29-AW1</t>
  </si>
  <si>
    <t>NHL38-30-AW1</t>
  </si>
  <si>
    <t>NHL42-03-AW1</t>
  </si>
  <si>
    <t>NHL42-08-AW1</t>
  </si>
  <si>
    <t>NHL42-10-AW1</t>
  </si>
  <si>
    <t>NHL42-11-AW1</t>
  </si>
  <si>
    <t>NHL42-14-AW1</t>
  </si>
  <si>
    <t>NHL42-20-AW1</t>
  </si>
  <si>
    <t>NHL42-22-AW1</t>
  </si>
  <si>
    <t>NHL42-23-AW1</t>
  </si>
  <si>
    <t>NHL42-24-AW1</t>
  </si>
  <si>
    <t>NHL42-26-AW1</t>
  </si>
  <si>
    <t>NHL42-27-AW1</t>
  </si>
  <si>
    <t>NHL42-29-AW1</t>
  </si>
  <si>
    <t>NHL42-30-AW1</t>
  </si>
  <si>
    <t>FBRM055</t>
  </si>
  <si>
    <t>FBRM120</t>
  </si>
  <si>
    <t>FBRM065</t>
  </si>
  <si>
    <t>FBRM160</t>
  </si>
  <si>
    <t>FBRM155</t>
  </si>
  <si>
    <t>FDE005</t>
  </si>
  <si>
    <t>FDE020</t>
  </si>
  <si>
    <t>FDE060</t>
  </si>
  <si>
    <t>FDE070</t>
  </si>
  <si>
    <t>FDE075</t>
  </si>
  <si>
    <t>FDE090</t>
  </si>
  <si>
    <t>FDE115</t>
  </si>
  <si>
    <t>FDE125</t>
  </si>
  <si>
    <t>FDE130</t>
  </si>
  <si>
    <t>FDE170</t>
  </si>
  <si>
    <t>FDE180</t>
  </si>
  <si>
    <t>FLWBFDE070</t>
  </si>
  <si>
    <t>FLWBFDE180</t>
  </si>
  <si>
    <t>FLWBFDE170</t>
  </si>
  <si>
    <t>FLWBFDE005</t>
  </si>
  <si>
    <t>FLWBFDE055</t>
  </si>
  <si>
    <t>FLWBFDE020</t>
  </si>
  <si>
    <t>FLWBFDE115</t>
  </si>
  <si>
    <t>FLWBFDE130</t>
  </si>
  <si>
    <t>FLWBFDE060</t>
  </si>
  <si>
    <t>FLWBFDE120</t>
  </si>
  <si>
    <t>FLWBFDE090</t>
  </si>
  <si>
    <t>FLWBFDE125</t>
  </si>
  <si>
    <t>FLWBFDE065</t>
  </si>
  <si>
    <t>FLWBFDE160</t>
  </si>
  <si>
    <t>FLWBFDE075</t>
  </si>
  <si>
    <t>FLWBFDE155</t>
  </si>
  <si>
    <t>FSWBFDE070</t>
  </si>
  <si>
    <t>FSWBFDE180</t>
  </si>
  <si>
    <t>FSWBFDE170</t>
  </si>
  <si>
    <t>FSWBFDE005</t>
  </si>
  <si>
    <t>FSWBFDE055</t>
  </si>
  <si>
    <t>FSWBFDE020</t>
  </si>
  <si>
    <t>FSWBFDE115</t>
  </si>
  <si>
    <t>FSWBFDE130</t>
  </si>
  <si>
    <t>FSWBFDE060</t>
  </si>
  <si>
    <t>FSWBFDE120</t>
  </si>
  <si>
    <t>FSWBFDE090</t>
  </si>
  <si>
    <t>FSWBFDE125</t>
  </si>
  <si>
    <t>FSWBFDE065</t>
  </si>
  <si>
    <t>FSWBFDE160</t>
  </si>
  <si>
    <t>FSWBFDE075</t>
  </si>
  <si>
    <t>FSWBFDE155</t>
  </si>
  <si>
    <t>FBRMFDE055</t>
  </si>
  <si>
    <t>FBRMFDE065</t>
  </si>
  <si>
    <t>FBRMFDE120</t>
  </si>
  <si>
    <t>FBRMFDE155</t>
  </si>
  <si>
    <t>FBRMFDE160</t>
  </si>
  <si>
    <t>NFL38-17-AW1</t>
  </si>
  <si>
    <t>NFL38-18-AW1</t>
  </si>
  <si>
    <t>NFL38-30-AW1</t>
  </si>
  <si>
    <t>NFL42-16-AW2</t>
  </si>
  <si>
    <t>NFL42-20-AW2</t>
  </si>
  <si>
    <t>NHL42-06-AW1</t>
  </si>
  <si>
    <t>NHL42-11-AW2</t>
  </si>
  <si>
    <t>C-182-AP1</t>
  </si>
  <si>
    <t>C-117-AP1</t>
  </si>
  <si>
    <t>C-142-AP1</t>
  </si>
  <si>
    <t>C-128-AP1</t>
  </si>
  <si>
    <t>C-140-AP1</t>
  </si>
  <si>
    <t>C-162-AP1</t>
  </si>
  <si>
    <t>C-113-AP2</t>
  </si>
  <si>
    <t>C-113-AP3</t>
  </si>
  <si>
    <t>C-119-AP1</t>
  </si>
  <si>
    <t>C-121-AP2</t>
  </si>
  <si>
    <t>C-140-AP2</t>
  </si>
  <si>
    <t>C-149-AP2</t>
  </si>
  <si>
    <t>C-262-AP1</t>
  </si>
  <si>
    <t>C-304-AP2</t>
  </si>
  <si>
    <t>C-376-AP1</t>
  </si>
  <si>
    <t>MLB-AP1-ARI</t>
  </si>
  <si>
    <t>MLB-AP1-ATL</t>
  </si>
  <si>
    <t>MLB-AP1-BOS</t>
  </si>
  <si>
    <t>MLB-AP1-CIN</t>
  </si>
  <si>
    <t>MLB-AP1-CLE</t>
  </si>
  <si>
    <t>MLB-AP1-COL</t>
  </si>
  <si>
    <t>MLB-AP1-CWS</t>
  </si>
  <si>
    <t>MLB-AP1-DET</t>
  </si>
  <si>
    <t>MLB-AP1-HOU</t>
  </si>
  <si>
    <t>MLB-AP1-KC</t>
  </si>
  <si>
    <t>MLB-AP1-LAA</t>
  </si>
  <si>
    <t>MLB-AP1-MIA</t>
  </si>
  <si>
    <t>MLB-AP1-MIL</t>
  </si>
  <si>
    <t>MLB-AP1-MIN</t>
  </si>
  <si>
    <t>MLB-AP1-NYM</t>
  </si>
  <si>
    <t>MLB-AP1-OAK</t>
  </si>
  <si>
    <t>MLB-AP1-PHI</t>
  </si>
  <si>
    <t>MLB-AP1-SD</t>
  </si>
  <si>
    <t>MLB-AP1-SEA</t>
  </si>
  <si>
    <t>MLB-AP1-SF</t>
  </si>
  <si>
    <t>MLB-AP1-STL</t>
  </si>
  <si>
    <t>MLB-AP1-TB</t>
  </si>
  <si>
    <t>MLB-AP1-TEX</t>
  </si>
  <si>
    <t>MLB-AP1-TOR</t>
  </si>
  <si>
    <t>MLB-AW1-ARI-38</t>
  </si>
  <si>
    <t>MLB-AW1-ARI-42</t>
  </si>
  <si>
    <t>MLB-AW1-ATL-38</t>
  </si>
  <si>
    <t>MLB-AW1-ATL-42</t>
  </si>
  <si>
    <t>MLB-AW1-BOS-38</t>
  </si>
  <si>
    <t>MLB-AW1-BOS-42</t>
  </si>
  <si>
    <t>MLB-AW1-CIN-38</t>
  </si>
  <si>
    <t>MLB-AW1-CIN-42</t>
  </si>
  <si>
    <t>MLB-AW1-CLE-38</t>
  </si>
  <si>
    <t>MLB-AW1-CLE-42</t>
  </si>
  <si>
    <t>MLB-AW1-COL-38</t>
  </si>
  <si>
    <t>MLB-AW1-COL-42</t>
  </si>
  <si>
    <t>MLB-AW1-CWS-38</t>
  </si>
  <si>
    <t>MLB-AW1-CWS-42</t>
  </si>
  <si>
    <t>MLB-AW1-DET-38</t>
  </si>
  <si>
    <t>MLB-AW1-DET-42</t>
  </si>
  <si>
    <t>MLB-AW1-HOU-38</t>
  </si>
  <si>
    <t>MLB-AW1-HOU-42</t>
  </si>
  <si>
    <t>MLB-AW1-KC-38</t>
  </si>
  <si>
    <t>MLB-AW1-KC-42</t>
  </si>
  <si>
    <t>MLB-AW1-LAA-38</t>
  </si>
  <si>
    <t>MLB-AW1-LAA-42</t>
  </si>
  <si>
    <t>MLB-AW1-MIA-38</t>
  </si>
  <si>
    <t>MLB-AW1-MIA-42</t>
  </si>
  <si>
    <t>MLB-AW1-MIL-38</t>
  </si>
  <si>
    <t>MLB-AW1-MIL-42</t>
  </si>
  <si>
    <t>MLB-AW1-MIN-38</t>
  </si>
  <si>
    <t>MLB-AW1-MIN-42</t>
  </si>
  <si>
    <t>MLB-AW1-NYM-38</t>
  </si>
  <si>
    <t>MLB-AW1-NYM-42</t>
  </si>
  <si>
    <t>MLB-AW1-OAK-38</t>
  </si>
  <si>
    <t>MLB-AW1-OAK-42</t>
  </si>
  <si>
    <t>MLB-AW1-PHI-38</t>
  </si>
  <si>
    <t>MLB-AW1-PHI-42</t>
  </si>
  <si>
    <t>MLB-AW1-SD-38</t>
  </si>
  <si>
    <t>MLB-AW1-SD-42</t>
  </si>
  <si>
    <t>MLB-AW1-SEA-38</t>
  </si>
  <si>
    <t>MLB-AW1-SEA-42</t>
  </si>
  <si>
    <t>MLB-AW1-SF-38</t>
  </si>
  <si>
    <t>MLB-AW1-SF-42</t>
  </si>
  <si>
    <t>MLB-AW1-STL-38</t>
  </si>
  <si>
    <t>MLB-AW1-STL-42</t>
  </si>
  <si>
    <t>MLB-AW1-TB-38</t>
  </si>
  <si>
    <t>MLB-AW1-TB-42</t>
  </si>
  <si>
    <t>MLB-AW1-TEX-38</t>
  </si>
  <si>
    <t>MLB-AW1-TEX-42</t>
  </si>
  <si>
    <t>MLB-AW1-TOR-38</t>
  </si>
  <si>
    <t>MLB-AW1-TOR-42</t>
  </si>
  <si>
    <t>NHL42-01-AW1</t>
  </si>
  <si>
    <t>NHL38-04-AW1</t>
  </si>
  <si>
    <t>NHL42-04-AW1</t>
  </si>
  <si>
    <t>NHL38-06-AW1</t>
  </si>
  <si>
    <t>NHL38-07-AW1</t>
  </si>
  <si>
    <t>NHL42-07-AW1</t>
  </si>
  <si>
    <t>NHL38-08-AW1</t>
  </si>
  <si>
    <t>NHL38-11-AW2</t>
  </si>
  <si>
    <t>NHL38-16-AW1</t>
  </si>
  <si>
    <t>NHL42-16-AW1</t>
  </si>
  <si>
    <t>NHL38-19-AW1</t>
  </si>
  <si>
    <t>NHL42-19-AW1</t>
  </si>
  <si>
    <t>NHL38-22-AW1</t>
  </si>
  <si>
    <t>NHL38-25-AW1</t>
  </si>
  <si>
    <t>NHL42-25-AW1</t>
  </si>
  <si>
    <t>NHL38-27-AW1</t>
  </si>
  <si>
    <t>C38-145-SW1</t>
  </si>
  <si>
    <t>C38-145-SW2</t>
  </si>
  <si>
    <t>C38-149-SW2</t>
  </si>
  <si>
    <t>C38-151-SW1</t>
  </si>
  <si>
    <t>C38-154-SW3</t>
  </si>
  <si>
    <t>C38-162-SW1</t>
  </si>
  <si>
    <t>C38-167-SW1</t>
  </si>
  <si>
    <t>C38-178-SW3</t>
  </si>
  <si>
    <t>C38-194-SW1</t>
  </si>
  <si>
    <t>C38-262-SW1</t>
  </si>
  <si>
    <t>C38-268-SW1</t>
  </si>
  <si>
    <t>C38-280-SW1</t>
  </si>
  <si>
    <t>C38-290-SW1</t>
  </si>
  <si>
    <t>C38-376-SW1</t>
  </si>
  <si>
    <t>C42-102-SW1</t>
  </si>
  <si>
    <t>C42-109-SW2</t>
  </si>
  <si>
    <t>C42-135-SW3</t>
  </si>
  <si>
    <t>C42-178-SW3</t>
  </si>
  <si>
    <t>C42-186-SW1</t>
  </si>
  <si>
    <t>C42-262-SW1</t>
  </si>
  <si>
    <t>C42-290-SW1</t>
  </si>
  <si>
    <t>MLB-AP1-CHI</t>
  </si>
  <si>
    <t>MLB-AP1-LA</t>
  </si>
  <si>
    <t>MLB-AP1-NY3</t>
  </si>
  <si>
    <t>MLB-AP1-WAS</t>
  </si>
  <si>
    <t>MLB-AW1-CHI-38</t>
  </si>
  <si>
    <t>MLB-AW1-CHI-42</t>
  </si>
  <si>
    <t>MLB-AW1-LA-38</t>
  </si>
  <si>
    <t>MLB-AW1-LA-42</t>
  </si>
  <si>
    <t>MLB-AW1-NY3-38</t>
  </si>
  <si>
    <t>MLB-AW1-NY3-42</t>
  </si>
  <si>
    <t>MLB-AW1-PIT2-42</t>
  </si>
  <si>
    <t>NFL42-11-AW1</t>
  </si>
  <si>
    <t>MLB-AW1-PIT2-38</t>
  </si>
  <si>
    <t>C38-137-SW1</t>
  </si>
  <si>
    <t>C38-140-SW2</t>
  </si>
  <si>
    <t>C38-117-SW2</t>
  </si>
  <si>
    <t>MLB-AP1-BAL2</t>
  </si>
  <si>
    <t>MLB-AP1-PIT2</t>
  </si>
  <si>
    <t>NFL42-26-AW2</t>
  </si>
  <si>
    <t>NFL42-27-AW2</t>
  </si>
  <si>
    <t>NFL38-27-AW2</t>
  </si>
  <si>
    <t>C38-142-SW1</t>
  </si>
  <si>
    <t>NFL38-22-AW2</t>
  </si>
  <si>
    <t>NFL38-20-AW2</t>
  </si>
  <si>
    <t>NFL38-26-AW2</t>
  </si>
  <si>
    <t>MLB-AW1-BAL2-38</t>
  </si>
  <si>
    <t>MLB-AW1-BAL2-42</t>
  </si>
  <si>
    <t>MLB-AW1-WAS-38</t>
  </si>
  <si>
    <t>MLB-AW1-WAS-42</t>
  </si>
  <si>
    <t>NFL42-22-AW2</t>
  </si>
  <si>
    <t>NFL38-16-AW2</t>
  </si>
  <si>
    <t>Company ID</t>
  </si>
  <si>
    <t>Quantity on hand</t>
  </si>
  <si>
    <t>UPC</t>
  </si>
  <si>
    <t>VN</t>
  </si>
  <si>
    <t>406_FNATICDS</t>
  </si>
  <si>
    <t>0012940155</t>
  </si>
  <si>
    <t>680487043518</t>
  </si>
  <si>
    <t>0012940156</t>
  </si>
  <si>
    <t>680487043709</t>
  </si>
  <si>
    <t>0012940157</t>
  </si>
  <si>
    <t>680487086058</t>
  </si>
  <si>
    <t>0012940158</t>
  </si>
  <si>
    <t>680487043525</t>
  </si>
  <si>
    <t>0012940159</t>
  </si>
  <si>
    <t>680487043778</t>
  </si>
  <si>
    <t>0012940160</t>
  </si>
  <si>
    <t>680487043556</t>
  </si>
  <si>
    <t>0012940161</t>
  </si>
  <si>
    <t>680487046373</t>
  </si>
  <si>
    <t>0012940162</t>
  </si>
  <si>
    <t>680487074994</t>
  </si>
  <si>
    <t>0012940343</t>
  </si>
  <si>
    <t>680487075007</t>
  </si>
  <si>
    <t>0012940344</t>
  </si>
  <si>
    <t>680487043631</t>
  </si>
  <si>
    <t>0012940345</t>
  </si>
  <si>
    <t>680487166224</t>
  </si>
  <si>
    <t>0012940346</t>
  </si>
  <si>
    <t>680487043433</t>
  </si>
  <si>
    <t>0012940347</t>
  </si>
  <si>
    <t>680487043440</t>
  </si>
  <si>
    <t>0012940348</t>
  </si>
  <si>
    <t>680487043617</t>
  </si>
  <si>
    <t>0012940349</t>
  </si>
  <si>
    <t>680487043501</t>
  </si>
  <si>
    <t>0012940350</t>
  </si>
  <si>
    <t>680487043693</t>
  </si>
  <si>
    <t>0012940351</t>
  </si>
  <si>
    <t>680487085976</t>
  </si>
  <si>
    <t>0012940352</t>
  </si>
  <si>
    <t>680487046311</t>
  </si>
  <si>
    <t>0012940353</t>
  </si>
  <si>
    <t>680487167146</t>
  </si>
  <si>
    <t>0012940354</t>
  </si>
  <si>
    <t>680487046328</t>
  </si>
  <si>
    <t>0012940355</t>
  </si>
  <si>
    <t>680487043600</t>
  </si>
  <si>
    <t>0012940356</t>
  </si>
  <si>
    <t>680487043716</t>
  </si>
  <si>
    <t>0012940357</t>
  </si>
  <si>
    <t>680487086065</t>
  </si>
  <si>
    <t>0012940358</t>
  </si>
  <si>
    <t>680487046380</t>
  </si>
  <si>
    <t>0012940359</t>
  </si>
  <si>
    <t>680487046403</t>
  </si>
  <si>
    <t>0012940360</t>
  </si>
  <si>
    <t>680487043549</t>
  </si>
  <si>
    <t>0012940361</t>
  </si>
  <si>
    <t>680487043495</t>
  </si>
  <si>
    <t>0012940362</t>
  </si>
  <si>
    <t>680487046342</t>
  </si>
  <si>
    <t>0012940363</t>
  </si>
  <si>
    <t>680487043471</t>
  </si>
  <si>
    <t>0012940364</t>
  </si>
  <si>
    <t>680487043563</t>
  </si>
  <si>
    <t>0012940365</t>
  </si>
  <si>
    <t>680487086010</t>
  </si>
  <si>
    <t>0012940366</t>
  </si>
  <si>
    <t>680487043488</t>
  </si>
  <si>
    <t>0012940367</t>
  </si>
  <si>
    <t>680487043723</t>
  </si>
  <si>
    <t>0012940368</t>
  </si>
  <si>
    <t>680487166460</t>
  </si>
  <si>
    <t>0012940369</t>
  </si>
  <si>
    <t>680487046359</t>
  </si>
  <si>
    <t>0012940370</t>
  </si>
  <si>
    <t>680487043457</t>
  </si>
  <si>
    <t>0012940371</t>
  </si>
  <si>
    <t>680487043730</t>
  </si>
  <si>
    <t>0012940372</t>
  </si>
  <si>
    <t>680487043587</t>
  </si>
  <si>
    <t>0012940373</t>
  </si>
  <si>
    <t>680487043747</t>
  </si>
  <si>
    <t>0012940374</t>
  </si>
  <si>
    <t>680487043648</t>
  </si>
  <si>
    <t>0012940375</t>
  </si>
  <si>
    <t>680487043662</t>
  </si>
  <si>
    <t>0012940376</t>
  </si>
  <si>
    <t>680487043655</t>
  </si>
  <si>
    <t>0012940377</t>
  </si>
  <si>
    <t>680487043464</t>
  </si>
  <si>
    <t>0012940378</t>
  </si>
  <si>
    <t>680487046304</t>
  </si>
  <si>
    <t>0012940379</t>
  </si>
  <si>
    <t>680487043679</t>
  </si>
  <si>
    <t>0012940380</t>
  </si>
  <si>
    <t>680487085969</t>
  </si>
  <si>
    <t>0012940381</t>
  </si>
  <si>
    <t>680487086041</t>
  </si>
  <si>
    <t>0012940382</t>
  </si>
  <si>
    <t>680487086034</t>
  </si>
  <si>
    <t>0012940383</t>
  </si>
  <si>
    <t>680487085990</t>
  </si>
  <si>
    <t>0012940384</t>
  </si>
  <si>
    <t>680487043761</t>
  </si>
  <si>
    <t>0012940385</t>
  </si>
  <si>
    <t>680487046335</t>
  </si>
  <si>
    <t>0012940386</t>
  </si>
  <si>
    <t>680487043570</t>
  </si>
  <si>
    <t>0012940387</t>
  </si>
  <si>
    <t>680487043532</t>
  </si>
  <si>
    <t>0012940388</t>
  </si>
  <si>
    <t>680487043594</t>
  </si>
  <si>
    <t>0012940389</t>
  </si>
  <si>
    <t>680487165906</t>
  </si>
  <si>
    <t>0012940390</t>
  </si>
  <si>
    <t>680487046298</t>
  </si>
  <si>
    <t>0012940391</t>
  </si>
  <si>
    <t>680487046366</t>
  </si>
  <si>
    <t>0012940392</t>
  </si>
  <si>
    <t>680487166217</t>
  </si>
  <si>
    <t>0012940393</t>
  </si>
  <si>
    <t>680487046397</t>
  </si>
  <si>
    <t>0012940394</t>
  </si>
  <si>
    <t>680487085983</t>
  </si>
  <si>
    <t>0012940395</t>
  </si>
  <si>
    <t>680487086027</t>
  </si>
  <si>
    <t>0012940396</t>
  </si>
  <si>
    <t>680487043754</t>
  </si>
  <si>
    <t>0012940397</t>
  </si>
  <si>
    <t>680487043624</t>
  </si>
  <si>
    <t>0012940398</t>
  </si>
  <si>
    <t>680487167153</t>
  </si>
  <si>
    <t>0012940399</t>
  </si>
  <si>
    <t>680487046281</t>
  </si>
  <si>
    <t>0012940400</t>
  </si>
  <si>
    <t>680487046274</t>
  </si>
  <si>
    <t>0012940401</t>
  </si>
  <si>
    <t>680487086003</t>
  </si>
  <si>
    <t>COMPANY_ID</t>
  </si>
  <si>
    <t>Product ID</t>
  </si>
  <si>
    <t>Qty Available</t>
  </si>
  <si>
    <t>Qty on Order</t>
  </si>
  <si>
    <t>Date of Availability</t>
  </si>
  <si>
    <t>Weight(optional)</t>
  </si>
  <si>
    <t>warehouse id</t>
  </si>
  <si>
    <t>406_TGTDVS</t>
  </si>
  <si>
    <t>NHOS</t>
  </si>
  <si>
    <t>Vendor SKU</t>
  </si>
  <si>
    <t>Approval Status</t>
  </si>
  <si>
    <t>Product/Product Group Title</t>
  </si>
  <si>
    <t>Product Identifier</t>
  </si>
  <si>
    <t>Product Identifier Type</t>
  </si>
  <si>
    <t>Quantity</t>
  </si>
  <si>
    <t>Approved</t>
  </si>
  <si>
    <t>Affinity Bands NCAA Apple AirPod Silicone Case Covers</t>
  </si>
  <si>
    <t>upc</t>
  </si>
  <si>
    <t>soft-upc</t>
  </si>
  <si>
    <t>FILE TYPE</t>
  </si>
  <si>
    <t>VENDOR SKU</t>
  </si>
  <si>
    <t>AVAILABLE</t>
  </si>
  <si>
    <t>QTY</t>
  </si>
  <si>
    <t>NEXT AVAILABLE QTY</t>
  </si>
  <si>
    <t>NEXT AVAILABLE DATE</t>
  </si>
  <si>
    <t>MANUFACTURER</t>
  </si>
  <si>
    <t>MANUFACTURER SKU</t>
  </si>
  <si>
    <t>DESCRIPTION</t>
  </si>
  <si>
    <t>UNIT COST</t>
  </si>
  <si>
    <t>UNIT COST 2</t>
  </si>
  <si>
    <t>UNIT COST 3</t>
  </si>
  <si>
    <t>UNIT COST 4</t>
  </si>
  <si>
    <t>DISCONTINUED</t>
  </si>
  <si>
    <t>DISCONTINUED DATE</t>
  </si>
  <si>
    <t>AVAILABILITY START DATE</t>
  </si>
  <si>
    <t>AVAILABILITY END DATE</t>
  </si>
  <si>
    <t>MIN DAYS TO SHIP</t>
  </si>
  <si>
    <t>MAX DAYS TO SHIP</t>
  </si>
  <si>
    <t>CONDITION CODE</t>
  </si>
  <si>
    <t>MERCH. DEPT.</t>
  </si>
  <si>
    <t>UNIT OF MEASURE</t>
  </si>
  <si>
    <t>MERCHANT SKU</t>
  </si>
  <si>
    <t>MERCHANT</t>
  </si>
  <si>
    <t>GS1 ID</t>
  </si>
  <si>
    <t>Warehouse 1 ID</t>
  </si>
  <si>
    <t>Warehouse 1 QTY</t>
  </si>
  <si>
    <t>Warehouse 1 Next Available QTY</t>
  </si>
  <si>
    <t>Warehouse 1 Next Available Date</t>
  </si>
  <si>
    <t>Warehouse 2 ID</t>
  </si>
  <si>
    <t>Warehouse 2 QTY</t>
  </si>
  <si>
    <t>Warehouse 2 Next Available QTY</t>
  </si>
  <si>
    <t>Warehouse 2 Next Available DATE</t>
  </si>
  <si>
    <t>Warehouse 3 ID</t>
  </si>
  <si>
    <t>Warehouse 3 QTY</t>
  </si>
  <si>
    <t>Warehouse 3 Next Available QTY</t>
  </si>
  <si>
    <t>Warehouse 3 Next Available DATE</t>
  </si>
  <si>
    <t>Warehouse 4 ID</t>
  </si>
  <si>
    <t>Warehouse 4 QTY</t>
  </si>
  <si>
    <t>Warehouse 4 Next Available QTY</t>
  </si>
  <si>
    <t>Warehouse 4 Next Available Date</t>
  </si>
  <si>
    <t>Warehouse 5 ID</t>
  </si>
  <si>
    <t>Warehouse 5 QTY</t>
  </si>
  <si>
    <t>Warehouse 5 Next Available QTY</t>
  </si>
  <si>
    <t>Warehouse 5 Next Available Date</t>
  </si>
  <si>
    <t>Always "IN"</t>
  </si>
  <si>
    <t>your sku #</t>
  </si>
  <si>
    <t>"Yes","No", or "Guaranteed"</t>
  </si>
  <si>
    <t>Quantity Arriving Next</t>
  </si>
  <si>
    <t>Format: MM/DD/YYYY</t>
  </si>
  <si>
    <t>Products Manufacturer</t>
  </si>
  <si>
    <t>Manufacturer's SKU</t>
  </si>
  <si>
    <t>Enter Product Description</t>
  </si>
  <si>
    <t>Enter Cost to Merchant in Dollars</t>
  </si>
  <si>
    <t>Enter Unit Price in Dollars</t>
  </si>
  <si>
    <t xml:space="preserve">     n/a</t>
  </si>
  <si>
    <t>Discontinued? "YES"</t>
  </si>
  <si>
    <t>Usually "NEW"</t>
  </si>
  <si>
    <t>Department Number of Product</t>
  </si>
  <si>
    <t>Usually "EA"</t>
  </si>
  <si>
    <t>SKU Assigned by Merchant</t>
  </si>
  <si>
    <t>Enter Merchant Name</t>
  </si>
  <si>
    <t>Enter UPC or EAN #</t>
  </si>
  <si>
    <t>Enter ID for warehouse Location</t>
  </si>
  <si>
    <t xml:space="preserve">Enter Quantity on Hand for Warehouse Location </t>
  </si>
  <si>
    <t>Enter Quantity on Hand for Warehouse Location</t>
  </si>
  <si>
    <t>IN</t>
  </si>
  <si>
    <t>Yes</t>
  </si>
  <si>
    <t>bedbath</t>
  </si>
  <si>
    <t>Affinity Bands NCAA 38/40mm Apple Watch Silicone Band</t>
  </si>
  <si>
    <t>Game Time NCAA 42/44mm Apple Watch Silicone Band</t>
  </si>
  <si>
    <t>CLWB27</t>
  </si>
  <si>
    <t>CLWB36</t>
  </si>
  <si>
    <t>CLWB41</t>
  </si>
  <si>
    <t>CSWB27</t>
  </si>
  <si>
    <t>CSWB36</t>
  </si>
  <si>
    <t>CSWB38</t>
  </si>
  <si>
    <t>FCYB055</t>
  </si>
  <si>
    <t>FCYB075</t>
  </si>
  <si>
    <t>FCYB105</t>
  </si>
  <si>
    <t>FCYB120</t>
  </si>
  <si>
    <t>FCYB125</t>
  </si>
  <si>
    <t>GAME TIME MLB Airpod Case</t>
  </si>
  <si>
    <t>Game Time MLB 38/40mm or 42/44mm Apple Watch Silicone Band</t>
  </si>
  <si>
    <t>YES</t>
  </si>
  <si>
    <t>SNBC</t>
  </si>
  <si>
    <t>GameTime NCAA AirPod Case Cover</t>
  </si>
  <si>
    <t>U287164-43154-00000</t>
  </si>
  <si>
    <t>U287164-44969-00000</t>
  </si>
  <si>
    <t>U287164-43153-00000</t>
  </si>
  <si>
    <t>U287164-43191-00000</t>
  </si>
  <si>
    <t>U287164-43158-00000</t>
  </si>
  <si>
    <t>U287164-43164-00000</t>
  </si>
  <si>
    <t>U287164-43140-00000</t>
  </si>
  <si>
    <t>U287164-43177-00000</t>
  </si>
  <si>
    <t>U287164-29523-00000</t>
  </si>
  <si>
    <t>U287164-45009-00000</t>
  </si>
  <si>
    <t>U287164-44971-00000</t>
  </si>
  <si>
    <t>U287164-43194-00000</t>
  </si>
  <si>
    <t>U287164-29525-00000</t>
  </si>
  <si>
    <t>U287164-45014-00000</t>
  </si>
  <si>
    <t>U287164-43187-00000</t>
  </si>
  <si>
    <t>U287164-45010-00000</t>
  </si>
  <si>
    <t>U287164-43183-00000</t>
  </si>
  <si>
    <t>U287164-43179-00000</t>
  </si>
  <si>
    <t>U287164-43170-00000</t>
  </si>
  <si>
    <t>U287164-43186-00000</t>
  </si>
  <si>
    <t>U287164-29526-00000</t>
  </si>
  <si>
    <t>U287164-04893-00000</t>
  </si>
  <si>
    <t>U287164-43683-00000</t>
  </si>
  <si>
    <t>U287164-04894-00000</t>
  </si>
  <si>
    <t>U287164-43165-00000</t>
  </si>
  <si>
    <t>U287164-43149-00000</t>
  </si>
  <si>
    <t>U287164-43174-00000</t>
  </si>
  <si>
    <t>U287164-43148-00000</t>
  </si>
  <si>
    <t>U287164-43139-00000</t>
  </si>
  <si>
    <t>U287164-43152-00000</t>
  </si>
  <si>
    <t>U287164-04895-00000</t>
  </si>
  <si>
    <t>U287164-43163-00000</t>
  </si>
  <si>
    <t>U287164-43167-00000</t>
  </si>
  <si>
    <t>U287164-43195-00000</t>
  </si>
  <si>
    <t>U287164-04896-00000</t>
  </si>
  <si>
    <t>U287164-04897-00000</t>
  </si>
  <si>
    <t>U287164-43609-00000</t>
  </si>
  <si>
    <t>U287164-43189-00000</t>
  </si>
  <si>
    <t>U287164-43157-00000</t>
  </si>
  <si>
    <t>U287164-43172-00000</t>
  </si>
  <si>
    <t>U287164-43190-00000</t>
  </si>
  <si>
    <t>U287164-43176-00000</t>
  </si>
  <si>
    <t>U287164-43168-00000</t>
  </si>
  <si>
    <t>U287164-43156-00000</t>
  </si>
  <si>
    <t>U287164-43603-00000</t>
  </si>
  <si>
    <t>U287164-04898-00000</t>
  </si>
  <si>
    <t>U287164-43188-00000</t>
  </si>
  <si>
    <t>U287164-29524-00000</t>
  </si>
  <si>
    <t>U287164-04899-00000</t>
  </si>
  <si>
    <t>U287164-43151-00000</t>
  </si>
  <si>
    <t>U287164-45005-00000</t>
  </si>
  <si>
    <t>U287164-04901-00000</t>
  </si>
  <si>
    <t>GameTime NCAA 38mm/40mm Apple Watch Band</t>
  </si>
  <si>
    <t>U287163-43154-00825</t>
  </si>
  <si>
    <t>U287163-04902-00825</t>
  </si>
  <si>
    <t>U287163-44969-00825</t>
  </si>
  <si>
    <t>U287163-43153-00825</t>
  </si>
  <si>
    <t>U287163-43191-00825</t>
  </si>
  <si>
    <t>U287163-43150-00825</t>
  </si>
  <si>
    <t>U287163-43158-00825</t>
  </si>
  <si>
    <t>U287163-43164-00825</t>
  </si>
  <si>
    <t>U287163-43140-00825</t>
  </si>
  <si>
    <t>U287163-43177-00825</t>
  </si>
  <si>
    <t>U287163-29523-00825</t>
  </si>
  <si>
    <t>U287163-45009-00825</t>
  </si>
  <si>
    <t>U287163-44971-00825</t>
  </si>
  <si>
    <t>U287163-43194-00825</t>
  </si>
  <si>
    <t>U287163-29525-00825</t>
  </si>
  <si>
    <t>U287163-45014-00825</t>
  </si>
  <si>
    <t>U287163-43187-00825</t>
  </si>
  <si>
    <t>U287163-45010-00825</t>
  </si>
  <si>
    <t>U287163-04903-00825</t>
  </si>
  <si>
    <t>U287163-43179-00825</t>
  </si>
  <si>
    <t>U287163-43170-00825</t>
  </si>
  <si>
    <t>U287163-43186-00825</t>
  </si>
  <si>
    <t>U287163-29526-00825</t>
  </si>
  <si>
    <t>U287163-45006-00825</t>
  </si>
  <si>
    <t>U287163-04893-00825</t>
  </si>
  <si>
    <t>U287163-43683-00825</t>
  </si>
  <si>
    <t>U287163-04894-00825</t>
  </si>
  <si>
    <t>U287163-43165-00825</t>
  </si>
  <si>
    <t>U287163-43149-00825</t>
  </si>
  <si>
    <t>U287163-43174-00825</t>
  </si>
  <si>
    <t>U287163-43148-00825</t>
  </si>
  <si>
    <t>U287163-44970-00825</t>
  </si>
  <si>
    <t>U287163-43181-00825</t>
  </si>
  <si>
    <t>U287163-43139-00825</t>
  </si>
  <si>
    <t>U287163-43152-00825</t>
  </si>
  <si>
    <t>U287163-04904-00825</t>
  </si>
  <si>
    <t>U287163-04895-00825</t>
  </si>
  <si>
    <t>U287163-43163-00825</t>
  </si>
  <si>
    <t>U287163-43167-00825</t>
  </si>
  <si>
    <t>U287163-43171-00825</t>
  </si>
  <si>
    <t>U287163-43195-00825</t>
  </si>
  <si>
    <t>U287163-43615-00825</t>
  </si>
  <si>
    <t>U287163-04896-00825</t>
  </si>
  <si>
    <t>U287163-04897-00825</t>
  </si>
  <si>
    <t>U287163-43609-00825</t>
  </si>
  <si>
    <t>U287163-43189-00825</t>
  </si>
  <si>
    <t>U287163-43157-00825</t>
  </si>
  <si>
    <t>U287163-43172-00825</t>
  </si>
  <si>
    <t>U287163-43190-00825</t>
  </si>
  <si>
    <t>U287163-43176-00825</t>
  </si>
  <si>
    <t>U287163-04905-00825</t>
  </si>
  <si>
    <t>U287163-43168-00825</t>
  </si>
  <si>
    <t>U287163-43156-00825</t>
  </si>
  <si>
    <t>U287163-43603-00825</t>
  </si>
  <si>
    <t>U287163-45012-00825</t>
  </si>
  <si>
    <t>U287163-50492-00825</t>
  </si>
  <si>
    <t>U287163-43607-00825</t>
  </si>
  <si>
    <t>U287163-50483-00825</t>
  </si>
  <si>
    <t>U287163-04898-00825</t>
  </si>
  <si>
    <t>U287163-04906-00825</t>
  </si>
  <si>
    <t>U287163-04907-00825</t>
  </si>
  <si>
    <t>U287163-43605-00825</t>
  </si>
  <si>
    <t>U287163-21980-00825</t>
  </si>
  <si>
    <t>U287163-43188-00825</t>
  </si>
  <si>
    <t>U287163-04908-00825</t>
  </si>
  <si>
    <t>U287163-29524-00825</t>
  </si>
  <si>
    <t>U287163-43151-00825</t>
  </si>
  <si>
    <t>U287163-04909-00825</t>
  </si>
  <si>
    <t>U287163-45005-00825</t>
  </si>
  <si>
    <t>U287163-04901-00825</t>
  </si>
  <si>
    <t>GameTime NCAA 42mm/44mm Apple Watch Band</t>
  </si>
  <si>
    <t>U287165-43154-00826</t>
  </si>
  <si>
    <t>U287165-04902-00826</t>
  </si>
  <si>
    <t>U287165-44969-00826</t>
  </si>
  <si>
    <t>U287165-43153-00826</t>
  </si>
  <si>
    <t>U287165-43191-00826</t>
  </si>
  <si>
    <t>U287165-43150-00826</t>
  </si>
  <si>
    <t>U287165-43158-00826</t>
  </si>
  <si>
    <t>U287165-43164-00826</t>
  </si>
  <si>
    <t>U287165-43140-00826</t>
  </si>
  <si>
    <t>U287165-43177-00826</t>
  </si>
  <si>
    <t>U287165-29523-00826</t>
  </si>
  <si>
    <t>U287165-45009-00826</t>
  </si>
  <si>
    <t>U287165-44971-00826</t>
  </si>
  <si>
    <t>U287165-43194-00826</t>
  </si>
  <si>
    <t>U287165-29525-00826</t>
  </si>
  <si>
    <t>U287165-45014-00826</t>
  </si>
  <si>
    <t>U287165-43187-00826</t>
  </si>
  <si>
    <t>U287165-45010-00826</t>
  </si>
  <si>
    <t>U287165-04903-00826</t>
  </si>
  <si>
    <t>U287165-43179-00826</t>
  </si>
  <si>
    <t>U287165-43170-00826</t>
  </si>
  <si>
    <t>U287165-43186-00826</t>
  </si>
  <si>
    <t>U287165-29526-00826</t>
  </si>
  <si>
    <t>U287165-45006-00826</t>
  </si>
  <si>
    <t>U287165-04893-00826</t>
  </si>
  <si>
    <t>U287165-43683-00826</t>
  </si>
  <si>
    <t>U287165-04894-00826</t>
  </si>
  <si>
    <t>U287165-43165-00826</t>
  </si>
  <si>
    <t>U287165-43149-00826</t>
  </si>
  <si>
    <t>U287165-43174-00826</t>
  </si>
  <si>
    <t>U287165-43148-00826</t>
  </si>
  <si>
    <t>U287165-44970-00826</t>
  </si>
  <si>
    <t>U287165-43181-00826</t>
  </si>
  <si>
    <t>U287165-43139-00826</t>
  </si>
  <si>
    <t>U287165-43152-00826</t>
  </si>
  <si>
    <t>U287165-04904-00826</t>
  </si>
  <si>
    <t>U287165-04895-00826</t>
  </si>
  <si>
    <t>U287165-43163-00826</t>
  </si>
  <si>
    <t>U287165-43167-00826</t>
  </si>
  <si>
    <t>U287165-43171-00826</t>
  </si>
  <si>
    <t>U287165-43195-00826</t>
  </si>
  <si>
    <t>U287165-43615-00826</t>
  </si>
  <si>
    <t>U287165-04896-00826</t>
  </si>
  <si>
    <t>U287165-04897-00826</t>
  </si>
  <si>
    <t>U287165-43609-00826</t>
  </si>
  <si>
    <t>U287165-43189-00826</t>
  </si>
  <si>
    <t>U287165-43157-00826</t>
  </si>
  <si>
    <t>U287165-43172-00826</t>
  </si>
  <si>
    <t>U287165-43190-00826</t>
  </si>
  <si>
    <t>U287165-43176-00826</t>
  </si>
  <si>
    <t>U287165-04905-00826</t>
  </si>
  <si>
    <t>U287165-43168-00826</t>
  </si>
  <si>
    <t>U287165-43156-00826</t>
  </si>
  <si>
    <t>U287165-43603-00826</t>
  </si>
  <si>
    <t>U287165-45012-00826</t>
  </si>
  <si>
    <t>U287165-50492-00826</t>
  </si>
  <si>
    <t>U287165-43607-00826</t>
  </si>
  <si>
    <t>U287165-50483-00826</t>
  </si>
  <si>
    <t>U287165-04898-00826</t>
  </si>
  <si>
    <t>U287165-04906-00826</t>
  </si>
  <si>
    <t>U287165-04907-00826</t>
  </si>
  <si>
    <t>U287165-43605-00826</t>
  </si>
  <si>
    <t>U287165-21980-00826</t>
  </si>
  <si>
    <t>U287165-43188-00826</t>
  </si>
  <si>
    <t>U287165-04908-00826</t>
  </si>
  <si>
    <t>U287165-29524-00826</t>
  </si>
  <si>
    <t>U287165-43151-00826</t>
  </si>
  <si>
    <t>U287165-04909-00826</t>
  </si>
  <si>
    <t>U287165-45005-00826</t>
  </si>
  <si>
    <t>U287165-04901-00826</t>
  </si>
  <si>
    <t>NFL-AP1-ARI</t>
  </si>
  <si>
    <t>GameTime NFL AirPod Case Cover</t>
  </si>
  <si>
    <t>U287169-20320-00000</t>
  </si>
  <si>
    <t>NFL-AP1-ATL</t>
  </si>
  <si>
    <t>U287169-20321-00000</t>
  </si>
  <si>
    <t>NFL-AP1-BAL</t>
  </si>
  <si>
    <t>U287169-20322-00000</t>
  </si>
  <si>
    <t>NFL-AP1-BUF</t>
  </si>
  <si>
    <t>U287169-20323-00000</t>
  </si>
  <si>
    <t>NFL-AP1-CAR</t>
  </si>
  <si>
    <t>U287169-20324-00000</t>
  </si>
  <si>
    <t>NFL-AP1-CHI</t>
  </si>
  <si>
    <t>U287169-20325-00000</t>
  </si>
  <si>
    <t>NFL-AP1-CIN</t>
  </si>
  <si>
    <t>U287169-20326-00000</t>
  </si>
  <si>
    <t>NFL-AP1-CLE</t>
  </si>
  <si>
    <t>U287169-20327-00000</t>
  </si>
  <si>
    <t>NFL-AP1-DAL</t>
  </si>
  <si>
    <t>U287169-20328-00000</t>
  </si>
  <si>
    <t>NFL-AP1-DEN</t>
  </si>
  <si>
    <t>U287169-20329-00000</t>
  </si>
  <si>
    <t>NFL-AP1-DET</t>
  </si>
  <si>
    <t>U287169-20330-00000</t>
  </si>
  <si>
    <t>NFL-AP1-GB</t>
  </si>
  <si>
    <t>U287169-20331-00000</t>
  </si>
  <si>
    <t>NFL-AP1-HOU</t>
  </si>
  <si>
    <t>U287169-20332-00000</t>
  </si>
  <si>
    <t>NFL-AP1-IND</t>
  </si>
  <si>
    <t>U287169-20333-00000</t>
  </si>
  <si>
    <t>NFL-AP1-JAC</t>
  </si>
  <si>
    <t>U287169-20334-00000</t>
  </si>
  <si>
    <t>NFL-AP1-KC</t>
  </si>
  <si>
    <t>U287169-20335-00000</t>
  </si>
  <si>
    <t>NFL-AP1-LAC</t>
  </si>
  <si>
    <t>U287169-79730-00000</t>
  </si>
  <si>
    <t>NFL-AP1-LAR</t>
  </si>
  <si>
    <t>U287169-79658-00000</t>
  </si>
  <si>
    <t>NFL-AP1-MIA</t>
  </si>
  <si>
    <t>U287169-20336-00000</t>
  </si>
  <si>
    <t>NFL-AP1-MIN</t>
  </si>
  <si>
    <t>U287169-20337-00000</t>
  </si>
  <si>
    <t>NFL-AP1-NE</t>
  </si>
  <si>
    <t>U287169-20352-00000</t>
  </si>
  <si>
    <t>NFL-AP1-NO</t>
  </si>
  <si>
    <t>U287169-20339-00000</t>
  </si>
  <si>
    <t>NFL-AP1-NYG</t>
  </si>
  <si>
    <t>U287169-20340-00000</t>
  </si>
  <si>
    <t>NFL-AP1-NYJ</t>
  </si>
  <si>
    <t>U287169-20341-00000</t>
  </si>
  <si>
    <t>NFL-AP1-OAK</t>
  </si>
  <si>
    <t>U287169-20342-00000</t>
  </si>
  <si>
    <t>NFL-AP1-PHI</t>
  </si>
  <si>
    <t>U287169-20343-00000</t>
  </si>
  <si>
    <t>NFL-AP1-PIT</t>
  </si>
  <si>
    <t>U287169-20344-00000</t>
  </si>
  <si>
    <t>NFL-AP1-SEA</t>
  </si>
  <si>
    <t>U287169-20347-00000</t>
  </si>
  <si>
    <t>NFL-AP1-SF</t>
  </si>
  <si>
    <t>U287169-20346-00000</t>
  </si>
  <si>
    <t>NFL-AP1-TB</t>
  </si>
  <si>
    <t>U287169-21992-00000</t>
  </si>
  <si>
    <t>NFL-AP1-TEN</t>
  </si>
  <si>
    <t>U287169-20350-00000</t>
  </si>
  <si>
    <t>NFL-AP1-WAS</t>
  </si>
  <si>
    <t>U287169-20351-00000</t>
  </si>
  <si>
    <t>GameTime NFL 38mm/40mm Apple Watch Band</t>
  </si>
  <si>
    <t>U287166-20320-00825</t>
  </si>
  <si>
    <t>U287166-20321-00825</t>
  </si>
  <si>
    <t>U287166-20322-00825</t>
  </si>
  <si>
    <t>U287166-20323-00825</t>
  </si>
  <si>
    <t>U287166-20324-00825</t>
  </si>
  <si>
    <t>U287166-20325-00825</t>
  </si>
  <si>
    <t>U287166-20326-00825</t>
  </si>
  <si>
    <t>U287166-20327-00825</t>
  </si>
  <si>
    <t>U287166-20328-00825</t>
  </si>
  <si>
    <t>U287166-20329-00825</t>
  </si>
  <si>
    <t>U287166-20330-00825</t>
  </si>
  <si>
    <t>U287166-20331-00825</t>
  </si>
  <si>
    <t>U287166-20332-00825</t>
  </si>
  <si>
    <t>U287166-20333-00825</t>
  </si>
  <si>
    <t>U287166-20334-00825</t>
  </si>
  <si>
    <t>U287166-20335-00825</t>
  </si>
  <si>
    <t>U287166-79730-00825</t>
  </si>
  <si>
    <t>U287166-79658-00825</t>
  </si>
  <si>
    <t>U287166-20336-00825</t>
  </si>
  <si>
    <t>U287166-20337-00825</t>
  </si>
  <si>
    <t>U287166-20352-00825</t>
  </si>
  <si>
    <t>U287166-20339-00825</t>
  </si>
  <si>
    <t>U287166-20340-00825</t>
  </si>
  <si>
    <t>U287166-20341-00825</t>
  </si>
  <si>
    <t>U287166-20342-00825</t>
  </si>
  <si>
    <t>U287166-20343-00825</t>
  </si>
  <si>
    <t>U287166-20344-00825</t>
  </si>
  <si>
    <t>U287166-20346-00825</t>
  </si>
  <si>
    <t>U287166-20347-00825</t>
  </si>
  <si>
    <t>U287166-21992-00825</t>
  </si>
  <si>
    <t>U287166-20350-00825</t>
  </si>
  <si>
    <t>U287166-20351-00825</t>
  </si>
  <si>
    <t>GameTime NFL 42mm/44mm Apple Watch Band</t>
  </si>
  <si>
    <t>U287167-20320-00826</t>
  </si>
  <si>
    <t>U287167-20321-00826</t>
  </si>
  <si>
    <t>U287167-20322-00826</t>
  </si>
  <si>
    <t>U287167-20323-00826</t>
  </si>
  <si>
    <t>U287167-20324-00826</t>
  </si>
  <si>
    <t>U287167-20325-00826</t>
  </si>
  <si>
    <t>U287167-20326-00826</t>
  </si>
  <si>
    <t>U287167-20327-00826</t>
  </si>
  <si>
    <t>U287167-20328-00826</t>
  </si>
  <si>
    <t>U287167-20329-00826</t>
  </si>
  <si>
    <t>U287167-20330-00826</t>
  </si>
  <si>
    <t>U287167-20331-00826</t>
  </si>
  <si>
    <t>U287167-20332-00826</t>
  </si>
  <si>
    <t>U287167-20333-00826</t>
  </si>
  <si>
    <t>U287167-20334-00826</t>
  </si>
  <si>
    <t>U287167-20335-00826</t>
  </si>
  <si>
    <t>U287167-79730-00826</t>
  </si>
  <si>
    <t>U287167-79658-00826</t>
  </si>
  <si>
    <t>U287167-20336-00826</t>
  </si>
  <si>
    <t>U287167-20337-00826</t>
  </si>
  <si>
    <t>U287167-20352-00826</t>
  </si>
  <si>
    <t>U287167-20339-00826</t>
  </si>
  <si>
    <t>U287167-20340-00826</t>
  </si>
  <si>
    <t>U287167-20341-00826</t>
  </si>
  <si>
    <t>U287167-20342-00826</t>
  </si>
  <si>
    <t>U287167-20343-00826</t>
  </si>
  <si>
    <t>U287167-20344-00826</t>
  </si>
  <si>
    <t>U287167-20346-00826</t>
  </si>
  <si>
    <t>U287167-20347-00826</t>
  </si>
  <si>
    <t>U287167-21992-00826</t>
  </si>
  <si>
    <t>U287167-20350-00826</t>
  </si>
  <si>
    <t>U287167-20351-00826</t>
  </si>
  <si>
    <t>NFL-AP2-DAL</t>
  </si>
  <si>
    <t>NFL-AP2-KC</t>
  </si>
  <si>
    <t>NFL-AP2-NE</t>
  </si>
  <si>
    <t>NFL-AP2-OAK</t>
  </si>
  <si>
    <t>NFL-AP2-PHI</t>
  </si>
  <si>
    <t>NFL-AP2-PIT</t>
  </si>
  <si>
    <t>NFL-AP2-SEA</t>
  </si>
  <si>
    <t>NFL-AP2-SF</t>
  </si>
  <si>
    <t>NFL-AP3-DAL</t>
  </si>
  <si>
    <t>NFL-AW2-PHI-38</t>
  </si>
  <si>
    <t>NFL-AW2-PHI-42</t>
  </si>
  <si>
    <t>NFL-AW2-PIT-38</t>
  </si>
  <si>
    <t>NFL-AW2-PIT-42</t>
  </si>
  <si>
    <t>Fanatics</t>
  </si>
  <si>
    <t>Target</t>
  </si>
  <si>
    <t>Groupon</t>
  </si>
  <si>
    <t>BBB</t>
  </si>
  <si>
    <t>ShopHQ</t>
  </si>
  <si>
    <t>HSN</t>
  </si>
  <si>
    <t>SKUS Not Found</t>
  </si>
  <si>
    <t>Master Inventory File</t>
  </si>
  <si>
    <t>On Hand</t>
  </si>
  <si>
    <t>C38-105-SW1</t>
  </si>
  <si>
    <t>C38-200-SW1</t>
  </si>
  <si>
    <t>C38-200-SW2</t>
  </si>
  <si>
    <t>C38-218-SW1</t>
  </si>
  <si>
    <t>C38-218-SW2</t>
  </si>
  <si>
    <t>C38-322-SW1</t>
  </si>
  <si>
    <t>C42-127-SW2</t>
  </si>
  <si>
    <t>C42-200-SW2</t>
  </si>
  <si>
    <t>C42-218-SW1</t>
  </si>
  <si>
    <t>C42-218-SW2</t>
  </si>
  <si>
    <t>C42-322-SW1</t>
  </si>
  <si>
    <t>BCYB050</t>
  </si>
  <si>
    <t>680487198706</t>
  </si>
  <si>
    <t>680487198713</t>
  </si>
  <si>
    <t>680487198720</t>
  </si>
  <si>
    <t>680487198737</t>
  </si>
  <si>
    <t>680487198744</t>
  </si>
  <si>
    <t>680487198768</t>
  </si>
  <si>
    <t>680487198775</t>
  </si>
  <si>
    <t>680487198782</t>
  </si>
  <si>
    <t>680487198751</t>
  </si>
  <si>
    <t>680487182262</t>
  </si>
  <si>
    <t>680487198805</t>
  </si>
  <si>
    <t>680487198812</t>
  </si>
  <si>
    <t>680487198836</t>
  </si>
  <si>
    <t>680487198829</t>
  </si>
  <si>
    <t>680487198843</t>
  </si>
  <si>
    <t>680487198850</t>
  </si>
  <si>
    <t>680487198867</t>
  </si>
  <si>
    <t>680487198881</t>
  </si>
  <si>
    <t>680487198874</t>
  </si>
  <si>
    <t>680487198898</t>
  </si>
  <si>
    <t>680487198904</t>
  </si>
  <si>
    <t>680487198911</t>
  </si>
  <si>
    <t>680487198928</t>
  </si>
  <si>
    <t>680487198942</t>
  </si>
  <si>
    <t>680487198935</t>
  </si>
  <si>
    <t>680487198959</t>
  </si>
  <si>
    <t>680487198966</t>
  </si>
  <si>
    <t>680487198973</t>
  </si>
  <si>
    <t>680487198980</t>
  </si>
  <si>
    <t>680487198997</t>
  </si>
  <si>
    <t>840118700283</t>
  </si>
  <si>
    <t>840118700290</t>
  </si>
  <si>
    <t>840118700306</t>
  </si>
  <si>
    <t>840118700313</t>
  </si>
  <si>
    <t>840118700320</t>
  </si>
  <si>
    <t>840118700337</t>
  </si>
  <si>
    <t>840118700344</t>
  </si>
  <si>
    <t>840118700351</t>
  </si>
  <si>
    <t>840118700368</t>
  </si>
  <si>
    <t>840118700375</t>
  </si>
  <si>
    <t>840118700382</t>
  </si>
  <si>
    <t>840118700399</t>
  </si>
  <si>
    <t>840118700405</t>
  </si>
  <si>
    <t>840118700412</t>
  </si>
  <si>
    <t>840118700429</t>
  </si>
  <si>
    <t>840118700436</t>
  </si>
  <si>
    <t>840118700443</t>
  </si>
  <si>
    <t>840118700450</t>
  </si>
  <si>
    <t>840118700467</t>
  </si>
  <si>
    <t>840118700474</t>
  </si>
  <si>
    <t>840118700481</t>
  </si>
  <si>
    <t>840118700498</t>
  </si>
  <si>
    <t>840118700504</t>
  </si>
  <si>
    <t>840118700511</t>
  </si>
  <si>
    <t>840118700528</t>
  </si>
  <si>
    <t>840118700535</t>
  </si>
  <si>
    <t>840118700542</t>
  </si>
  <si>
    <t>840118700566</t>
  </si>
  <si>
    <t>840118700559</t>
  </si>
  <si>
    <t>840118700573</t>
  </si>
  <si>
    <t>840118700580</t>
  </si>
  <si>
    <t>840118700597</t>
  </si>
  <si>
    <t>840118700603</t>
  </si>
  <si>
    <t>840118700610</t>
  </si>
  <si>
    <t>840118700627</t>
  </si>
  <si>
    <t>840118700634</t>
  </si>
  <si>
    <t>840118700641</t>
  </si>
  <si>
    <t>840118700658</t>
  </si>
  <si>
    <t>840118700672</t>
  </si>
  <si>
    <t>840118700665</t>
  </si>
  <si>
    <t>840118700689</t>
  </si>
  <si>
    <t>840118744287</t>
  </si>
  <si>
    <t>840118744294</t>
  </si>
  <si>
    <t>840118744300</t>
  </si>
  <si>
    <t>840118744317</t>
  </si>
  <si>
    <t>840118744324</t>
  </si>
  <si>
    <t>840118744331</t>
  </si>
  <si>
    <t>840118744348</t>
  </si>
  <si>
    <t>840118744355</t>
  </si>
  <si>
    <t>840118744362</t>
  </si>
  <si>
    <t>840118744379</t>
  </si>
  <si>
    <t>840118744386</t>
  </si>
  <si>
    <t>840118744393</t>
  </si>
  <si>
    <t>840118744409</t>
  </si>
  <si>
    <t>840118744416</t>
  </si>
  <si>
    <t>840118744423</t>
  </si>
  <si>
    <t>840118744430</t>
  </si>
  <si>
    <t>840118744447</t>
  </si>
  <si>
    <t>840118744454</t>
  </si>
  <si>
    <t>840118744461</t>
  </si>
  <si>
    <t>840118744478</t>
  </si>
  <si>
    <t>840118744485</t>
  </si>
  <si>
    <t>840118744492</t>
  </si>
  <si>
    <t>840118744508</t>
  </si>
  <si>
    <t>840118744515</t>
  </si>
  <si>
    <t>840118744522</t>
  </si>
  <si>
    <t>840118744539</t>
  </si>
  <si>
    <t>840118744546</t>
  </si>
  <si>
    <t>840118744553</t>
  </si>
  <si>
    <t>840118744560</t>
  </si>
  <si>
    <t>840118744577</t>
  </si>
  <si>
    <t>840118742313</t>
  </si>
  <si>
    <t>840118742320</t>
  </si>
  <si>
    <t>840118742337</t>
  </si>
  <si>
    <t>840118742344</t>
  </si>
  <si>
    <t>840118742351</t>
  </si>
  <si>
    <t>840118742368</t>
  </si>
  <si>
    <t>840118742375</t>
  </si>
  <si>
    <t>840118742382</t>
  </si>
  <si>
    <t>840118742399</t>
  </si>
  <si>
    <t>840118742405</t>
  </si>
  <si>
    <t>840118742412</t>
  </si>
  <si>
    <t>840118742429</t>
  </si>
  <si>
    <t>840118742436</t>
  </si>
  <si>
    <t>840118742443</t>
  </si>
  <si>
    <t>840118742450</t>
  </si>
  <si>
    <t>840118742467</t>
  </si>
  <si>
    <t>840118742474</t>
  </si>
  <si>
    <t>840118742481</t>
  </si>
  <si>
    <t>840118742498</t>
  </si>
  <si>
    <t>840118742504</t>
  </si>
  <si>
    <t>840118742511</t>
  </si>
  <si>
    <t>840118742528</t>
  </si>
  <si>
    <t>840118742535</t>
  </si>
  <si>
    <t>840118742542</t>
  </si>
  <si>
    <t>840118742559</t>
  </si>
  <si>
    <t>840118742566</t>
  </si>
  <si>
    <t>840118742573</t>
  </si>
  <si>
    <t>840118742580</t>
  </si>
  <si>
    <t>840118742597</t>
  </si>
  <si>
    <t>840118742603</t>
  </si>
  <si>
    <t>840118742610</t>
  </si>
  <si>
    <t>840118742627</t>
  </si>
  <si>
    <t>840118742634</t>
  </si>
  <si>
    <t>840118742641</t>
  </si>
  <si>
    <t>840118742658</t>
  </si>
  <si>
    <t>840118742672</t>
  </si>
  <si>
    <t>840118742689</t>
  </si>
  <si>
    <t>840118742696</t>
  </si>
  <si>
    <t>840118742702</t>
  </si>
  <si>
    <t>840118742719</t>
  </si>
  <si>
    <t>Belk</t>
  </si>
  <si>
    <t>Walmart</t>
  </si>
  <si>
    <t>inventory</t>
  </si>
  <si>
    <r>
      <t xml:space="preserve"> SKU </t>
    </r>
    <r>
      <rPr>
        <b/>
        <sz val="12"/>
        <color rgb="FFFF0000"/>
        <rFont val="Calibri (Body)"/>
      </rPr>
      <t>*</t>
    </r>
  </si>
  <si>
    <r>
      <t xml:space="preserve">Availability Code </t>
    </r>
    <r>
      <rPr>
        <b/>
        <sz val="12"/>
        <color rgb="FFFF0000"/>
        <rFont val="Calibri (Body)"/>
      </rPr>
      <t>*</t>
    </r>
  </si>
  <si>
    <r>
      <t xml:space="preserve">Quantity </t>
    </r>
    <r>
      <rPr>
        <b/>
        <sz val="12"/>
        <color rgb="FFFF0000"/>
        <rFont val="Calibri (Body)"/>
      </rPr>
      <t>*</t>
    </r>
  </si>
  <si>
    <r>
      <t xml:space="preserve">Fulfillment Lag Time </t>
    </r>
    <r>
      <rPr>
        <b/>
        <sz val="12"/>
        <color rgb="FFFF0000"/>
        <rFont val="Calibri (Body)"/>
      </rPr>
      <t>*</t>
    </r>
  </si>
  <si>
    <t xml:space="preserve">Enter the SKU used to identify this item. </t>
  </si>
  <si>
    <t xml:space="preserve">Select an Availability Code from the drop-down menu that appears when you click on any cell in this column. Availability Codes help us identify how to manage the inventory update. AC is the standard code used for standard inventory updates.  </t>
  </si>
  <si>
    <t xml:space="preserve">This is the total number of units on hand you have in your distribution center. This should include both your available units to sell and your units in the process of shipping. Note: If you selected AA as your item's Availability Code, you can leave Quantity blank. </t>
  </si>
  <si>
    <t>Your Fulfillment Lag Time (Lead Time) is the maximum number of days it takes you to process an order prior to shipping it. This does not include your transit time.  For approved vendors that ship customized or post-order manufactured items please enter the appropriate number of business days.  All other vendors please enter 0.</t>
  </si>
  <si>
    <t>AC (Standard Availability Code)</t>
  </si>
  <si>
    <t>FPCC075</t>
  </si>
  <si>
    <t>Host SKU</t>
  </si>
  <si>
    <t>Qty On Hand</t>
  </si>
  <si>
    <t>Unit Cost</t>
  </si>
  <si>
    <t>Enter the SKU used to identify this item.</t>
  </si>
  <si>
    <t>Hibbits</t>
  </si>
  <si>
    <t>C42-105-SW1</t>
  </si>
  <si>
    <t>FN075</t>
  </si>
  <si>
    <t>FN050</t>
  </si>
  <si>
    <t>840118749046</t>
  </si>
  <si>
    <t>MLB-APP1-NY3</t>
  </si>
  <si>
    <t>685149595169</t>
  </si>
  <si>
    <t>C-153-APP1</t>
  </si>
  <si>
    <t>685149595145</t>
  </si>
  <si>
    <t>C-133-APP1</t>
  </si>
  <si>
    <t>685149595190</t>
  </si>
  <si>
    <t>C-162-APP1</t>
  </si>
  <si>
    <t>NFL-APP1-MIN</t>
  </si>
  <si>
    <t>685149595053</t>
  </si>
  <si>
    <t>C-109-APP1</t>
  </si>
  <si>
    <t>685149595077</t>
  </si>
  <si>
    <t>C-114-APP1</t>
  </si>
  <si>
    <t>685149595251</t>
  </si>
  <si>
    <t>C-203-APP1</t>
  </si>
  <si>
    <t>685149553800</t>
  </si>
  <si>
    <t>C-135-APP1</t>
  </si>
  <si>
    <t>685149595084</t>
  </si>
  <si>
    <t>C-115-APP1</t>
  </si>
  <si>
    <t>685149553893</t>
  </si>
  <si>
    <t>C-304-APP1</t>
  </si>
  <si>
    <t>685149553855</t>
  </si>
  <si>
    <t>C-118-APP1</t>
  </si>
  <si>
    <t>685149553886</t>
  </si>
  <si>
    <t>C-125-APP1</t>
  </si>
  <si>
    <t>NFL-APP1-PIT</t>
  </si>
  <si>
    <t>840118749060</t>
  </si>
  <si>
    <t>MLB-APP1-STL</t>
  </si>
  <si>
    <t>NFL-APP1-SEA</t>
  </si>
  <si>
    <t>685149595206</t>
  </si>
  <si>
    <t>C-173-APP1</t>
  </si>
  <si>
    <t>NFL-APP1-NO</t>
  </si>
  <si>
    <t>840118749008</t>
  </si>
  <si>
    <t>MLB-APP1-BOS</t>
  </si>
  <si>
    <t>685149595060</t>
  </si>
  <si>
    <t>C-112-APP1</t>
  </si>
  <si>
    <t>NFL-APP1-NE</t>
  </si>
  <si>
    <t>NFL-APP1-GB</t>
  </si>
  <si>
    <t>685149553817</t>
  </si>
  <si>
    <t>C-177-APP1</t>
  </si>
  <si>
    <t>685149595268</t>
  </si>
  <si>
    <t>C-283-APP1</t>
  </si>
  <si>
    <t>685149595244</t>
  </si>
  <si>
    <t>C-201-APP1</t>
  </si>
  <si>
    <t>685149553848</t>
  </si>
  <si>
    <t>C-147-APP1</t>
  </si>
  <si>
    <t>685149595176</t>
  </si>
  <si>
    <t>C-156-APP1</t>
  </si>
  <si>
    <t>685149595138</t>
  </si>
  <si>
    <t>C-127-APP1</t>
  </si>
  <si>
    <t>685149553862</t>
  </si>
  <si>
    <t>C-101-APP1</t>
  </si>
  <si>
    <t>685149553787</t>
  </si>
  <si>
    <t>C-107-APP1</t>
  </si>
  <si>
    <t>685149595091</t>
  </si>
  <si>
    <t>C-117-APP1</t>
  </si>
  <si>
    <t>685149595107</t>
  </si>
  <si>
    <t>C-121-APP1</t>
  </si>
  <si>
    <t>685149553831</t>
  </si>
  <si>
    <t>C-154-APP1</t>
  </si>
  <si>
    <t>685149595237</t>
  </si>
  <si>
    <t>C-186-APP1</t>
  </si>
  <si>
    <t>685149595183</t>
  </si>
  <si>
    <t>C-157-APP1</t>
  </si>
  <si>
    <t>685149595275</t>
  </si>
  <si>
    <t>C-317-APP1</t>
  </si>
  <si>
    <t>685149553824</t>
  </si>
  <si>
    <t>C-150-APP1</t>
  </si>
  <si>
    <t>NFL-APP1-PHI</t>
  </si>
  <si>
    <t>840118749039</t>
  </si>
  <si>
    <t>MLB-APP1-LA</t>
  </si>
  <si>
    <t>840118749015</t>
  </si>
  <si>
    <t>MLB-APP1-CHI</t>
  </si>
  <si>
    <t>NFL-APP1-DAL</t>
  </si>
  <si>
    <t>685149553879</t>
  </si>
  <si>
    <t>C-149-APP1</t>
  </si>
  <si>
    <t>NFL-APP1-KC</t>
  </si>
  <si>
    <t>NFL-APP1-BUF</t>
  </si>
  <si>
    <t>NFL-APP1-CHI</t>
  </si>
  <si>
    <t>685149595220</t>
  </si>
  <si>
    <t>C-178-APP1</t>
  </si>
  <si>
    <t>840118749022</t>
  </si>
  <si>
    <t>MLB-APP1-HOU</t>
  </si>
  <si>
    <t>685149553794</t>
  </si>
  <si>
    <t>C-116-APP1</t>
  </si>
  <si>
    <t>NFL-APP2-SF</t>
  </si>
  <si>
    <t>NFL-APP1-SF</t>
  </si>
  <si>
    <t>C-125-APP2</t>
  </si>
  <si>
    <t>C-132-APP1</t>
  </si>
  <si>
    <t>NFL-APP1-OAK</t>
  </si>
  <si>
    <t>C-101-APPD1</t>
  </si>
  <si>
    <t>C-102-APPD1</t>
  </si>
  <si>
    <t>C-103-APPD1</t>
  </si>
  <si>
    <t>C-107-APPD1</t>
  </si>
  <si>
    <t>C-109-APPD1</t>
  </si>
  <si>
    <t>C-110-APPD1</t>
  </si>
  <si>
    <t>C-112-APPD1</t>
  </si>
  <si>
    <t>C-113-APPD1</t>
  </si>
  <si>
    <t>C-114-APPD1</t>
  </si>
  <si>
    <t>C-115-APPD1</t>
  </si>
  <si>
    <t>C-116-APPD1</t>
  </si>
  <si>
    <t>C-117-APPD1</t>
  </si>
  <si>
    <t>C-118-APPD1</t>
  </si>
  <si>
    <t>C-119-APPD1</t>
  </si>
  <si>
    <t>C-121-APPD1</t>
  </si>
  <si>
    <t>C-122-APPD1</t>
  </si>
  <si>
    <t>C-125-APPD1</t>
  </si>
  <si>
    <t>C-127-APPD1</t>
  </si>
  <si>
    <t>C-128-APPD1</t>
  </si>
  <si>
    <t>C-129-APPD1</t>
  </si>
  <si>
    <t>C-132-APPD1</t>
  </si>
  <si>
    <t>C-133-APPD1</t>
  </si>
  <si>
    <t>C-135-APPD1</t>
  </si>
  <si>
    <t>C-136-APPD1</t>
  </si>
  <si>
    <t>C-137-APPD1</t>
  </si>
  <si>
    <t>C-140-APPD1</t>
  </si>
  <si>
    <t>C-145-APPD1</t>
  </si>
  <si>
    <t>C-147-APPD1</t>
  </si>
  <si>
    <t>C-149-APPD1</t>
  </si>
  <si>
    <t>C-150-APPD1</t>
  </si>
  <si>
    <t>C-151-APPD1</t>
  </si>
  <si>
    <t>C-152-APPD1</t>
  </si>
  <si>
    <t>C-153-APPD1</t>
  </si>
  <si>
    <t>C-154-APPD1</t>
  </si>
  <si>
    <t>C-155-APPD1</t>
  </si>
  <si>
    <t>C-156-APPD1</t>
  </si>
  <si>
    <t>C-157-APPD1</t>
  </si>
  <si>
    <t>C-158-APPD1</t>
  </si>
  <si>
    <t>C-160-APPD1</t>
  </si>
  <si>
    <t>C-161-APPD1</t>
  </si>
  <si>
    <t>C-162-APPD1</t>
  </si>
  <si>
    <t>C-163-APPD1</t>
  </si>
  <si>
    <t>C-165-APPD1</t>
  </si>
  <si>
    <t>C-167-APPD1</t>
  </si>
  <si>
    <t>C-168-APPD1</t>
  </si>
  <si>
    <t>C-172-APPD1</t>
  </si>
  <si>
    <t>C-173-APPD1</t>
  </si>
  <si>
    <t>C-177-APPD1</t>
  </si>
  <si>
    <t>C-178-APPD1</t>
  </si>
  <si>
    <t>C-180-APPD1</t>
  </si>
  <si>
    <t>C-181-APPD1</t>
  </si>
  <si>
    <t>C-182-APPD1</t>
  </si>
  <si>
    <t>C-185-APPD1</t>
  </si>
  <si>
    <t>C-186-APPD1</t>
  </si>
  <si>
    <t>C-194-APPD1</t>
  </si>
  <si>
    <t>C-201-APPD1</t>
  </si>
  <si>
    <t>C-203-APPD1</t>
  </si>
  <si>
    <t>C-205-APPD1</t>
  </si>
  <si>
    <t>C-209-APPD1</t>
  </si>
  <si>
    <t>C-211-APPD1</t>
  </si>
  <si>
    <t>C-234-APPD1</t>
  </si>
  <si>
    <t>C-238-APPD1</t>
  </si>
  <si>
    <t>C-242-APPD1</t>
  </si>
  <si>
    <t>C-277-APPD1</t>
  </si>
  <si>
    <t>C-282-APPD1</t>
  </si>
  <si>
    <t>C-283-APPD3</t>
  </si>
  <si>
    <t>C-290-APPD1</t>
  </si>
  <si>
    <t>C-291-APPD1</t>
  </si>
  <si>
    <t>C-304-APPD1</t>
  </si>
  <si>
    <t>C-307-APPD1</t>
  </si>
  <si>
    <t>C-317-APPD1</t>
  </si>
  <si>
    <t>C-365-APPD1</t>
  </si>
  <si>
    <t>MLB-APPD1-ARI</t>
  </si>
  <si>
    <t>MLB-APPD1-ATL</t>
  </si>
  <si>
    <t>MLB-APPD1-CHI</t>
  </si>
  <si>
    <t>MLB-APPD1-CIN</t>
  </si>
  <si>
    <t>MLB-APPD1-CLE</t>
  </si>
  <si>
    <t>MLB-APPD1-CWS</t>
  </si>
  <si>
    <t>MLB-APPD1-DET</t>
  </si>
  <si>
    <t>MLB-APPD1-HOU</t>
  </si>
  <si>
    <t>MLB-APPD1-KC</t>
  </si>
  <si>
    <t>MLB-APPD1-LA</t>
  </si>
  <si>
    <t>MLB-APPD1-MIA</t>
  </si>
  <si>
    <t>MLB-APPD1-MIL</t>
  </si>
  <si>
    <t>MLB-APPD1-MIN</t>
  </si>
  <si>
    <t>MLB-APPD1-NY3</t>
  </si>
  <si>
    <t>MLB-APPD1-NYM</t>
  </si>
  <si>
    <t>MLB-APPD1-OAK</t>
  </si>
  <si>
    <t>MLB-APPD1-PHI</t>
  </si>
  <si>
    <t>MLB-APPD1-SD</t>
  </si>
  <si>
    <t>MLB-APPD1-SEA</t>
  </si>
  <si>
    <t>MLB-APPD1-SF</t>
  </si>
  <si>
    <t>MLB-APPD1-STL</t>
  </si>
  <si>
    <t>MLB-APPD1-TB</t>
  </si>
  <si>
    <t>MLB-APPD1-TEX</t>
  </si>
  <si>
    <t>MLB-APPD1-TOR</t>
  </si>
  <si>
    <t>MLB-APPD1-WAS</t>
  </si>
  <si>
    <t>MLB-APPD2-BAL2</t>
  </si>
  <si>
    <t>MLB-APPD2-BOS</t>
  </si>
  <si>
    <t>MLB-APPD2-COL</t>
  </si>
  <si>
    <t>MLB-APPD2-LAA</t>
  </si>
  <si>
    <t>MLB-APPD2-PIT2</t>
  </si>
  <si>
    <t>NFL-APPD1-ARI</t>
  </si>
  <si>
    <t>NFL-APPD1-ATL</t>
  </si>
  <si>
    <t>NFL-APPD1-BAL</t>
  </si>
  <si>
    <t>NFL-APPD1-BUF</t>
  </si>
  <si>
    <t>NFL-APPD1-CAR</t>
  </si>
  <si>
    <t>NFL-APPD1-CHI</t>
  </si>
  <si>
    <t>NFL-APPD1-CIN</t>
  </si>
  <si>
    <t>NFL-APPD1-CLE</t>
  </si>
  <si>
    <t>NFL-APPD1-DAL</t>
  </si>
  <si>
    <t>NFL-APPD1-DEN</t>
  </si>
  <si>
    <t>NFL-APPD1-DET</t>
  </si>
  <si>
    <t>NFL-APPD1-GB</t>
  </si>
  <si>
    <t>NFL-APPD1-HOU</t>
  </si>
  <si>
    <t>NFL-APPD1-IND</t>
  </si>
  <si>
    <t>NFL-APPD1-JAC</t>
  </si>
  <si>
    <t>NFL-APPD1-KC</t>
  </si>
  <si>
    <t>NFL-APPD1-LAC</t>
  </si>
  <si>
    <t>NFL-APPD1-LAR</t>
  </si>
  <si>
    <t>NFL-APPD1-MIA</t>
  </si>
  <si>
    <t>NFL-APPD1-MIN</t>
  </si>
  <si>
    <t>NFL-APPD1-NE</t>
  </si>
  <si>
    <t>NFL-APPD1-NO</t>
  </si>
  <si>
    <t>NFL-APPD1-NYG</t>
  </si>
  <si>
    <t>NFL-APPD1-NYJ</t>
  </si>
  <si>
    <t>NFL-APPD1-OAK</t>
  </si>
  <si>
    <t>NFL-APPD1-PHI</t>
  </si>
  <si>
    <t>NFL-APPD1-PIT</t>
  </si>
  <si>
    <t>NFL-APPD1-SEA</t>
  </si>
  <si>
    <t>NFL-APPD1-SF</t>
  </si>
  <si>
    <t>NFL-APPD1-TB</t>
  </si>
  <si>
    <t>NFL-APPD1-TEN</t>
  </si>
  <si>
    <t>NFL-APPD1-WAS</t>
  </si>
  <si>
    <t xml:space="preserve"> </t>
  </si>
  <si>
    <t>C-121-APP2</t>
  </si>
  <si>
    <t>C-135-APP2</t>
  </si>
  <si>
    <t>C-177-APP2</t>
  </si>
  <si>
    <t>C-304-APP2</t>
  </si>
  <si>
    <t>NFL-APP2-KC</t>
  </si>
  <si>
    <t>NFL-APD2-SF</t>
  </si>
  <si>
    <t>NFL-APD1-SF</t>
  </si>
  <si>
    <t>C-116-APD1</t>
  </si>
  <si>
    <t>MLB-APD2-LAA</t>
  </si>
  <si>
    <t>MLB-APD1-LAA</t>
  </si>
  <si>
    <t>C-113-APD1</t>
  </si>
  <si>
    <t>C-132-APD1</t>
  </si>
  <si>
    <t>MLB-APD1-HOU</t>
  </si>
  <si>
    <t>MLB-APD2-HOU</t>
  </si>
  <si>
    <t>C-103-APD1</t>
  </si>
  <si>
    <t>C-178-APD1</t>
  </si>
  <si>
    <t>NHL-APD1-COL</t>
  </si>
  <si>
    <t>NFL-APD2-ARI</t>
  </si>
  <si>
    <t>NFL-APD1-ARI</t>
  </si>
  <si>
    <t>C-205-APD1</t>
  </si>
  <si>
    <t>NFL-APD1-CHI</t>
  </si>
  <si>
    <t>NFL-APD2-CHI</t>
  </si>
  <si>
    <t>NFL-APD2-CIN</t>
  </si>
  <si>
    <t>NFL-APD1-CIN</t>
  </si>
  <si>
    <t>NFL-APD2-BUF</t>
  </si>
  <si>
    <t>NFL-APD1-BUF</t>
  </si>
  <si>
    <t>NHL-APD1-CBJ</t>
  </si>
  <si>
    <t>NHL-APD1-CHI</t>
  </si>
  <si>
    <t>MLB-APD2-TOR</t>
  </si>
  <si>
    <t>MLB-APD1-TOR</t>
  </si>
  <si>
    <t>MLB-APD1-ATL</t>
  </si>
  <si>
    <t>MLB-APD2-ATL</t>
  </si>
  <si>
    <t>MLB-APD1-MIL</t>
  </si>
  <si>
    <t>MLB-APD2-MIL</t>
  </si>
  <si>
    <t>NFL-APD2-DEN</t>
  </si>
  <si>
    <t>NFL-APD1-DEN</t>
  </si>
  <si>
    <t>NFL-APD2-CLE</t>
  </si>
  <si>
    <t>NFL-APD1-CLE</t>
  </si>
  <si>
    <t>NHL-APD1-BOS</t>
  </si>
  <si>
    <t>NFL-APD2-TB</t>
  </si>
  <si>
    <t>NFL-APD1-TB</t>
  </si>
  <si>
    <t>C-238-APD1</t>
  </si>
  <si>
    <t>C-168-APD1</t>
  </si>
  <si>
    <t>NHL-APD1-CAR</t>
  </si>
  <si>
    <t>NFL-APD2-KC</t>
  </si>
  <si>
    <t>NFL-APD1-KC</t>
  </si>
  <si>
    <t>C-136-APD1</t>
  </si>
  <si>
    <t>C-149-APD1</t>
  </si>
  <si>
    <t>NHL-APD1-MON</t>
  </si>
  <si>
    <t>NFL-APD2-IND</t>
  </si>
  <si>
    <t>NFL-APD1-IND</t>
  </si>
  <si>
    <t>NFL-APD2-DAL</t>
  </si>
  <si>
    <t>NFL-APD1-DAL</t>
  </si>
  <si>
    <t>NHL-APD1-ARI</t>
  </si>
  <si>
    <t>C-234-APD1</t>
  </si>
  <si>
    <t>MLB-APD2-CHI</t>
  </si>
  <si>
    <t>MLB-APD1-CHI</t>
  </si>
  <si>
    <t>MLB-APD1-ARI</t>
  </si>
  <si>
    <t>MLB-APD2-ARI</t>
  </si>
  <si>
    <t>NHL-APD1-NJ</t>
  </si>
  <si>
    <t>MLB-APD1-LA</t>
  </si>
  <si>
    <t>MLB-APD2-LA</t>
  </si>
  <si>
    <t>NFL-APD1-MIA</t>
  </si>
  <si>
    <t>NFL-APD2-MIA</t>
  </si>
  <si>
    <t>MLB-APD1-TB</t>
  </si>
  <si>
    <t>MLB-APD2-TB</t>
  </si>
  <si>
    <t>NHL-APD1-ANA</t>
  </si>
  <si>
    <t>NFL-APD1-PHI</t>
  </si>
  <si>
    <t>NFL-APD2-PHI</t>
  </si>
  <si>
    <t>C-277-APD1</t>
  </si>
  <si>
    <t>NFL-APD2-ATL</t>
  </si>
  <si>
    <t>NFL-APD1-ATL</t>
  </si>
  <si>
    <t>NHL-APD1-CAL</t>
  </si>
  <si>
    <t>C-150-APD1</t>
  </si>
  <si>
    <t>C-152-APD1</t>
  </si>
  <si>
    <t>NFL-APD2-NYG</t>
  </si>
  <si>
    <t>NFL-APD1-NYG</t>
  </si>
  <si>
    <t>C-194-APD1</t>
  </si>
  <si>
    <t>C-233-APD1</t>
  </si>
  <si>
    <t>C-110-APD1</t>
  </si>
  <si>
    <t>MLB-APD1-CLE</t>
  </si>
  <si>
    <t>MLB-APD2-CLE</t>
  </si>
  <si>
    <t>C-317-APD1</t>
  </si>
  <si>
    <t>C-182-APD1</t>
  </si>
  <si>
    <t>NFL-APD1-JAC</t>
  </si>
  <si>
    <t>NFL-APD2-JAC</t>
  </si>
  <si>
    <t>NFL-APD2-NYJ</t>
  </si>
  <si>
    <t>NFL-APD1-NYJ</t>
  </si>
  <si>
    <t>C-157-APD1</t>
  </si>
  <si>
    <t>C-186-APD1</t>
  </si>
  <si>
    <t>C-154-APD1</t>
  </si>
  <si>
    <t>NHL-APD1-LA</t>
  </si>
  <si>
    <t>NFL-APD2-DET</t>
  </si>
  <si>
    <t>NFL-APD1-DET</t>
  </si>
  <si>
    <t>NFL-APD2-LAC</t>
  </si>
  <si>
    <t>NFL-APD1-LAC</t>
  </si>
  <si>
    <t>NFL-APD2-LAR</t>
  </si>
  <si>
    <t>NFL-APD1-LAR</t>
  </si>
  <si>
    <t>C-145-APD1</t>
  </si>
  <si>
    <t>C-121-APD1</t>
  </si>
  <si>
    <t>MLB-APD1-SEA</t>
  </si>
  <si>
    <t>MLB-APD2-SEA</t>
  </si>
  <si>
    <t>MLB-APD1-MIA</t>
  </si>
  <si>
    <t>MLB-APD2-MIA</t>
  </si>
  <si>
    <t>C-169-APD1</t>
  </si>
  <si>
    <t>MLB-APD2-NYM</t>
  </si>
  <si>
    <t>MLB-APD1-NYM</t>
  </si>
  <si>
    <t>C-117-APD1</t>
  </si>
  <si>
    <t>C-107-APD1</t>
  </si>
  <si>
    <t>C-101-APD1</t>
  </si>
  <si>
    <t>C-127-APD1</t>
  </si>
  <si>
    <t>C-158-APD1</t>
  </si>
  <si>
    <t>C-172-APD1</t>
  </si>
  <si>
    <t>C-207-APD1</t>
  </si>
  <si>
    <t>C-307-APD1</t>
  </si>
  <si>
    <t>C-242-APD1</t>
  </si>
  <si>
    <t>C-156-APD1</t>
  </si>
  <si>
    <t>C-147-APD1</t>
  </si>
  <si>
    <t>C-137-APD1</t>
  </si>
  <si>
    <t>C-313-APD1</t>
  </si>
  <si>
    <t>MLB-APD2-OAK</t>
  </si>
  <si>
    <t>MLB-APD1-OAK</t>
  </si>
  <si>
    <t>C-160-APD1</t>
  </si>
  <si>
    <t>NHL-APD1-EDM</t>
  </si>
  <si>
    <t>C-201-APD1</t>
  </si>
  <si>
    <t>C-140-APD1</t>
  </si>
  <si>
    <t>C-128-APD1</t>
  </si>
  <si>
    <t>C-161-APD1</t>
  </si>
  <si>
    <t>MLB-APD2-BAL2</t>
  </si>
  <si>
    <t>MLB-APD1-BAL2</t>
  </si>
  <si>
    <t>C-177-APD1</t>
  </si>
  <si>
    <t>NFL-APD2-GB</t>
  </si>
  <si>
    <t>NFL-APD1-GB</t>
  </si>
  <si>
    <t>MLB-APD2-SD</t>
  </si>
  <si>
    <t>MLB-APD1-SD</t>
  </si>
  <si>
    <t>NFL-APD1-CAR</t>
  </si>
  <si>
    <t>NFL-APD2-CAR</t>
  </si>
  <si>
    <t>NFL-APD2-NE</t>
  </si>
  <si>
    <t>NFL-APD1-NE</t>
  </si>
  <si>
    <t>C-112-APD1</t>
  </si>
  <si>
    <t>MLB-APD1-PHI</t>
  </si>
  <si>
    <t>MLB-APD2-PHI</t>
  </si>
  <si>
    <t>MLB-APD1-PIT2</t>
  </si>
  <si>
    <t>MLB-APD2-PIT2</t>
  </si>
  <si>
    <t>C-129-APD1</t>
  </si>
  <si>
    <t>NHL-APD1-FLA</t>
  </si>
  <si>
    <t>NHL-APD1-NAS</t>
  </si>
  <si>
    <t>C-122-APD1</t>
  </si>
  <si>
    <t>NFL-APD1-OAK</t>
  </si>
  <si>
    <t>NFL-APD2-OAK</t>
  </si>
  <si>
    <t>MLB-APD2-TEX</t>
  </si>
  <si>
    <t>MLB-APD1-TEX</t>
  </si>
  <si>
    <t>NFL-APD2-BAL</t>
  </si>
  <si>
    <t>NFL-APD1-BAL</t>
  </si>
  <si>
    <t>NHL-APD1-DET</t>
  </si>
  <si>
    <t>MLB-APD2-CIN</t>
  </si>
  <si>
    <t>MLB-APD1-CIN</t>
  </si>
  <si>
    <t>MLB-APD1-BOS</t>
  </si>
  <si>
    <t>MLB-APD2-BOS</t>
  </si>
  <si>
    <t>MLB-APD1-COL</t>
  </si>
  <si>
    <t>MLB-APD2-COL</t>
  </si>
  <si>
    <t>MLB-APD1-KC</t>
  </si>
  <si>
    <t>MLB-APD2-KC</t>
  </si>
  <si>
    <t>C-142-APD1</t>
  </si>
  <si>
    <t>NHL-APD1-BUF</t>
  </si>
  <si>
    <t>NFL-APD1-NO</t>
  </si>
  <si>
    <t>NFL-APD2-NO</t>
  </si>
  <si>
    <t>C-173-APD1</t>
  </si>
  <si>
    <t>NFL-APD2-SEA</t>
  </si>
  <si>
    <t>NFL-APD1-SEA</t>
  </si>
  <si>
    <t>MLB-APD2-SF</t>
  </si>
  <si>
    <t>MLB-APD1-SF</t>
  </si>
  <si>
    <t>NFL-APD2-WAS</t>
  </si>
  <si>
    <t>NFL-APD1-WAS</t>
  </si>
  <si>
    <t>MLB-APD1-STL</t>
  </si>
  <si>
    <t>MLB-APD2-STL</t>
  </si>
  <si>
    <t>NHL-APD1-DAL</t>
  </si>
  <si>
    <t>NFL-APD1-PIT</t>
  </si>
  <si>
    <t>NFL-APD2-PIT</t>
  </si>
  <si>
    <t>C-167-APD1</t>
  </si>
  <si>
    <t>C-155-APD1</t>
  </si>
  <si>
    <t>C-119-APD1</t>
  </si>
  <si>
    <t>C-125-APD1</t>
  </si>
  <si>
    <t>C-118-APD1</t>
  </si>
  <si>
    <t>NFL-APD2-HOU</t>
  </si>
  <si>
    <t>NFL-APD1-HOU</t>
  </si>
  <si>
    <t>C-304-APD1</t>
  </si>
  <si>
    <t>C-115-APD1</t>
  </si>
  <si>
    <t>MLB-APD1-DET</t>
  </si>
  <si>
    <t>MLB-APD2-DET</t>
  </si>
  <si>
    <t>NFL-APD2-TEN</t>
  </si>
  <si>
    <t>NFL-APD1-TEN</t>
  </si>
  <si>
    <t>MLB-APD1-MIN</t>
  </si>
  <si>
    <t>MLB-APD2-MIN</t>
  </si>
  <si>
    <t>C-365-APD1</t>
  </si>
  <si>
    <t>C-135-APD1</t>
  </si>
  <si>
    <t>C-203-APD1</t>
  </si>
  <si>
    <t>C-151-APD1</t>
  </si>
  <si>
    <t>C-114-APD1</t>
  </si>
  <si>
    <t>C-109-APD1</t>
  </si>
  <si>
    <t>NFL-APD2-MIN</t>
  </si>
  <si>
    <t>NFL-APD1-MIN</t>
  </si>
  <si>
    <t>C-108-APD1</t>
  </si>
  <si>
    <t>MLB-APD2-WAS</t>
  </si>
  <si>
    <t>MLB-APD1-WAS</t>
  </si>
  <si>
    <t>C-163-APD1</t>
  </si>
  <si>
    <t>C-162-APD1</t>
  </si>
  <si>
    <t>MLB-APD1-CWS</t>
  </si>
  <si>
    <t>MLB-APD2-CWS</t>
  </si>
  <si>
    <t>C-209-APD1</t>
  </si>
  <si>
    <t>NHL-APD1-MIN</t>
  </si>
  <si>
    <t>C-133-APD1</t>
  </si>
  <si>
    <t>C-153-APD1</t>
  </si>
  <si>
    <t>C-262-APD1</t>
  </si>
  <si>
    <t>MLB-APD1-NY3</t>
  </si>
  <si>
    <t>MLB-APD2-NY3</t>
  </si>
  <si>
    <t>/Users/josh/Desktop/allocations.csv</t>
  </si>
  <si>
    <t>MLB-SW1-CIN-38</t>
  </si>
  <si>
    <t>MLB-SW1-CIN-42</t>
  </si>
  <si>
    <t>MLB-SW1-CLE-38</t>
  </si>
  <si>
    <t>MLB-SW1-CLE-42</t>
  </si>
  <si>
    <t>MLB-SW1-COL-38</t>
  </si>
  <si>
    <t>MLB-SW1-COL-42</t>
  </si>
  <si>
    <t>MLB-SW1-CWS-38</t>
  </si>
  <si>
    <t>MLB-SW1-CWS-42</t>
  </si>
  <si>
    <t>MLB-SW1-LA-38</t>
  </si>
  <si>
    <t>MLB-SW1-LA-42</t>
  </si>
  <si>
    <t>MLB-SW1-LAA-38</t>
  </si>
  <si>
    <t>MLB-SW1-LAA-42</t>
  </si>
  <si>
    <t>MLB-SW1-NY3-38</t>
  </si>
  <si>
    <t>MLB-SW1-NY3-42</t>
  </si>
  <si>
    <t>MLB-SW1-NYM-38</t>
  </si>
  <si>
    <t>MLB-SW1-NYM-42</t>
  </si>
  <si>
    <t>MLB-SW1-SEA-38</t>
  </si>
  <si>
    <t>MLB-SW1-SEA-42</t>
  </si>
  <si>
    <t>MLB-SW1-SF-38</t>
  </si>
  <si>
    <t>MLB-SW1-SF-42</t>
  </si>
  <si>
    <t>MLB-APP1-ATL</t>
  </si>
  <si>
    <t>MLB-APP1-SF</t>
  </si>
  <si>
    <t>754603685200</t>
  </si>
  <si>
    <t>754603685019</t>
  </si>
  <si>
    <t>754603684975</t>
  </si>
  <si>
    <t>BCYB120</t>
  </si>
  <si>
    <t>840118749077</t>
  </si>
  <si>
    <t>840118749084</t>
  </si>
  <si>
    <t>840118749091</t>
  </si>
  <si>
    <t>840118749107</t>
  </si>
  <si>
    <t>840118749114</t>
  </si>
  <si>
    <t>840118749121</t>
  </si>
  <si>
    <t>840118749138</t>
  </si>
  <si>
    <t>840118749145</t>
  </si>
  <si>
    <t>840118749169</t>
  </si>
  <si>
    <t>840118749176</t>
  </si>
  <si>
    <t>840118749183</t>
  </si>
  <si>
    <t>840118749190</t>
  </si>
  <si>
    <t>840118749213</t>
  </si>
  <si>
    <t>ParentSKU</t>
  </si>
  <si>
    <t>VariantSKU</t>
  </si>
  <si>
    <t>QtyAvailable</t>
  </si>
  <si>
    <t>OrdersProcessed</t>
  </si>
  <si>
    <t>Merchant SKU</t>
  </si>
  <si>
    <t>Rejection Reasons</t>
  </si>
  <si>
    <t>Sell Price</t>
  </si>
  <si>
    <t>Customer Ship Fee</t>
  </si>
  <si>
    <t>Y</t>
  </si>
  <si>
    <t>Game Time NFL 42/44mm Apple Watch Silicone Band</t>
  </si>
  <si>
    <t>Display</t>
  </si>
  <si>
    <t>/Users/josh/Desktop/797f2014-e447-407d-b726-3568d6ed4c1d.csv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</si>
</sst>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F800]dddd\,\ mmmm\ dd\,\ yyyy"/>
  </numFmts>
  <fonts count="24">
    <font>
      <sz val="12"/>
      <color theme="1"/>
      <name val="Calibri"/>
      <family val="2"/>
      <scheme val="minor"/>
    </font>
    <font>
      <sz val="11"/>
      <color theme="1"/>
      <name val="Calibri"/>
      <family val="2"/>
      <scheme val="minor"/>
    </font>
    <font>
      <sz val="11"/>
      <color indexed="8"/>
      <name val="Calibri"/>
      <family val="2"/>
    </font>
    <font>
      <sz val="10"/>
      <name val="Arial"/>
      <family val="2"/>
    </font>
    <font>
      <sz val="10"/>
      <color rgb="FFFFFFFF"/>
      <name val="Arial"/>
      <family val="2"/>
    </font>
    <font>
      <sz val="8"/>
      <color rgb="FFFFFFFF"/>
      <name val="Arial"/>
      <family val="2"/>
    </font>
    <font>
      <sz val="11"/>
      <color rgb="FF000000"/>
      <name val="Calibri"/>
      <family val="2"/>
      <scheme val="minor"/>
    </font>
    <font>
      <sz val="10"/>
      <color theme="1"/>
      <name val="Arial"/>
      <family val="2"/>
    </font>
    <font>
      <sz val="12"/>
      <name val="Calibri"/>
      <family val="2"/>
      <scheme val="minor"/>
    </font>
    <font>
      <sz val="12"/>
      <color rgb="FF000000"/>
      <name val="Calibri"/>
      <family val="2"/>
      <scheme val="minor"/>
    </font>
    <font>
      <sz val="12"/>
      <color rgb="FF000000"/>
      <name val="Helvetica"/>
      <family val="2"/>
    </font>
    <font>
      <sz val="12"/>
      <color theme="1"/>
      <name val="Calibri"/>
      <family val="2"/>
    </font>
    <font>
      <sz val="12"/>
      <color rgb="FF444649"/>
      <name val="Calibri"/>
      <family val="2"/>
      <scheme val="minor"/>
    </font>
    <font>
      <sz val="8"/>
      <color rgb="FF444649"/>
      <name val="Arial"/>
      <family val="2"/>
    </font>
    <font>
      <sz val="12"/>
      <color theme="1"/>
      <name val="Calibri"/>
      <family val="2"/>
      <scheme val="minor"/>
    </font>
    <font>
      <b/>
      <sz val="12"/>
      <color theme="1"/>
      <name val="Calibri"/>
      <family val="2"/>
      <scheme val="minor"/>
    </font>
    <font>
      <b/>
      <sz val="12"/>
      <color rgb="FFFF0000"/>
      <name val="Calibri (Body)"/>
    </font>
    <font>
      <sz val="10"/>
      <name val="Arial"/>
      <family val="2"/>
      <charset val="238"/>
    </font>
    <font>
      <sz val="8"/>
      <color indexed="9"/>
      <name val="Arial"/>
      <family val="2"/>
    </font>
    <font>
      <b/>
      <sz val="11"/>
      <color rgb="FF000000"/>
      <name val="Calibri"/>
      <family val="2"/>
    </font>
    <font>
      <sz val="11"/>
      <color rgb="FF000000"/>
      <name val="Calibri"/>
      <family val="2"/>
    </font>
    <font>
      <sz val="12"/>
      <color rgb="FF000000"/>
      <name val="Calibri"/>
      <family val="2"/>
    </font>
    <font>
      <sz val="11"/>
      <color rgb="FF444649"/>
      <name val="Arial"/>
      <family val="2"/>
    </font>
    <font>
      <b/>
      <sz val="11"/>
      <color theme="1"/>
      <name val="Calibri"/>
      <family val="2"/>
      <scheme val="minor"/>
    </font>
  </fonts>
  <fills count="13">
    <fill>
      <patternFill patternType="none"/>
    </fill>
    <fill>
      <patternFill patternType="gray125"/>
    </fill>
    <fill>
      <patternFill patternType="solid">
        <fgColor rgb="FF99CC00"/>
        <bgColor rgb="FF000000"/>
      </patternFill>
    </fill>
    <fill>
      <patternFill patternType="solid">
        <fgColor rgb="FFFFFF00"/>
        <bgColor rgb="FF000000"/>
      </patternFill>
    </fill>
    <fill>
      <patternFill patternType="solid">
        <fgColor rgb="FF969696"/>
        <bgColor rgb="FF000000"/>
      </patternFill>
    </fill>
    <fill>
      <patternFill patternType="solid">
        <fgColor rgb="FFC0C0C0"/>
        <bgColor rgb="FF99CC00"/>
      </patternFill>
    </fill>
    <fill>
      <patternFill patternType="solid">
        <fgColor rgb="FFC0C0C0"/>
        <bgColor rgb="FF000000"/>
      </patternFill>
    </fill>
    <fill>
      <patternFill patternType="solid">
        <fgColor indexed="51"/>
        <bgColor indexed="64"/>
      </patternFill>
    </fill>
    <fill>
      <patternFill patternType="solid">
        <fgColor indexed="22"/>
        <bgColor indexed="64"/>
      </patternFill>
    </fill>
    <fill>
      <patternFill patternType="solid">
        <fgColor indexed="9"/>
        <bgColor indexed="64"/>
      </patternFill>
    </fill>
    <fill>
      <patternFill patternType="solid">
        <fgColor rgb="FFFFFFFF"/>
      </patternFill>
    </fill>
    <fill>
      <patternFill patternType="solid">
        <fgColor theme="8" tint="0.39997558519241921"/>
        <bgColor indexed="64"/>
      </patternFill>
    </fill>
    <fill>
      <patternFill patternType="solid">
        <fgColor indexed="22"/>
        <bgColor indexed="50"/>
      </patternFill>
    </fill>
  </fills>
  <borders count="16">
    <border>
      <left/>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rgb="FFE0E0E0"/>
      </right>
      <top/>
      <bottom style="thin">
        <color rgb="FFE0E0E0"/>
      </bottom>
      <diagonal/>
    </border>
    <border>
      <left style="thin">
        <color auto="1"/>
      </left>
      <right/>
      <top/>
      <bottom/>
      <diagonal/>
    </border>
    <border>
      <left/>
      <right style="thin">
        <color rgb="FFE0E0E0"/>
      </right>
      <top/>
      <bottom/>
      <diagonal/>
    </border>
    <border>
      <left style="thin">
        <color indexed="64"/>
      </left>
      <right style="thin">
        <color indexed="64"/>
      </right>
      <top style="thin">
        <color indexed="64"/>
      </top>
      <bottom style="medium">
        <color indexed="64"/>
      </bottom>
      <diagonal/>
    </border>
  </borders>
  <cellStyleXfs count="6">
    <xf numFmtId="0" fontId="0" fillId="0" borderId="0"/>
    <xf numFmtId="0" fontId="3" fillId="0" borderId="0"/>
    <xf numFmtId="44" fontId="17" fillId="0" borderId="0" applyFont="0" applyFill="0" applyBorder="0" applyAlignment="0" applyProtection="0"/>
    <xf numFmtId="0" fontId="14" fillId="0" borderId="0"/>
    <xf numFmtId="0" fontId="1" fillId="0" borderId="0"/>
    <xf numFmtId="9" fontId="3" fillId="0" borderId="0" applyFont="0" applyFill="0" applyBorder="0" applyAlignment="0" applyProtection="0"/>
  </cellStyleXfs>
  <cellXfs count="144">
    <xf numFmtId="0" fontId="0" fillId="0" borderId="0" xfId="0"/>
    <xf numFmtId="0" fontId="0" fillId="0" borderId="0" xfId="0" applyFont="1"/>
    <xf numFmtId="0" fontId="2" fillId="0" borderId="0" xfId="0" applyFont="1" applyFill="1"/>
    <xf numFmtId="14" fontId="0" fillId="0" borderId="0" xfId="0" applyNumberFormat="1"/>
    <xf numFmtId="0" fontId="0" fillId="0" borderId="0" xfId="0" applyFill="1"/>
    <xf numFmtId="49" fontId="4" fillId="2" borderId="0" xfId="0" applyNumberFormat="1" applyFont="1" applyFill="1"/>
    <xf numFmtId="2" fontId="4" fillId="3" borderId="0" xfId="0" applyNumberFormat="1" applyFont="1" applyFill="1"/>
    <xf numFmtId="4" fontId="4" fillId="2" borderId="0" xfId="0" applyNumberFormat="1" applyFont="1" applyFill="1"/>
    <xf numFmtId="49" fontId="4" fillId="3" borderId="1" xfId="0" applyNumberFormat="1" applyFont="1" applyFill="1" applyBorder="1"/>
    <xf numFmtId="49" fontId="4" fillId="3" borderId="2" xfId="0" applyNumberFormat="1" applyFont="1" applyFill="1" applyBorder="1"/>
    <xf numFmtId="49" fontId="4" fillId="2" borderId="1" xfId="0" applyNumberFormat="1" applyFont="1" applyFill="1" applyBorder="1"/>
    <xf numFmtId="49" fontId="4" fillId="2" borderId="2" xfId="0" applyNumberFormat="1" applyFont="1" applyFill="1" applyBorder="1"/>
    <xf numFmtId="0" fontId="5" fillId="5" borderId="3" xfId="0" applyFont="1" applyFill="1" applyBorder="1" applyAlignment="1">
      <alignment wrapText="1"/>
    </xf>
    <xf numFmtId="1" fontId="5" fillId="5" borderId="3" xfId="0" applyNumberFormat="1" applyFont="1" applyFill="1" applyBorder="1" applyAlignment="1">
      <alignment wrapText="1"/>
    </xf>
    <xf numFmtId="49" fontId="5" fillId="5" borderId="3" xfId="0" applyNumberFormat="1" applyFont="1" applyFill="1" applyBorder="1" applyAlignment="1">
      <alignment wrapText="1"/>
    </xf>
    <xf numFmtId="2" fontId="5" fillId="5" borderId="3" xfId="0" applyNumberFormat="1" applyFont="1" applyFill="1" applyBorder="1" applyAlignment="1">
      <alignment wrapText="1"/>
    </xf>
    <xf numFmtId="4" fontId="5" fillId="5" borderId="3" xfId="0" applyNumberFormat="1" applyFont="1" applyFill="1" applyBorder="1" applyAlignment="1">
      <alignment wrapText="1"/>
    </xf>
    <xf numFmtId="0" fontId="5" fillId="6" borderId="2" xfId="0" applyFont="1" applyFill="1" applyBorder="1" applyAlignment="1">
      <alignment wrapText="1"/>
    </xf>
    <xf numFmtId="49" fontId="5" fillId="6" borderId="2" xfId="0" applyNumberFormat="1" applyFont="1" applyFill="1" applyBorder="1" applyAlignment="1">
      <alignment wrapText="1"/>
    </xf>
    <xf numFmtId="49" fontId="5" fillId="5" borderId="4" xfId="0" applyNumberFormat="1" applyFont="1" applyFill="1" applyBorder="1" applyAlignment="1">
      <alignment wrapText="1"/>
    </xf>
    <xf numFmtId="1" fontId="5" fillId="5" borderId="1" xfId="0" applyNumberFormat="1" applyFont="1" applyFill="1" applyBorder="1" applyAlignment="1">
      <alignment wrapText="1"/>
    </xf>
    <xf numFmtId="1" fontId="5" fillId="5" borderId="2" xfId="0" applyNumberFormat="1" applyFont="1" applyFill="1" applyBorder="1" applyAlignment="1">
      <alignment wrapText="1"/>
    </xf>
    <xf numFmtId="49" fontId="5" fillId="5" borderId="2" xfId="0" applyNumberFormat="1" applyFont="1" applyFill="1" applyBorder="1" applyAlignment="1">
      <alignment wrapText="1"/>
    </xf>
    <xf numFmtId="0" fontId="6" fillId="0" borderId="0" xfId="0" applyFont="1"/>
    <xf numFmtId="0" fontId="0" fillId="0" borderId="0" xfId="0" applyNumberFormat="1"/>
    <xf numFmtId="0" fontId="0" fillId="0" borderId="0" xfId="0" applyFont="1" applyFill="1"/>
    <xf numFmtId="0" fontId="3" fillId="7" borderId="3" xfId="1" applyFill="1" applyBorder="1"/>
    <xf numFmtId="0" fontId="0" fillId="0" borderId="0" xfId="0" applyAlignment="1">
      <alignment horizontal="left"/>
    </xf>
    <xf numFmtId="0" fontId="3" fillId="7" borderId="7" xfId="1" applyFill="1" applyBorder="1"/>
    <xf numFmtId="1" fontId="3" fillId="7" borderId="7" xfId="1" applyNumberFormat="1" applyFill="1" applyBorder="1"/>
    <xf numFmtId="1" fontId="3" fillId="0" borderId="7" xfId="1" applyNumberFormat="1" applyBorder="1"/>
    <xf numFmtId="0" fontId="3" fillId="0" borderId="7" xfId="1" applyBorder="1"/>
    <xf numFmtId="0" fontId="3" fillId="8" borderId="7" xfId="1" applyFill="1" applyBorder="1"/>
    <xf numFmtId="2" fontId="3" fillId="8" borderId="7" xfId="1" applyNumberFormat="1" applyFill="1" applyBorder="1"/>
    <xf numFmtId="4" fontId="3" fillId="0" borderId="7" xfId="1" applyNumberFormat="1" applyBorder="1"/>
    <xf numFmtId="49" fontId="3" fillId="0" borderId="9" xfId="1" applyNumberFormat="1" applyBorder="1"/>
    <xf numFmtId="0" fontId="3" fillId="9" borderId="6" xfId="1" applyFill="1" applyBorder="1"/>
    <xf numFmtId="1" fontId="3" fillId="8" borderId="7" xfId="1" applyNumberFormat="1" applyFill="1" applyBorder="1"/>
    <xf numFmtId="49" fontId="3" fillId="7" borderId="7" xfId="1" applyNumberFormat="1" applyFill="1" applyBorder="1"/>
    <xf numFmtId="1" fontId="0" fillId="0" borderId="0" xfId="0" applyNumberFormat="1" applyAlignment="1">
      <alignment horizontal="left"/>
    </xf>
    <xf numFmtId="0" fontId="3" fillId="0" borderId="0" xfId="1"/>
    <xf numFmtId="0" fontId="3" fillId="0" borderId="9" xfId="1" applyBorder="1"/>
    <xf numFmtId="49" fontId="3" fillId="0" borderId="7" xfId="1" applyNumberFormat="1" applyBorder="1"/>
    <xf numFmtId="0" fontId="3" fillId="9" borderId="8" xfId="1" applyFill="1" applyBorder="1"/>
    <xf numFmtId="1" fontId="4" fillId="4" borderId="2" xfId="0" applyNumberFormat="1" applyFont="1" applyFill="1" applyBorder="1"/>
    <xf numFmtId="1" fontId="0" fillId="0" borderId="0" xfId="0" applyNumberFormat="1"/>
    <xf numFmtId="49" fontId="0" fillId="0" borderId="0" xfId="0" applyNumberFormat="1" applyFont="1" applyAlignment="1"/>
    <xf numFmtId="1" fontId="0" fillId="0" borderId="0" xfId="0" applyNumberFormat="1" applyFont="1" applyProtection="1">
      <protection locked="0"/>
    </xf>
    <xf numFmtId="49" fontId="8" fillId="0" borderId="0" xfId="0" applyNumberFormat="1" applyFont="1" applyAlignment="1"/>
    <xf numFmtId="0" fontId="9" fillId="0" borderId="0" xfId="0" applyFont="1" applyBorder="1" applyAlignment="1">
      <alignment vertical="center" wrapText="1"/>
    </xf>
    <xf numFmtId="49" fontId="6" fillId="0" borderId="0" xfId="0" applyNumberFormat="1" applyFont="1"/>
    <xf numFmtId="49" fontId="0" fillId="0" borderId="0" xfId="0" applyNumberFormat="1"/>
    <xf numFmtId="0" fontId="11" fillId="0" borderId="0" xfId="0" applyFont="1"/>
    <xf numFmtId="0" fontId="12" fillId="10" borderId="12" xfId="0" applyFont="1" applyFill="1" applyBorder="1" applyAlignment="1">
      <alignment horizontal="left" vertical="top"/>
    </xf>
    <xf numFmtId="0" fontId="13" fillId="10" borderId="12" xfId="0" applyFont="1" applyFill="1" applyBorder="1" applyAlignment="1">
      <alignment horizontal="left" vertical="top"/>
    </xf>
    <xf numFmtId="0" fontId="0" fillId="0" borderId="0" xfId="0" applyFill="1" applyAlignment="1">
      <alignment vertical="center"/>
    </xf>
    <xf numFmtId="0" fontId="0" fillId="0" borderId="0" xfId="0" applyAlignment="1">
      <alignment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49" fontId="0" fillId="0" borderId="0" xfId="0" applyNumberFormat="1" applyAlignment="1">
      <alignment horizontal="left"/>
    </xf>
    <xf numFmtId="0" fontId="0" fillId="0" borderId="0" xfId="0" applyAlignment="1">
      <alignment horizontal="center" vertical="center"/>
    </xf>
    <xf numFmtId="49" fontId="0" fillId="0" borderId="0" xfId="0" applyNumberFormat="1" applyAlignment="1">
      <alignment horizontal="left" vertical="center"/>
    </xf>
    <xf numFmtId="0" fontId="3" fillId="0" borderId="3" xfId="0" applyFont="1" applyBorder="1"/>
    <xf numFmtId="0" fontId="7" fillId="0" borderId="8" xfId="0" applyFont="1" applyBorder="1"/>
    <xf numFmtId="0" fontId="3" fillId="0" borderId="7" xfId="0" applyFont="1" applyBorder="1"/>
    <xf numFmtId="1" fontId="0" fillId="0" borderId="7" xfId="0" applyNumberFormat="1" applyBorder="1"/>
    <xf numFmtId="0" fontId="0" fillId="0" borderId="7" xfId="0" applyBorder="1"/>
    <xf numFmtId="0" fontId="7" fillId="0" borderId="3" xfId="0" applyFont="1" applyBorder="1"/>
    <xf numFmtId="2" fontId="0" fillId="0" borderId="7" xfId="0" applyNumberFormat="1" applyBorder="1"/>
    <xf numFmtId="4" fontId="0" fillId="0" borderId="7" xfId="0" applyNumberFormat="1" applyBorder="1"/>
    <xf numFmtId="49" fontId="0" fillId="0" borderId="7" xfId="0" applyNumberFormat="1" applyBorder="1"/>
    <xf numFmtId="49" fontId="0" fillId="0" borderId="8" xfId="0" applyNumberFormat="1" applyBorder="1"/>
    <xf numFmtId="0" fontId="3" fillId="0" borderId="8" xfId="0" applyFont="1" applyBorder="1"/>
    <xf numFmtId="0" fontId="3" fillId="0" borderId="6" xfId="0" applyFont="1" applyBorder="1"/>
    <xf numFmtId="49" fontId="0" fillId="0" borderId="9" xfId="0" applyNumberFormat="1" applyBorder="1"/>
    <xf numFmtId="0" fontId="0" fillId="0" borderId="9" xfId="0" applyBorder="1"/>
    <xf numFmtId="0" fontId="7" fillId="0" borderId="7" xfId="0" applyFont="1" applyBorder="1"/>
    <xf numFmtId="1" fontId="0" fillId="0" borderId="8" xfId="0" applyNumberFormat="1" applyBorder="1"/>
    <xf numFmtId="164" fontId="0" fillId="0" borderId="7" xfId="0" applyNumberFormat="1" applyBorder="1"/>
    <xf numFmtId="0" fontId="7" fillId="0" borderId="10" xfId="0" applyFont="1" applyBorder="1"/>
    <xf numFmtId="0" fontId="7" fillId="0" borderId="5" xfId="0" applyFont="1" applyBorder="1"/>
    <xf numFmtId="0" fontId="0" fillId="0" borderId="8" xfId="0" applyBorder="1"/>
    <xf numFmtId="0" fontId="7" fillId="0" borderId="11" xfId="0" applyFont="1" applyBorder="1"/>
    <xf numFmtId="0" fontId="7" fillId="0" borderId="7" xfId="0" applyFont="1" applyBorder="1" applyAlignment="1">
      <alignment vertical="center" wrapText="1"/>
    </xf>
    <xf numFmtId="0" fontId="0" fillId="0" borderId="3" xfId="0" applyBorder="1"/>
    <xf numFmtId="1" fontId="4" fillId="2" borderId="0" xfId="0" applyNumberFormat="1" applyFont="1" applyFill="1"/>
    <xf numFmtId="49" fontId="3" fillId="0" borderId="8" xfId="1" applyNumberFormat="1" applyBorder="1"/>
    <xf numFmtId="0" fontId="3" fillId="0" borderId="8" xfId="1" applyBorder="1"/>
    <xf numFmtId="0" fontId="3" fillId="0" borderId="6" xfId="1" applyBorder="1"/>
    <xf numFmtId="1" fontId="3" fillId="0" borderId="8" xfId="1" applyNumberFormat="1" applyBorder="1"/>
    <xf numFmtId="0" fontId="10" fillId="0" borderId="0" xfId="0" applyFont="1"/>
    <xf numFmtId="1" fontId="10" fillId="0" borderId="0" xfId="0" applyNumberFormat="1" applyFont="1"/>
    <xf numFmtId="1" fontId="18" fillId="12" borderId="7" xfId="0" applyNumberFormat="1" applyFont="1" applyFill="1" applyBorder="1" applyAlignment="1">
      <alignment wrapText="1"/>
    </xf>
    <xf numFmtId="0" fontId="3" fillId="0" borderId="3" xfId="0" applyFont="1" applyFill="1" applyBorder="1"/>
    <xf numFmtId="1" fontId="0" fillId="0" borderId="0" xfId="0" applyNumberFormat="1" applyBorder="1" applyAlignment="1">
      <alignment horizontal="left"/>
    </xf>
    <xf numFmtId="0" fontId="3" fillId="0" borderId="7" xfId="0" applyFont="1" applyFill="1" applyBorder="1"/>
    <xf numFmtId="1" fontId="0" fillId="0" borderId="7" xfId="0" applyNumberFormat="1" applyFill="1" applyBorder="1"/>
    <xf numFmtId="0" fontId="0" fillId="0" borderId="7" xfId="0" applyNumberFormat="1" applyFill="1" applyBorder="1"/>
    <xf numFmtId="0" fontId="0" fillId="0" borderId="7" xfId="0" applyFill="1" applyBorder="1"/>
    <xf numFmtId="0" fontId="0" fillId="0" borderId="0" xfId="0" applyBorder="1" applyAlignment="1">
      <alignment horizontal="left"/>
    </xf>
    <xf numFmtId="0" fontId="7" fillId="0" borderId="3" xfId="0" applyFont="1" applyFill="1" applyBorder="1"/>
    <xf numFmtId="2" fontId="0" fillId="0" borderId="7" xfId="0" applyNumberFormat="1" applyFill="1" applyBorder="1"/>
    <xf numFmtId="4" fontId="0" fillId="0" borderId="7" xfId="0" applyNumberFormat="1" applyFill="1" applyBorder="1"/>
    <xf numFmtId="0" fontId="0" fillId="0" borderId="8" xfId="0" applyFill="1" applyBorder="1"/>
    <xf numFmtId="0" fontId="0" fillId="0" borderId="6" xfId="0" applyFill="1" applyBorder="1"/>
    <xf numFmtId="49" fontId="0" fillId="0" borderId="9" xfId="0" applyNumberFormat="1" applyFill="1" applyBorder="1"/>
    <xf numFmtId="0" fontId="0" fillId="0" borderId="9" xfId="0" applyFill="1" applyBorder="1"/>
    <xf numFmtId="0" fontId="7" fillId="0" borderId="7" xfId="0" applyFont="1" applyFill="1" applyBorder="1"/>
    <xf numFmtId="0" fontId="3" fillId="0" borderId="8" xfId="0" applyFont="1" applyFill="1" applyBorder="1"/>
    <xf numFmtId="49" fontId="0" fillId="0" borderId="7" xfId="0" applyNumberFormat="1" applyFill="1" applyBorder="1"/>
    <xf numFmtId="164" fontId="0" fillId="0" borderId="7" xfId="0" applyNumberFormat="1" applyFill="1" applyBorder="1"/>
    <xf numFmtId="0" fontId="0" fillId="0" borderId="3" xfId="0" applyFill="1" applyBorder="1"/>
    <xf numFmtId="1" fontId="6" fillId="0" borderId="0" xfId="0" applyNumberFormat="1" applyFont="1" applyBorder="1" applyAlignment="1">
      <alignment horizontal="left" vertical="center" wrapText="1"/>
    </xf>
    <xf numFmtId="0" fontId="6" fillId="0" borderId="0" xfId="0" applyFont="1" applyBorder="1" applyAlignment="1">
      <alignment horizontal="left" vertical="center" wrapText="1"/>
    </xf>
    <xf numFmtId="1" fontId="13" fillId="10" borderId="12" xfId="0" applyNumberFormat="1" applyFont="1" applyFill="1" applyBorder="1" applyAlignment="1">
      <alignment horizontal="left" vertical="top"/>
    </xf>
    <xf numFmtId="0" fontId="0" fillId="0" borderId="0" xfId="0" applyBorder="1"/>
    <xf numFmtId="0" fontId="0" fillId="0" borderId="0" xfId="0" applyFont="1" applyAlignment="1">
      <alignment horizontal="left"/>
    </xf>
    <xf numFmtId="0" fontId="19" fillId="0" borderId="0" xfId="0" applyFont="1"/>
    <xf numFmtId="0" fontId="20" fillId="0" borderId="0" xfId="0" applyFont="1"/>
    <xf numFmtId="0" fontId="0" fillId="0" borderId="7" xfId="0" applyBorder="1" applyAlignment="1">
      <alignment horizontal="left"/>
    </xf>
    <xf numFmtId="0" fontId="0" fillId="0" borderId="7" xfId="0" applyFont="1" applyBorder="1" applyAlignment="1">
      <alignment horizontal="left"/>
    </xf>
    <xf numFmtId="0" fontId="0" fillId="0" borderId="15" xfId="0" applyBorder="1" applyAlignment="1">
      <alignment horizontal="left"/>
    </xf>
    <xf numFmtId="0" fontId="12" fillId="10" borderId="0" xfId="0" applyFont="1" applyFill="1" applyBorder="1" applyAlignment="1">
      <alignment horizontal="left" vertical="top"/>
    </xf>
    <xf numFmtId="0" fontId="0" fillId="0" borderId="12" xfId="0" applyFont="1" applyBorder="1" applyAlignment="1">
      <alignment horizontal="left"/>
    </xf>
    <xf numFmtId="0" fontId="9" fillId="0" borderId="12" xfId="0" applyFont="1" applyBorder="1" applyAlignment="1">
      <alignment horizontal="left"/>
    </xf>
    <xf numFmtId="0" fontId="13" fillId="10" borderId="0" xfId="0" applyFont="1" applyFill="1" applyBorder="1" applyAlignment="1">
      <alignment horizontal="left" vertical="top"/>
    </xf>
    <xf numFmtId="0" fontId="0" fillId="0" borderId="14" xfId="0" applyFont="1" applyBorder="1" applyAlignment="1">
      <alignment horizontal="left"/>
    </xf>
    <xf numFmtId="1" fontId="0" fillId="0" borderId="12" xfId="0" applyNumberFormat="1" applyFont="1" applyBorder="1" applyAlignment="1">
      <alignment horizontal="left"/>
    </xf>
    <xf numFmtId="0" fontId="22" fillId="0" borderId="0" xfId="0" applyFont="1" applyAlignment="1">
      <alignment horizontal="left"/>
    </xf>
    <xf numFmtId="0" fontId="13" fillId="0" borderId="0" xfId="0" applyFont="1"/>
    <xf numFmtId="0" fontId="0" fillId="0" borderId="0" xfId="0" applyFont="1" applyBorder="1" applyAlignment="1">
      <alignment horizontal="left"/>
    </xf>
    <xf numFmtId="0" fontId="0" fillId="10" borderId="12" xfId="0" applyFont="1" applyFill="1" applyBorder="1" applyAlignment="1">
      <alignment horizontal="left" vertical="top"/>
    </xf>
    <xf numFmtId="1" fontId="12" fillId="10" borderId="12" xfId="0" applyNumberFormat="1" applyFont="1" applyFill="1" applyBorder="1" applyAlignment="1">
      <alignment horizontal="left" vertical="top"/>
    </xf>
    <xf numFmtId="0" fontId="12" fillId="0" borderId="12" xfId="0" applyFont="1" applyBorder="1" applyAlignment="1">
      <alignment horizontal="left"/>
    </xf>
    <xf numFmtId="0" fontId="12" fillId="0" borderId="0" xfId="0" applyFont="1"/>
    <xf numFmtId="49" fontId="23" fillId="0" borderId="4" xfId="0" applyNumberFormat="1" applyFont="1" applyBorder="1" applyAlignment="1">
      <alignment wrapText="1"/>
    </xf>
    <xf numFmtId="1" fontId="23" fillId="0" borderId="4" xfId="0" applyNumberFormat="1" applyFont="1" applyBorder="1" applyAlignment="1">
      <alignment wrapText="1"/>
    </xf>
    <xf numFmtId="1" fontId="0" fillId="0" borderId="0" xfId="0" applyNumberFormat="1" applyFont="1"/>
    <xf numFmtId="0" fontId="1" fillId="0" borderId="0" xfId="0" applyFont="1"/>
    <xf numFmtId="2" fontId="0" fillId="0" borderId="0" xfId="0" applyNumberFormat="1"/>
    <xf numFmtId="1" fontId="1" fillId="0" borderId="0" xfId="0" applyNumberFormat="1" applyFont="1"/>
    <xf numFmtId="0" fontId="15" fillId="11" borderId="9" xfId="0" applyFont="1" applyFill="1" applyBorder="1" applyAlignment="1">
      <alignment horizontal="center" vertical="center"/>
    </xf>
    <xf numFmtId="0" fontId="15" fillId="11" borderId="1" xfId="0" applyFont="1" applyFill="1" applyBorder="1" applyAlignment="1">
      <alignment horizontal="center" vertical="center"/>
    </xf>
    <xf numFmtId="0" fontId="15" fillId="11" borderId="13" xfId="0" applyFont="1" applyFill="1" applyBorder="1" applyAlignment="1">
      <alignment horizontal="center" vertical="center"/>
    </xf>
  </cellXfs>
  <cellStyles count="6">
    <cellStyle name="Currency 2" xfId="2" xr:uid="{00000000-0005-0000-0000-000000000000}"/>
    <cellStyle name="Normal" xfId="0" builtinId="0"/>
    <cellStyle name="Normal 2" xfId="1" xr:uid="{00000000-0005-0000-0000-000002000000}"/>
    <cellStyle name="Normal 2 2" xfId="3" xr:uid="{00000000-0005-0000-0000-000003000000}"/>
    <cellStyle name="Normal 3" xfId="4" xr:uid="{00000000-0005-0000-0000-000004000000}"/>
    <cellStyle name="Percent 3 3" xfId="5" xr:uid="{00000000-0005-0000-0000-000005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266700</xdr:colOff>
          <xdr:row>0</xdr:row>
          <xdr:rowOff>177800</xdr:rowOff>
        </xdr:from>
        <xdr:to>
          <xdr:col>14</xdr:col>
          <xdr:colOff>139700</xdr:colOff>
          <xdr:row>3</xdr:row>
          <xdr:rowOff>38100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Update On Hand/Pre-Allocate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292100</xdr:colOff>
          <xdr:row>4</xdr:row>
          <xdr:rowOff>63500</xdr:rowOff>
        </xdr:from>
        <xdr:to>
          <xdr:col>14</xdr:col>
          <xdr:colOff>165100</xdr:colOff>
          <xdr:row>6</xdr:row>
          <xdr:rowOff>38100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Allocate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177800</xdr:rowOff>
        </xdr:from>
        <xdr:to>
          <xdr:col>5</xdr:col>
          <xdr:colOff>355600</xdr:colOff>
          <xdr:row>3</xdr:row>
          <xdr:rowOff>139700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Browse for Master Inventory File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osh/Desktop/Profitability%20Drop%20Ship%20Assortment%20Templat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josh/Library/Containers/com.apple.mail/Data/Library/Mail%20Downloads/A08EFD8A-3D4B-42EF-B532-C2A7EE86F82C/Profitability%20Drop%20Ship%20Assortment%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ortment"/>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ortment"/>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211"/>
  <sheetViews>
    <sheetView tabSelected="1" topLeftCell="I1" zoomScale="150" workbookViewId="0">
      <pane ySplit="2" topLeftCell="A3" activePane="bottomLeft" state="frozen"/>
      <selection activeCell="I4" sqref="I4"/>
      <selection pane="bottomLeft" activeCell="N27" sqref="N6:N27"/>
    </sheetView>
  </sheetViews>
  <sheetFormatPr baseColWidth="10" defaultColWidth="11" defaultRowHeight="16"/>
  <cols>
    <col min="1" max="1" width="17.33203125" customWidth="1"/>
  </cols>
  <sheetData>
    <row r="1" spans="1:11">
      <c r="C1">
        <v>60</v>
      </c>
      <c r="D1">
        <v>9</v>
      </c>
      <c r="E1">
        <v>9</v>
      </c>
      <c r="F1">
        <v>9</v>
      </c>
      <c r="G1">
        <v>0</v>
      </c>
      <c r="H1">
        <v>9</v>
      </c>
      <c r="I1">
        <v>4</v>
      </c>
      <c r="J1">
        <v>0</v>
      </c>
      <c r="K1">
        <v>0</v>
      </c>
    </row>
    <row r="2" spans="1:11">
      <c r="A2" t="s">
        <v>0</v>
      </c>
      <c r="B2" t="s">
        <v>1286</v>
      </c>
      <c r="C2" t="s">
        <v>1278</v>
      </c>
      <c r="D2" t="s">
        <v>1279</v>
      </c>
      <c r="E2" t="s">
        <v>1280</v>
      </c>
      <c r="F2" t="s">
        <v>1281</v>
      </c>
      <c r="G2" t="s">
        <v>1282</v>
      </c>
      <c r="H2" t="s">
        <v>1283</v>
      </c>
      <c r="I2" t="s">
        <v>1457</v>
      </c>
      <c r="J2" t="s">
        <v>1440</v>
      </c>
      <c r="K2" t="s">
        <v>1441</v>
      </c>
    </row>
    <row r="3" spans="1:11">
      <c r="A3" t="s">
        <v>1952</v>
      </c>
      <c r="B3">
        <v>0</v>
      </c>
      <c r="C3">
        <v>0</v>
      </c>
      <c r="D3">
        <v>0</v>
      </c>
      <c r="E3">
        <v>0</v>
      </c>
      <c r="F3">
        <v>0</v>
      </c>
      <c r="G3">
        <v>0</v>
      </c>
      <c r="H3">
        <v>0</v>
      </c>
      <c r="I3">
        <v>0</v>
      </c>
      <c r="J3">
        <v>0</v>
      </c>
      <c r="K3">
        <v>0</v>
      </c>
    </row>
    <row r="4" spans="1:11">
      <c r="A4" t="s">
        <v>42</v>
      </c>
      <c r="B4">
        <v>4</v>
      </c>
      <c r="C4">
        <v>3</v>
      </c>
      <c r="D4">
        <v>0</v>
      </c>
      <c r="E4">
        <v>0</v>
      </c>
      <c r="F4">
        <v>1</v>
      </c>
      <c r="G4">
        <v>0</v>
      </c>
      <c r="H4">
        <v>0</v>
      </c>
      <c r="I4">
        <v>0</v>
      </c>
      <c r="J4">
        <v>0</v>
      </c>
      <c r="K4">
        <v>0</v>
      </c>
    </row>
    <row r="5" spans="1:11">
      <c r="A5" t="s">
        <v>43</v>
      </c>
      <c r="B5">
        <v>213</v>
      </c>
      <c r="C5">
        <v>161</v>
      </c>
      <c r="D5">
        <v>0</v>
      </c>
      <c r="E5">
        <v>0</v>
      </c>
      <c r="F5">
        <v>52</v>
      </c>
      <c r="G5">
        <v>0</v>
      </c>
      <c r="H5">
        <v>0</v>
      </c>
      <c r="I5">
        <v>0</v>
      </c>
      <c r="J5">
        <v>0</v>
      </c>
      <c r="K5">
        <v>0</v>
      </c>
    </row>
    <row r="6" spans="1:11">
      <c r="A6" t="s">
        <v>44</v>
      </c>
      <c r="B6">
        <v>192</v>
      </c>
      <c r="C6">
        <v>192</v>
      </c>
      <c r="D6">
        <v>0</v>
      </c>
      <c r="E6">
        <v>0</v>
      </c>
      <c r="F6">
        <v>0</v>
      </c>
      <c r="G6">
        <v>0</v>
      </c>
      <c r="H6">
        <v>0</v>
      </c>
      <c r="I6">
        <v>0</v>
      </c>
      <c r="J6">
        <v>0</v>
      </c>
      <c r="K6">
        <v>0</v>
      </c>
    </row>
    <row r="7" spans="1:11">
      <c r="A7" t="s">
        <v>45</v>
      </c>
      <c r="B7">
        <v>152</v>
      </c>
      <c r="C7">
        <v>152</v>
      </c>
      <c r="D7">
        <v>0</v>
      </c>
      <c r="E7">
        <v>0</v>
      </c>
      <c r="F7">
        <v>0</v>
      </c>
      <c r="G7">
        <v>0</v>
      </c>
      <c r="H7">
        <v>0</v>
      </c>
      <c r="I7">
        <v>0</v>
      </c>
      <c r="J7">
        <v>0</v>
      </c>
      <c r="K7">
        <v>0</v>
      </c>
    </row>
    <row r="8" spans="1:11">
      <c r="A8" t="s">
        <v>46</v>
      </c>
      <c r="B8">
        <v>0</v>
      </c>
      <c r="C8">
        <v>0</v>
      </c>
      <c r="D8">
        <v>0</v>
      </c>
      <c r="E8">
        <v>0</v>
      </c>
      <c r="F8">
        <v>0</v>
      </c>
      <c r="G8">
        <v>0</v>
      </c>
      <c r="H8">
        <v>0</v>
      </c>
      <c r="I8">
        <v>0</v>
      </c>
      <c r="J8">
        <v>0</v>
      </c>
      <c r="K8">
        <v>0</v>
      </c>
    </row>
    <row r="9" spans="1:11">
      <c r="A9" t="s">
        <v>47</v>
      </c>
      <c r="B9">
        <v>0</v>
      </c>
      <c r="C9">
        <v>0</v>
      </c>
      <c r="D9">
        <v>0</v>
      </c>
      <c r="E9">
        <v>0</v>
      </c>
      <c r="F9">
        <v>0</v>
      </c>
      <c r="G9">
        <v>0</v>
      </c>
      <c r="H9">
        <v>0</v>
      </c>
      <c r="I9">
        <v>0</v>
      </c>
      <c r="J9">
        <v>0</v>
      </c>
      <c r="K9">
        <v>0</v>
      </c>
    </row>
    <row r="10" spans="1:11">
      <c r="A10" t="s">
        <v>48</v>
      </c>
      <c r="B10">
        <v>137</v>
      </c>
      <c r="C10">
        <v>137</v>
      </c>
      <c r="D10">
        <v>0</v>
      </c>
      <c r="E10">
        <v>0</v>
      </c>
      <c r="F10">
        <v>0</v>
      </c>
      <c r="G10">
        <v>0</v>
      </c>
      <c r="H10">
        <v>0</v>
      </c>
      <c r="I10">
        <v>0</v>
      </c>
      <c r="J10">
        <v>0</v>
      </c>
      <c r="K10">
        <v>0</v>
      </c>
    </row>
    <row r="11" spans="1:11">
      <c r="A11" t="s">
        <v>49</v>
      </c>
      <c r="B11">
        <v>211</v>
      </c>
      <c r="C11">
        <v>211</v>
      </c>
      <c r="D11">
        <v>0</v>
      </c>
      <c r="E11">
        <v>0</v>
      </c>
      <c r="F11">
        <v>0</v>
      </c>
      <c r="G11">
        <v>0</v>
      </c>
      <c r="H11">
        <v>0</v>
      </c>
      <c r="I11">
        <v>0</v>
      </c>
      <c r="J11">
        <v>0</v>
      </c>
      <c r="K11">
        <v>0</v>
      </c>
    </row>
    <row r="12" spans="1:11">
      <c r="A12" t="s">
        <v>50</v>
      </c>
      <c r="B12">
        <v>95</v>
      </c>
      <c r="C12">
        <v>95</v>
      </c>
      <c r="D12">
        <v>0</v>
      </c>
      <c r="E12">
        <v>0</v>
      </c>
      <c r="F12">
        <v>0</v>
      </c>
      <c r="G12">
        <v>0</v>
      </c>
      <c r="H12">
        <v>0</v>
      </c>
      <c r="I12">
        <v>0</v>
      </c>
      <c r="J12">
        <v>0</v>
      </c>
      <c r="K12">
        <v>0</v>
      </c>
    </row>
    <row r="13" spans="1:11">
      <c r="A13" t="s">
        <v>51</v>
      </c>
      <c r="B13">
        <v>24</v>
      </c>
      <c r="C13">
        <v>24</v>
      </c>
      <c r="D13">
        <v>0</v>
      </c>
      <c r="E13">
        <v>0</v>
      </c>
      <c r="F13">
        <v>0</v>
      </c>
      <c r="G13">
        <v>0</v>
      </c>
      <c r="H13">
        <v>0</v>
      </c>
      <c r="I13">
        <v>0</v>
      </c>
      <c r="J13">
        <v>0</v>
      </c>
      <c r="K13">
        <v>0</v>
      </c>
    </row>
    <row r="14" spans="1:11">
      <c r="A14" t="s">
        <v>52</v>
      </c>
      <c r="B14">
        <v>202</v>
      </c>
      <c r="C14">
        <v>202</v>
      </c>
      <c r="D14">
        <v>0</v>
      </c>
      <c r="E14">
        <v>0</v>
      </c>
      <c r="F14">
        <v>0</v>
      </c>
      <c r="G14">
        <v>0</v>
      </c>
      <c r="H14">
        <v>0</v>
      </c>
      <c r="I14">
        <v>0</v>
      </c>
      <c r="J14">
        <v>0</v>
      </c>
      <c r="K14">
        <v>0</v>
      </c>
    </row>
    <row r="15" spans="1:11">
      <c r="A15" t="s">
        <v>53</v>
      </c>
      <c r="B15">
        <v>160</v>
      </c>
      <c r="C15">
        <v>160</v>
      </c>
      <c r="D15">
        <v>0</v>
      </c>
      <c r="E15">
        <v>0</v>
      </c>
      <c r="F15">
        <v>0</v>
      </c>
      <c r="G15">
        <v>0</v>
      </c>
      <c r="H15">
        <v>0</v>
      </c>
      <c r="I15">
        <v>0</v>
      </c>
      <c r="J15">
        <v>0</v>
      </c>
      <c r="K15">
        <v>0</v>
      </c>
    </row>
    <row r="16" spans="1:11">
      <c r="A16" t="s">
        <v>1928</v>
      </c>
      <c r="B16">
        <v>0</v>
      </c>
      <c r="C16">
        <v>0</v>
      </c>
      <c r="D16">
        <v>0</v>
      </c>
      <c r="E16">
        <v>0</v>
      </c>
      <c r="F16">
        <v>0</v>
      </c>
      <c r="G16">
        <v>0</v>
      </c>
      <c r="H16">
        <v>0</v>
      </c>
      <c r="I16">
        <v>0</v>
      </c>
      <c r="J16">
        <v>0</v>
      </c>
      <c r="K16">
        <v>0</v>
      </c>
    </row>
    <row r="17" spans="1:11">
      <c r="A17" t="s">
        <v>54</v>
      </c>
      <c r="B17">
        <v>12</v>
      </c>
      <c r="C17">
        <v>12</v>
      </c>
      <c r="D17">
        <v>0</v>
      </c>
      <c r="E17">
        <v>0</v>
      </c>
      <c r="F17">
        <v>0</v>
      </c>
      <c r="G17">
        <v>0</v>
      </c>
      <c r="H17">
        <v>0</v>
      </c>
      <c r="I17">
        <v>0</v>
      </c>
      <c r="J17">
        <v>0</v>
      </c>
      <c r="K17">
        <v>0</v>
      </c>
    </row>
    <row r="18" spans="1:11">
      <c r="A18" t="s">
        <v>149</v>
      </c>
      <c r="B18">
        <v>0</v>
      </c>
      <c r="C18">
        <v>0</v>
      </c>
      <c r="D18">
        <v>0</v>
      </c>
      <c r="E18">
        <v>0</v>
      </c>
      <c r="F18">
        <v>0</v>
      </c>
      <c r="G18">
        <v>0</v>
      </c>
      <c r="H18">
        <v>0</v>
      </c>
      <c r="I18">
        <v>0</v>
      </c>
      <c r="J18">
        <v>0</v>
      </c>
      <c r="K18">
        <v>0</v>
      </c>
    </row>
    <row r="19" spans="1:11">
      <c r="A19" t="s">
        <v>55</v>
      </c>
      <c r="B19">
        <v>176</v>
      </c>
      <c r="C19">
        <v>176</v>
      </c>
      <c r="D19">
        <v>0</v>
      </c>
      <c r="E19">
        <v>0</v>
      </c>
      <c r="F19">
        <v>0</v>
      </c>
      <c r="G19">
        <v>0</v>
      </c>
      <c r="H19">
        <v>0</v>
      </c>
      <c r="I19">
        <v>0</v>
      </c>
      <c r="J19">
        <v>0</v>
      </c>
      <c r="K19">
        <v>0</v>
      </c>
    </row>
    <row r="20" spans="1:11">
      <c r="A20" t="s">
        <v>56</v>
      </c>
      <c r="B20">
        <v>187</v>
      </c>
      <c r="C20">
        <v>187</v>
      </c>
      <c r="D20">
        <v>0</v>
      </c>
      <c r="E20">
        <v>0</v>
      </c>
      <c r="F20">
        <v>0</v>
      </c>
      <c r="G20">
        <v>0</v>
      </c>
      <c r="H20">
        <v>0</v>
      </c>
      <c r="I20">
        <v>0</v>
      </c>
      <c r="J20">
        <v>0</v>
      </c>
      <c r="K20">
        <v>0</v>
      </c>
    </row>
    <row r="21" spans="1:11">
      <c r="A21" t="s">
        <v>57</v>
      </c>
      <c r="B21">
        <v>103</v>
      </c>
      <c r="C21">
        <v>103</v>
      </c>
      <c r="D21">
        <v>0</v>
      </c>
      <c r="E21">
        <v>0</v>
      </c>
      <c r="F21">
        <v>0</v>
      </c>
      <c r="G21">
        <v>0</v>
      </c>
      <c r="H21">
        <v>0</v>
      </c>
      <c r="I21">
        <v>0</v>
      </c>
      <c r="J21">
        <v>0</v>
      </c>
      <c r="K21">
        <v>0</v>
      </c>
    </row>
    <row r="22" spans="1:11">
      <c r="A22" t="s">
        <v>156</v>
      </c>
      <c r="B22">
        <v>264</v>
      </c>
      <c r="C22">
        <v>161</v>
      </c>
      <c r="D22">
        <v>26</v>
      </c>
      <c r="E22">
        <v>26</v>
      </c>
      <c r="F22">
        <v>26</v>
      </c>
      <c r="G22">
        <v>0</v>
      </c>
      <c r="H22">
        <v>25</v>
      </c>
      <c r="I22">
        <v>0</v>
      </c>
      <c r="J22">
        <v>0</v>
      </c>
      <c r="K22">
        <v>0</v>
      </c>
    </row>
    <row r="23" spans="1:11">
      <c r="A23" t="s">
        <v>157</v>
      </c>
      <c r="B23">
        <v>0</v>
      </c>
      <c r="C23">
        <v>0</v>
      </c>
      <c r="D23">
        <v>0</v>
      </c>
      <c r="E23">
        <v>0</v>
      </c>
      <c r="F23">
        <v>0</v>
      </c>
      <c r="G23">
        <v>0</v>
      </c>
      <c r="H23">
        <v>0</v>
      </c>
      <c r="I23">
        <v>0</v>
      </c>
      <c r="J23">
        <v>0</v>
      </c>
      <c r="K23">
        <v>0</v>
      </c>
    </row>
    <row r="24" spans="1:11">
      <c r="A24" t="s">
        <v>1795</v>
      </c>
      <c r="B24">
        <v>0</v>
      </c>
      <c r="C24">
        <v>0</v>
      </c>
      <c r="D24">
        <v>0</v>
      </c>
      <c r="E24">
        <v>0</v>
      </c>
      <c r="F24">
        <v>0</v>
      </c>
      <c r="G24">
        <v>0</v>
      </c>
      <c r="H24">
        <v>0</v>
      </c>
      <c r="I24">
        <v>0</v>
      </c>
      <c r="J24">
        <v>0</v>
      </c>
      <c r="K24">
        <v>0</v>
      </c>
    </row>
    <row r="25" spans="1:11">
      <c r="A25" t="s">
        <v>1512</v>
      </c>
      <c r="B25">
        <v>82</v>
      </c>
      <c r="C25">
        <v>62</v>
      </c>
      <c r="D25">
        <v>20</v>
      </c>
      <c r="E25">
        <v>0</v>
      </c>
      <c r="F25">
        <v>0</v>
      </c>
      <c r="G25">
        <v>0</v>
      </c>
      <c r="H25">
        <v>0</v>
      </c>
      <c r="I25">
        <v>0</v>
      </c>
      <c r="J25">
        <v>0</v>
      </c>
      <c r="K25">
        <v>0</v>
      </c>
    </row>
    <row r="26" spans="1:11">
      <c r="A26" t="s">
        <v>1551</v>
      </c>
      <c r="B26">
        <v>10</v>
      </c>
      <c r="C26">
        <v>0</v>
      </c>
      <c r="D26">
        <v>0</v>
      </c>
      <c r="E26">
        <v>0</v>
      </c>
      <c r="F26">
        <v>0</v>
      </c>
      <c r="G26">
        <v>0</v>
      </c>
      <c r="H26">
        <v>0</v>
      </c>
      <c r="I26">
        <v>0</v>
      </c>
      <c r="J26">
        <v>0</v>
      </c>
      <c r="K26">
        <v>0</v>
      </c>
    </row>
    <row r="27" spans="1:11">
      <c r="A27" t="s">
        <v>1552</v>
      </c>
      <c r="B27">
        <v>0</v>
      </c>
      <c r="C27">
        <v>0</v>
      </c>
      <c r="D27">
        <v>0</v>
      </c>
      <c r="E27">
        <v>0</v>
      </c>
      <c r="F27">
        <v>0</v>
      </c>
      <c r="G27">
        <v>0</v>
      </c>
      <c r="H27">
        <v>0</v>
      </c>
      <c r="I27">
        <v>0</v>
      </c>
      <c r="J27">
        <v>0</v>
      </c>
      <c r="K27">
        <v>0</v>
      </c>
    </row>
    <row r="28" spans="1:11">
      <c r="A28" t="s">
        <v>158</v>
      </c>
      <c r="B28">
        <v>46</v>
      </c>
      <c r="C28">
        <v>30</v>
      </c>
      <c r="D28">
        <v>7</v>
      </c>
      <c r="E28">
        <v>6</v>
      </c>
      <c r="F28">
        <v>0</v>
      </c>
      <c r="G28">
        <v>0</v>
      </c>
      <c r="H28">
        <v>0</v>
      </c>
      <c r="I28">
        <v>3</v>
      </c>
      <c r="J28">
        <v>0</v>
      </c>
      <c r="K28">
        <v>0</v>
      </c>
    </row>
    <row r="29" spans="1:11">
      <c r="A29" t="s">
        <v>1700</v>
      </c>
      <c r="B29">
        <v>5</v>
      </c>
      <c r="C29">
        <v>0</v>
      </c>
      <c r="D29">
        <v>0</v>
      </c>
      <c r="E29">
        <v>0</v>
      </c>
      <c r="F29">
        <v>0</v>
      </c>
      <c r="G29">
        <v>0</v>
      </c>
      <c r="H29">
        <v>0</v>
      </c>
      <c r="I29">
        <v>0</v>
      </c>
      <c r="J29">
        <v>0</v>
      </c>
      <c r="K29">
        <v>0</v>
      </c>
    </row>
    <row r="30" spans="1:11">
      <c r="A30" t="s">
        <v>1553</v>
      </c>
      <c r="B30">
        <v>9</v>
      </c>
      <c r="C30">
        <v>0</v>
      </c>
      <c r="D30">
        <v>0</v>
      </c>
      <c r="E30">
        <v>0</v>
      </c>
      <c r="F30">
        <v>0</v>
      </c>
      <c r="G30">
        <v>0</v>
      </c>
      <c r="H30">
        <v>0</v>
      </c>
      <c r="I30">
        <v>0</v>
      </c>
      <c r="J30">
        <v>0</v>
      </c>
      <c r="K30">
        <v>0</v>
      </c>
    </row>
    <row r="31" spans="1:11">
      <c r="A31" t="s">
        <v>159</v>
      </c>
      <c r="B31">
        <v>218</v>
      </c>
      <c r="C31">
        <v>131</v>
      </c>
      <c r="D31">
        <v>20</v>
      </c>
      <c r="E31">
        <v>20</v>
      </c>
      <c r="F31">
        <v>20</v>
      </c>
      <c r="G31">
        <v>0</v>
      </c>
      <c r="H31">
        <v>19</v>
      </c>
      <c r="I31">
        <v>8</v>
      </c>
      <c r="J31">
        <v>0</v>
      </c>
      <c r="K31">
        <v>0</v>
      </c>
    </row>
    <row r="32" spans="1:11">
      <c r="A32" t="s">
        <v>1794</v>
      </c>
      <c r="B32">
        <v>0</v>
      </c>
      <c r="C32">
        <v>0</v>
      </c>
      <c r="D32">
        <v>0</v>
      </c>
      <c r="E32">
        <v>0</v>
      </c>
      <c r="F32">
        <v>0</v>
      </c>
      <c r="G32">
        <v>0</v>
      </c>
      <c r="H32">
        <v>0</v>
      </c>
      <c r="I32">
        <v>0</v>
      </c>
      <c r="J32">
        <v>0</v>
      </c>
      <c r="K32">
        <v>0</v>
      </c>
    </row>
    <row r="33" spans="1:11">
      <c r="A33" t="s">
        <v>1514</v>
      </c>
      <c r="B33">
        <v>77</v>
      </c>
      <c r="C33">
        <v>59</v>
      </c>
      <c r="D33">
        <v>18</v>
      </c>
      <c r="E33">
        <v>0</v>
      </c>
      <c r="F33">
        <v>0</v>
      </c>
      <c r="G33">
        <v>0</v>
      </c>
      <c r="H33">
        <v>0</v>
      </c>
      <c r="I33">
        <v>0</v>
      </c>
      <c r="J33">
        <v>0</v>
      </c>
      <c r="K33">
        <v>0</v>
      </c>
    </row>
    <row r="34" spans="1:11">
      <c r="A34" t="s">
        <v>1554</v>
      </c>
      <c r="B34">
        <v>0</v>
      </c>
      <c r="C34">
        <v>0</v>
      </c>
      <c r="D34">
        <v>0</v>
      </c>
      <c r="E34">
        <v>0</v>
      </c>
      <c r="F34">
        <v>0</v>
      </c>
      <c r="G34">
        <v>0</v>
      </c>
      <c r="H34">
        <v>0</v>
      </c>
      <c r="I34">
        <v>0</v>
      </c>
      <c r="J34">
        <v>0</v>
      </c>
      <c r="K34">
        <v>0</v>
      </c>
    </row>
    <row r="35" spans="1:11">
      <c r="A35" t="s">
        <v>1888</v>
      </c>
      <c r="B35">
        <v>0</v>
      </c>
      <c r="C35">
        <v>0</v>
      </c>
      <c r="D35">
        <v>0</v>
      </c>
      <c r="E35">
        <v>0</v>
      </c>
      <c r="F35">
        <v>0</v>
      </c>
      <c r="G35">
        <v>0</v>
      </c>
      <c r="H35">
        <v>0</v>
      </c>
      <c r="I35">
        <v>0</v>
      </c>
      <c r="J35">
        <v>0</v>
      </c>
      <c r="K35">
        <v>0</v>
      </c>
    </row>
    <row r="36" spans="1:11">
      <c r="A36" t="s">
        <v>160</v>
      </c>
      <c r="B36">
        <v>77</v>
      </c>
      <c r="C36">
        <v>47</v>
      </c>
      <c r="D36">
        <v>7</v>
      </c>
      <c r="E36">
        <v>7</v>
      </c>
      <c r="F36">
        <v>7</v>
      </c>
      <c r="G36">
        <v>0</v>
      </c>
      <c r="H36">
        <v>6</v>
      </c>
      <c r="I36">
        <v>3</v>
      </c>
      <c r="J36">
        <v>0</v>
      </c>
      <c r="K36">
        <v>0</v>
      </c>
    </row>
    <row r="37" spans="1:11">
      <c r="A37" t="s">
        <v>1885</v>
      </c>
      <c r="B37">
        <v>15</v>
      </c>
      <c r="C37">
        <v>0</v>
      </c>
      <c r="D37">
        <v>0</v>
      </c>
      <c r="E37">
        <v>0</v>
      </c>
      <c r="F37">
        <v>0</v>
      </c>
      <c r="G37">
        <v>0</v>
      </c>
      <c r="H37">
        <v>0</v>
      </c>
      <c r="I37">
        <v>0</v>
      </c>
      <c r="J37">
        <v>0</v>
      </c>
      <c r="K37">
        <v>0</v>
      </c>
    </row>
    <row r="38" spans="1:11">
      <c r="A38" t="s">
        <v>1471</v>
      </c>
      <c r="B38">
        <v>46</v>
      </c>
      <c r="C38">
        <v>35</v>
      </c>
      <c r="D38">
        <v>11</v>
      </c>
      <c r="E38">
        <v>0</v>
      </c>
      <c r="F38">
        <v>0</v>
      </c>
      <c r="G38">
        <v>0</v>
      </c>
      <c r="H38">
        <v>0</v>
      </c>
      <c r="I38">
        <v>0</v>
      </c>
      <c r="J38">
        <v>0</v>
      </c>
      <c r="K38">
        <v>0</v>
      </c>
    </row>
    <row r="39" spans="1:11">
      <c r="A39" t="s">
        <v>1555</v>
      </c>
      <c r="B39">
        <v>13</v>
      </c>
      <c r="C39">
        <v>0</v>
      </c>
      <c r="D39">
        <v>0</v>
      </c>
      <c r="E39">
        <v>0</v>
      </c>
      <c r="F39">
        <v>0</v>
      </c>
      <c r="G39">
        <v>0</v>
      </c>
      <c r="H39">
        <v>0</v>
      </c>
      <c r="I39">
        <v>0</v>
      </c>
      <c r="J39">
        <v>0</v>
      </c>
      <c r="K39">
        <v>0</v>
      </c>
    </row>
    <row r="40" spans="1:11">
      <c r="A40" t="s">
        <v>1765</v>
      </c>
      <c r="B40">
        <v>16</v>
      </c>
      <c r="C40">
        <v>0</v>
      </c>
      <c r="D40">
        <v>0</v>
      </c>
      <c r="E40">
        <v>0</v>
      </c>
      <c r="F40">
        <v>0</v>
      </c>
      <c r="G40">
        <v>0</v>
      </c>
      <c r="H40">
        <v>0</v>
      </c>
      <c r="I40">
        <v>0</v>
      </c>
      <c r="J40">
        <v>0</v>
      </c>
      <c r="K40">
        <v>0</v>
      </c>
    </row>
    <row r="41" spans="1:11">
      <c r="A41" t="s">
        <v>1556</v>
      </c>
      <c r="B41">
        <v>20</v>
      </c>
      <c r="C41">
        <v>0</v>
      </c>
      <c r="D41">
        <v>0</v>
      </c>
      <c r="E41">
        <v>0</v>
      </c>
      <c r="F41">
        <v>0</v>
      </c>
      <c r="G41">
        <v>0</v>
      </c>
      <c r="H41">
        <v>0</v>
      </c>
      <c r="I41">
        <v>0</v>
      </c>
      <c r="J41">
        <v>0</v>
      </c>
      <c r="K41">
        <v>0</v>
      </c>
    </row>
    <row r="42" spans="1:11">
      <c r="A42" t="s">
        <v>161</v>
      </c>
      <c r="B42">
        <v>269</v>
      </c>
      <c r="C42">
        <v>164</v>
      </c>
      <c r="D42">
        <v>27</v>
      </c>
      <c r="E42">
        <v>26</v>
      </c>
      <c r="F42">
        <v>26</v>
      </c>
      <c r="G42">
        <v>0</v>
      </c>
      <c r="H42">
        <v>26</v>
      </c>
      <c r="I42">
        <v>0</v>
      </c>
      <c r="J42">
        <v>0</v>
      </c>
      <c r="K42">
        <v>0</v>
      </c>
    </row>
    <row r="43" spans="1:11">
      <c r="A43" t="s">
        <v>1825</v>
      </c>
      <c r="B43">
        <v>0</v>
      </c>
      <c r="C43">
        <v>0</v>
      </c>
      <c r="D43">
        <v>0</v>
      </c>
      <c r="E43">
        <v>0</v>
      </c>
      <c r="F43">
        <v>0</v>
      </c>
      <c r="G43">
        <v>0</v>
      </c>
      <c r="H43">
        <v>0</v>
      </c>
      <c r="I43">
        <v>0</v>
      </c>
      <c r="J43">
        <v>0</v>
      </c>
      <c r="K43">
        <v>0</v>
      </c>
    </row>
    <row r="44" spans="1:11">
      <c r="A44" t="s">
        <v>1496</v>
      </c>
      <c r="B44">
        <v>58</v>
      </c>
      <c r="C44">
        <v>44</v>
      </c>
      <c r="D44">
        <v>14</v>
      </c>
      <c r="E44">
        <v>0</v>
      </c>
      <c r="F44">
        <v>0</v>
      </c>
      <c r="G44">
        <v>0</v>
      </c>
      <c r="H44">
        <v>0</v>
      </c>
      <c r="I44">
        <v>0</v>
      </c>
      <c r="J44">
        <v>0</v>
      </c>
      <c r="K44">
        <v>0</v>
      </c>
    </row>
    <row r="45" spans="1:11">
      <c r="A45" t="s">
        <v>1557</v>
      </c>
      <c r="B45">
        <v>0</v>
      </c>
      <c r="C45">
        <v>0</v>
      </c>
      <c r="D45">
        <v>0</v>
      </c>
      <c r="E45">
        <v>0</v>
      </c>
      <c r="F45">
        <v>0</v>
      </c>
      <c r="G45">
        <v>0</v>
      </c>
      <c r="H45">
        <v>0</v>
      </c>
      <c r="I45">
        <v>0</v>
      </c>
      <c r="J45">
        <v>0</v>
      </c>
      <c r="K45">
        <v>0</v>
      </c>
    </row>
    <row r="46" spans="1:11">
      <c r="A46" t="s">
        <v>162</v>
      </c>
      <c r="B46">
        <v>40</v>
      </c>
      <c r="C46">
        <v>25</v>
      </c>
      <c r="D46">
        <v>4</v>
      </c>
      <c r="E46">
        <v>4</v>
      </c>
      <c r="F46">
        <v>3</v>
      </c>
      <c r="G46">
        <v>0</v>
      </c>
      <c r="H46">
        <v>3</v>
      </c>
      <c r="I46">
        <v>1</v>
      </c>
      <c r="J46">
        <v>0</v>
      </c>
      <c r="K46">
        <v>0</v>
      </c>
    </row>
    <row r="47" spans="1:11">
      <c r="A47" t="s">
        <v>546</v>
      </c>
      <c r="B47">
        <v>0</v>
      </c>
      <c r="C47">
        <v>0</v>
      </c>
      <c r="D47">
        <v>0</v>
      </c>
      <c r="E47">
        <v>0</v>
      </c>
      <c r="F47">
        <v>0</v>
      </c>
      <c r="G47">
        <v>0</v>
      </c>
      <c r="H47">
        <v>0</v>
      </c>
      <c r="I47">
        <v>0</v>
      </c>
      <c r="J47">
        <v>0</v>
      </c>
      <c r="K47">
        <v>0</v>
      </c>
    </row>
    <row r="48" spans="1:11">
      <c r="A48" t="s">
        <v>547</v>
      </c>
      <c r="B48">
        <v>0</v>
      </c>
      <c r="C48">
        <v>0</v>
      </c>
      <c r="D48">
        <v>0</v>
      </c>
      <c r="E48">
        <v>0</v>
      </c>
      <c r="F48">
        <v>0</v>
      </c>
      <c r="G48">
        <v>0</v>
      </c>
      <c r="H48">
        <v>0</v>
      </c>
      <c r="I48">
        <v>0</v>
      </c>
      <c r="J48">
        <v>0</v>
      </c>
      <c r="K48">
        <v>0</v>
      </c>
    </row>
    <row r="49" spans="1:11">
      <c r="A49" t="s">
        <v>1696</v>
      </c>
      <c r="B49">
        <v>0</v>
      </c>
      <c r="C49">
        <v>0</v>
      </c>
      <c r="D49">
        <v>0</v>
      </c>
      <c r="E49">
        <v>0</v>
      </c>
      <c r="F49">
        <v>0</v>
      </c>
      <c r="G49">
        <v>0</v>
      </c>
      <c r="H49">
        <v>0</v>
      </c>
      <c r="I49">
        <v>0</v>
      </c>
      <c r="J49">
        <v>0</v>
      </c>
      <c r="K49">
        <v>0</v>
      </c>
    </row>
    <row r="50" spans="1:11">
      <c r="A50" t="s">
        <v>1558</v>
      </c>
      <c r="B50">
        <v>8</v>
      </c>
      <c r="C50">
        <v>0</v>
      </c>
      <c r="D50">
        <v>0</v>
      </c>
      <c r="E50">
        <v>0</v>
      </c>
      <c r="F50">
        <v>0</v>
      </c>
      <c r="G50">
        <v>0</v>
      </c>
      <c r="H50">
        <v>0</v>
      </c>
      <c r="I50">
        <v>0</v>
      </c>
      <c r="J50">
        <v>0</v>
      </c>
      <c r="K50">
        <v>0</v>
      </c>
    </row>
    <row r="51" spans="1:11">
      <c r="A51" t="s">
        <v>163</v>
      </c>
      <c r="B51">
        <v>71</v>
      </c>
      <c r="C51">
        <v>43</v>
      </c>
      <c r="D51">
        <v>7</v>
      </c>
      <c r="E51">
        <v>7</v>
      </c>
      <c r="F51">
        <v>6</v>
      </c>
      <c r="G51">
        <v>0</v>
      </c>
      <c r="H51">
        <v>6</v>
      </c>
      <c r="I51">
        <v>2</v>
      </c>
      <c r="J51">
        <v>0</v>
      </c>
      <c r="K51">
        <v>0</v>
      </c>
    </row>
    <row r="52" spans="1:11">
      <c r="A52" t="s">
        <v>1884</v>
      </c>
      <c r="B52">
        <v>0</v>
      </c>
      <c r="C52">
        <v>0</v>
      </c>
      <c r="D52">
        <v>0</v>
      </c>
      <c r="E52">
        <v>0</v>
      </c>
      <c r="F52">
        <v>0</v>
      </c>
      <c r="G52">
        <v>0</v>
      </c>
      <c r="H52">
        <v>0</v>
      </c>
      <c r="I52">
        <v>0</v>
      </c>
      <c r="J52">
        <v>0</v>
      </c>
      <c r="K52">
        <v>0</v>
      </c>
    </row>
    <row r="53" spans="1:11">
      <c r="A53" t="s">
        <v>1473</v>
      </c>
      <c r="B53">
        <v>43</v>
      </c>
      <c r="C53">
        <v>33</v>
      </c>
      <c r="D53">
        <v>10</v>
      </c>
      <c r="E53">
        <v>0</v>
      </c>
      <c r="F53">
        <v>0</v>
      </c>
      <c r="G53">
        <v>0</v>
      </c>
      <c r="H53">
        <v>0</v>
      </c>
      <c r="I53">
        <v>0</v>
      </c>
      <c r="J53">
        <v>0</v>
      </c>
      <c r="K53">
        <v>0</v>
      </c>
    </row>
    <row r="54" spans="1:11">
      <c r="A54" t="s">
        <v>1559</v>
      </c>
      <c r="B54">
        <v>0</v>
      </c>
      <c r="C54">
        <v>0</v>
      </c>
      <c r="D54">
        <v>0</v>
      </c>
      <c r="E54">
        <v>0</v>
      </c>
      <c r="F54">
        <v>0</v>
      </c>
      <c r="G54">
        <v>0</v>
      </c>
      <c r="H54">
        <v>0</v>
      </c>
      <c r="I54">
        <v>0</v>
      </c>
      <c r="J54">
        <v>0</v>
      </c>
      <c r="K54">
        <v>0</v>
      </c>
    </row>
    <row r="55" spans="1:11">
      <c r="A55" t="s">
        <v>164</v>
      </c>
      <c r="B55">
        <v>31</v>
      </c>
      <c r="C55">
        <v>19</v>
      </c>
      <c r="D55">
        <v>3</v>
      </c>
      <c r="E55">
        <v>3</v>
      </c>
      <c r="F55">
        <v>3</v>
      </c>
      <c r="G55">
        <v>0</v>
      </c>
      <c r="H55">
        <v>2</v>
      </c>
      <c r="I55">
        <v>1</v>
      </c>
      <c r="J55">
        <v>0</v>
      </c>
      <c r="K55">
        <v>0</v>
      </c>
    </row>
    <row r="56" spans="1:11">
      <c r="A56" t="s">
        <v>1873</v>
      </c>
      <c r="B56">
        <v>5</v>
      </c>
      <c r="C56">
        <v>0</v>
      </c>
      <c r="D56">
        <v>0</v>
      </c>
      <c r="E56">
        <v>0</v>
      </c>
      <c r="F56">
        <v>0</v>
      </c>
      <c r="G56">
        <v>0</v>
      </c>
      <c r="H56">
        <v>0</v>
      </c>
      <c r="I56">
        <v>0</v>
      </c>
      <c r="J56">
        <v>0</v>
      </c>
      <c r="K56">
        <v>0</v>
      </c>
    </row>
    <row r="57" spans="1:11">
      <c r="A57" t="s">
        <v>1479</v>
      </c>
      <c r="B57">
        <v>38</v>
      </c>
      <c r="C57">
        <v>29</v>
      </c>
      <c r="D57">
        <v>9</v>
      </c>
      <c r="E57">
        <v>0</v>
      </c>
      <c r="F57">
        <v>0</v>
      </c>
      <c r="G57">
        <v>0</v>
      </c>
      <c r="H57">
        <v>0</v>
      </c>
      <c r="I57">
        <v>0</v>
      </c>
      <c r="J57">
        <v>0</v>
      </c>
      <c r="K57">
        <v>0</v>
      </c>
    </row>
    <row r="58" spans="1:11">
      <c r="A58" t="s">
        <v>1560</v>
      </c>
      <c r="B58">
        <v>6</v>
      </c>
      <c r="C58">
        <v>0</v>
      </c>
      <c r="D58">
        <v>0</v>
      </c>
      <c r="E58">
        <v>0</v>
      </c>
      <c r="F58">
        <v>0</v>
      </c>
      <c r="G58">
        <v>0</v>
      </c>
      <c r="H58">
        <v>0</v>
      </c>
      <c r="I58">
        <v>0</v>
      </c>
      <c r="J58">
        <v>0</v>
      </c>
      <c r="K58">
        <v>0</v>
      </c>
    </row>
    <row r="59" spans="1:11">
      <c r="A59" t="s">
        <v>165</v>
      </c>
      <c r="B59">
        <v>285</v>
      </c>
      <c r="C59">
        <v>172</v>
      </c>
      <c r="D59">
        <v>26</v>
      </c>
      <c r="E59">
        <v>26</v>
      </c>
      <c r="F59">
        <v>25</v>
      </c>
      <c r="G59">
        <v>0</v>
      </c>
      <c r="H59">
        <v>25</v>
      </c>
      <c r="I59">
        <v>11</v>
      </c>
      <c r="J59">
        <v>0</v>
      </c>
      <c r="K59">
        <v>0</v>
      </c>
    </row>
    <row r="60" spans="1:11">
      <c r="A60" t="s">
        <v>166</v>
      </c>
      <c r="B60">
        <v>0</v>
      </c>
      <c r="C60">
        <v>0</v>
      </c>
      <c r="D60">
        <v>0</v>
      </c>
      <c r="E60">
        <v>0</v>
      </c>
      <c r="F60">
        <v>0</v>
      </c>
      <c r="G60">
        <v>0</v>
      </c>
      <c r="H60">
        <v>0</v>
      </c>
      <c r="I60">
        <v>0</v>
      </c>
      <c r="J60">
        <v>0</v>
      </c>
      <c r="K60">
        <v>0</v>
      </c>
    </row>
    <row r="61" spans="1:11">
      <c r="A61" t="s">
        <v>1693</v>
      </c>
      <c r="B61">
        <v>10</v>
      </c>
      <c r="C61">
        <v>0</v>
      </c>
      <c r="D61">
        <v>0</v>
      </c>
      <c r="E61">
        <v>0</v>
      </c>
      <c r="F61">
        <v>0</v>
      </c>
      <c r="G61">
        <v>0</v>
      </c>
      <c r="H61">
        <v>0</v>
      </c>
      <c r="I61">
        <v>0</v>
      </c>
      <c r="J61">
        <v>0</v>
      </c>
      <c r="K61">
        <v>0</v>
      </c>
    </row>
    <row r="62" spans="1:11">
      <c r="A62" t="s">
        <v>1545</v>
      </c>
      <c r="B62">
        <v>76</v>
      </c>
      <c r="C62">
        <v>58</v>
      </c>
      <c r="D62">
        <v>18</v>
      </c>
      <c r="E62">
        <v>0</v>
      </c>
      <c r="F62">
        <v>0</v>
      </c>
      <c r="G62">
        <v>0</v>
      </c>
      <c r="H62">
        <v>0</v>
      </c>
      <c r="I62">
        <v>0</v>
      </c>
      <c r="J62">
        <v>0</v>
      </c>
      <c r="K62">
        <v>0</v>
      </c>
    </row>
    <row r="63" spans="1:11">
      <c r="A63" t="s">
        <v>1561</v>
      </c>
      <c r="B63">
        <v>8</v>
      </c>
      <c r="C63">
        <v>0</v>
      </c>
      <c r="D63">
        <v>0</v>
      </c>
      <c r="E63">
        <v>0</v>
      </c>
      <c r="F63">
        <v>0</v>
      </c>
      <c r="G63">
        <v>0</v>
      </c>
      <c r="H63">
        <v>0</v>
      </c>
      <c r="I63">
        <v>0</v>
      </c>
      <c r="J63">
        <v>0</v>
      </c>
      <c r="K63">
        <v>0</v>
      </c>
    </row>
    <row r="64" spans="1:11">
      <c r="A64" t="s">
        <v>541</v>
      </c>
      <c r="B64">
        <v>138</v>
      </c>
      <c r="C64">
        <v>83</v>
      </c>
      <c r="D64">
        <v>13</v>
      </c>
      <c r="E64">
        <v>13</v>
      </c>
      <c r="F64">
        <v>12</v>
      </c>
      <c r="G64">
        <v>0</v>
      </c>
      <c r="H64">
        <v>12</v>
      </c>
      <c r="I64">
        <v>5</v>
      </c>
      <c r="J64">
        <v>0</v>
      </c>
      <c r="K64">
        <v>0</v>
      </c>
    </row>
    <row r="65" spans="1:11">
      <c r="A65" t="s">
        <v>1793</v>
      </c>
      <c r="B65">
        <v>4</v>
      </c>
      <c r="C65">
        <v>0</v>
      </c>
      <c r="D65">
        <v>0</v>
      </c>
      <c r="E65">
        <v>0</v>
      </c>
      <c r="F65">
        <v>0</v>
      </c>
      <c r="G65">
        <v>0</v>
      </c>
      <c r="H65">
        <v>0</v>
      </c>
      <c r="I65">
        <v>0</v>
      </c>
      <c r="J65">
        <v>0</v>
      </c>
      <c r="K65">
        <v>0</v>
      </c>
    </row>
    <row r="66" spans="1:11">
      <c r="A66" t="s">
        <v>1516</v>
      </c>
      <c r="B66">
        <v>40</v>
      </c>
      <c r="C66">
        <v>31</v>
      </c>
      <c r="D66">
        <v>9</v>
      </c>
      <c r="E66">
        <v>0</v>
      </c>
      <c r="F66">
        <v>0</v>
      </c>
      <c r="G66">
        <v>0</v>
      </c>
      <c r="H66">
        <v>0</v>
      </c>
      <c r="I66">
        <v>0</v>
      </c>
      <c r="J66">
        <v>0</v>
      </c>
      <c r="K66">
        <v>0</v>
      </c>
    </row>
    <row r="67" spans="1:11">
      <c r="A67" t="s">
        <v>1562</v>
      </c>
      <c r="B67">
        <v>12</v>
      </c>
      <c r="C67">
        <v>0</v>
      </c>
      <c r="D67">
        <v>0</v>
      </c>
      <c r="E67">
        <v>0</v>
      </c>
      <c r="F67">
        <v>0</v>
      </c>
      <c r="G67">
        <v>0</v>
      </c>
      <c r="H67">
        <v>0</v>
      </c>
      <c r="I67">
        <v>0</v>
      </c>
      <c r="J67">
        <v>0</v>
      </c>
      <c r="K67">
        <v>0</v>
      </c>
    </row>
    <row r="68" spans="1:11">
      <c r="A68" t="s">
        <v>167</v>
      </c>
      <c r="B68">
        <v>227</v>
      </c>
      <c r="C68">
        <v>137</v>
      </c>
      <c r="D68">
        <v>21</v>
      </c>
      <c r="E68">
        <v>20</v>
      </c>
      <c r="F68">
        <v>20</v>
      </c>
      <c r="G68">
        <v>0</v>
      </c>
      <c r="H68">
        <v>20</v>
      </c>
      <c r="I68">
        <v>9</v>
      </c>
      <c r="J68">
        <v>0</v>
      </c>
      <c r="K68">
        <v>0</v>
      </c>
    </row>
    <row r="69" spans="1:11">
      <c r="A69" t="s">
        <v>168</v>
      </c>
      <c r="B69">
        <v>0</v>
      </c>
      <c r="C69">
        <v>0</v>
      </c>
      <c r="D69">
        <v>0</v>
      </c>
      <c r="E69">
        <v>0</v>
      </c>
      <c r="F69">
        <v>0</v>
      </c>
      <c r="G69">
        <v>0</v>
      </c>
      <c r="H69">
        <v>0</v>
      </c>
      <c r="I69">
        <v>0</v>
      </c>
      <c r="J69">
        <v>0</v>
      </c>
      <c r="K69">
        <v>0</v>
      </c>
    </row>
    <row r="70" spans="1:11">
      <c r="A70" t="s">
        <v>1869</v>
      </c>
      <c r="B70">
        <v>0</v>
      </c>
      <c r="C70">
        <v>0</v>
      </c>
      <c r="D70">
        <v>0</v>
      </c>
      <c r="E70">
        <v>0</v>
      </c>
      <c r="F70">
        <v>0</v>
      </c>
      <c r="G70">
        <v>0</v>
      </c>
      <c r="H70">
        <v>0</v>
      </c>
      <c r="I70">
        <v>0</v>
      </c>
      <c r="J70">
        <v>0</v>
      </c>
      <c r="K70">
        <v>0</v>
      </c>
    </row>
    <row r="71" spans="1:11">
      <c r="A71" t="s">
        <v>1483</v>
      </c>
      <c r="B71">
        <v>90</v>
      </c>
      <c r="C71">
        <v>68</v>
      </c>
      <c r="D71">
        <v>22</v>
      </c>
      <c r="E71">
        <v>0</v>
      </c>
      <c r="F71">
        <v>0</v>
      </c>
      <c r="G71">
        <v>0</v>
      </c>
      <c r="H71">
        <v>0</v>
      </c>
      <c r="I71">
        <v>0</v>
      </c>
      <c r="J71">
        <v>0</v>
      </c>
      <c r="K71">
        <v>0</v>
      </c>
    </row>
    <row r="72" spans="1:11">
      <c r="A72" t="s">
        <v>1563</v>
      </c>
      <c r="B72">
        <v>0</v>
      </c>
      <c r="C72">
        <v>0</v>
      </c>
      <c r="D72">
        <v>0</v>
      </c>
      <c r="E72">
        <v>0</v>
      </c>
      <c r="F72">
        <v>0</v>
      </c>
      <c r="G72">
        <v>0</v>
      </c>
      <c r="H72">
        <v>0</v>
      </c>
      <c r="I72">
        <v>0</v>
      </c>
      <c r="J72">
        <v>0</v>
      </c>
      <c r="K72">
        <v>0</v>
      </c>
    </row>
    <row r="73" spans="1:11">
      <c r="A73" t="s">
        <v>548</v>
      </c>
      <c r="B73">
        <v>44</v>
      </c>
      <c r="C73">
        <v>29</v>
      </c>
      <c r="D73">
        <v>6</v>
      </c>
      <c r="E73">
        <v>6</v>
      </c>
      <c r="F73">
        <v>0</v>
      </c>
      <c r="G73">
        <v>0</v>
      </c>
      <c r="H73">
        <v>0</v>
      </c>
      <c r="I73">
        <v>3</v>
      </c>
      <c r="J73">
        <v>0</v>
      </c>
      <c r="K73">
        <v>0</v>
      </c>
    </row>
    <row r="74" spans="1:11">
      <c r="A74" t="s">
        <v>1867</v>
      </c>
      <c r="B74">
        <v>5</v>
      </c>
      <c r="C74">
        <v>0</v>
      </c>
      <c r="D74">
        <v>0</v>
      </c>
      <c r="E74">
        <v>0</v>
      </c>
      <c r="F74">
        <v>0</v>
      </c>
      <c r="G74">
        <v>0</v>
      </c>
      <c r="H74">
        <v>0</v>
      </c>
      <c r="I74">
        <v>0</v>
      </c>
      <c r="J74">
        <v>0</v>
      </c>
      <c r="K74">
        <v>0</v>
      </c>
    </row>
    <row r="75" spans="1:11">
      <c r="A75" t="s">
        <v>1564</v>
      </c>
      <c r="B75">
        <v>0</v>
      </c>
      <c r="C75">
        <v>0</v>
      </c>
      <c r="D75">
        <v>0</v>
      </c>
      <c r="E75">
        <v>0</v>
      </c>
      <c r="F75">
        <v>0</v>
      </c>
      <c r="G75">
        <v>0</v>
      </c>
      <c r="H75">
        <v>0</v>
      </c>
      <c r="I75">
        <v>0</v>
      </c>
      <c r="J75">
        <v>0</v>
      </c>
      <c r="K75">
        <v>0</v>
      </c>
    </row>
    <row r="76" spans="1:11">
      <c r="A76" t="s">
        <v>169</v>
      </c>
      <c r="B76">
        <v>86</v>
      </c>
      <c r="C76">
        <v>52</v>
      </c>
      <c r="D76">
        <v>8</v>
      </c>
      <c r="E76">
        <v>8</v>
      </c>
      <c r="F76">
        <v>8</v>
      </c>
      <c r="G76">
        <v>0</v>
      </c>
      <c r="H76">
        <v>7</v>
      </c>
      <c r="I76">
        <v>3</v>
      </c>
      <c r="J76">
        <v>0</v>
      </c>
      <c r="K76">
        <v>0</v>
      </c>
    </row>
    <row r="77" spans="1:11">
      <c r="A77" t="s">
        <v>549</v>
      </c>
      <c r="B77">
        <v>0</v>
      </c>
      <c r="C77">
        <v>0</v>
      </c>
      <c r="D77">
        <v>0</v>
      </c>
      <c r="E77">
        <v>0</v>
      </c>
      <c r="F77">
        <v>0</v>
      </c>
      <c r="G77">
        <v>0</v>
      </c>
      <c r="H77">
        <v>0</v>
      </c>
      <c r="I77">
        <v>0</v>
      </c>
      <c r="J77">
        <v>0</v>
      </c>
      <c r="K77">
        <v>0</v>
      </c>
    </row>
    <row r="78" spans="1:11">
      <c r="A78" t="s">
        <v>1785</v>
      </c>
      <c r="B78">
        <v>5</v>
      </c>
      <c r="C78">
        <v>0</v>
      </c>
      <c r="D78">
        <v>0</v>
      </c>
      <c r="E78">
        <v>0</v>
      </c>
      <c r="F78">
        <v>0</v>
      </c>
      <c r="G78">
        <v>0</v>
      </c>
      <c r="H78">
        <v>0</v>
      </c>
      <c r="I78">
        <v>0</v>
      </c>
      <c r="J78">
        <v>0</v>
      </c>
      <c r="K78">
        <v>0</v>
      </c>
    </row>
    <row r="79" spans="1:11">
      <c r="A79" t="s">
        <v>1518</v>
      </c>
      <c r="B79">
        <v>68</v>
      </c>
      <c r="C79">
        <v>51</v>
      </c>
      <c r="D79">
        <v>17</v>
      </c>
      <c r="E79">
        <v>0</v>
      </c>
      <c r="F79">
        <v>0</v>
      </c>
      <c r="G79">
        <v>0</v>
      </c>
      <c r="H79">
        <v>0</v>
      </c>
      <c r="I79">
        <v>0</v>
      </c>
      <c r="J79">
        <v>0</v>
      </c>
      <c r="K79">
        <v>0</v>
      </c>
    </row>
    <row r="80" spans="1:11">
      <c r="A80" t="s">
        <v>1565</v>
      </c>
      <c r="B80">
        <v>10</v>
      </c>
      <c r="C80">
        <v>0</v>
      </c>
      <c r="D80">
        <v>0</v>
      </c>
      <c r="E80">
        <v>0</v>
      </c>
      <c r="F80">
        <v>0</v>
      </c>
      <c r="G80">
        <v>0</v>
      </c>
      <c r="H80">
        <v>0</v>
      </c>
      <c r="I80">
        <v>0</v>
      </c>
      <c r="J80">
        <v>0</v>
      </c>
      <c r="K80">
        <v>0</v>
      </c>
    </row>
    <row r="81" spans="1:11">
      <c r="A81" t="s">
        <v>170</v>
      </c>
      <c r="B81">
        <v>77</v>
      </c>
      <c r="C81">
        <v>50</v>
      </c>
      <c r="D81">
        <v>10</v>
      </c>
      <c r="E81">
        <v>10</v>
      </c>
      <c r="F81">
        <v>0</v>
      </c>
      <c r="G81">
        <v>0</v>
      </c>
      <c r="H81">
        <v>0</v>
      </c>
      <c r="I81">
        <v>7</v>
      </c>
      <c r="J81">
        <v>0</v>
      </c>
      <c r="K81">
        <v>0</v>
      </c>
    </row>
    <row r="82" spans="1:11">
      <c r="A82" t="s">
        <v>1833</v>
      </c>
      <c r="B82">
        <v>5</v>
      </c>
      <c r="C82">
        <v>0</v>
      </c>
      <c r="D82">
        <v>0</v>
      </c>
      <c r="E82">
        <v>0</v>
      </c>
      <c r="F82">
        <v>0</v>
      </c>
      <c r="G82">
        <v>0</v>
      </c>
      <c r="H82">
        <v>0</v>
      </c>
      <c r="I82">
        <v>0</v>
      </c>
      <c r="J82">
        <v>0</v>
      </c>
      <c r="K82">
        <v>0</v>
      </c>
    </row>
    <row r="83" spans="1:11">
      <c r="A83" t="s">
        <v>1566</v>
      </c>
      <c r="B83">
        <v>10</v>
      </c>
      <c r="C83">
        <v>0</v>
      </c>
      <c r="D83">
        <v>0</v>
      </c>
      <c r="E83">
        <v>0</v>
      </c>
      <c r="F83">
        <v>0</v>
      </c>
      <c r="G83">
        <v>0</v>
      </c>
      <c r="H83">
        <v>0</v>
      </c>
      <c r="I83">
        <v>0</v>
      </c>
      <c r="J83">
        <v>0</v>
      </c>
      <c r="K83">
        <v>0</v>
      </c>
    </row>
    <row r="84" spans="1:11">
      <c r="A84" t="s">
        <v>171</v>
      </c>
      <c r="B84">
        <v>103</v>
      </c>
      <c r="C84">
        <v>62</v>
      </c>
      <c r="D84">
        <v>10</v>
      </c>
      <c r="E84">
        <v>9</v>
      </c>
      <c r="F84">
        <v>9</v>
      </c>
      <c r="G84">
        <v>0</v>
      </c>
      <c r="H84">
        <v>9</v>
      </c>
      <c r="I84">
        <v>4</v>
      </c>
      <c r="J84">
        <v>0</v>
      </c>
      <c r="K84">
        <v>0</v>
      </c>
    </row>
    <row r="85" spans="1:11">
      <c r="A85" t="s">
        <v>172</v>
      </c>
      <c r="B85">
        <v>0</v>
      </c>
      <c r="C85">
        <v>0</v>
      </c>
      <c r="D85">
        <v>0</v>
      </c>
      <c r="E85">
        <v>0</v>
      </c>
      <c r="F85">
        <v>0</v>
      </c>
      <c r="G85">
        <v>0</v>
      </c>
      <c r="H85">
        <v>0</v>
      </c>
      <c r="I85">
        <v>0</v>
      </c>
      <c r="J85">
        <v>0</v>
      </c>
      <c r="K85">
        <v>0</v>
      </c>
    </row>
    <row r="86" spans="1:11">
      <c r="A86" t="s">
        <v>1868</v>
      </c>
      <c r="B86">
        <v>3</v>
      </c>
      <c r="C86">
        <v>0</v>
      </c>
      <c r="D86">
        <v>0</v>
      </c>
      <c r="E86">
        <v>0</v>
      </c>
      <c r="F86">
        <v>0</v>
      </c>
      <c r="G86">
        <v>0</v>
      </c>
      <c r="H86">
        <v>0</v>
      </c>
      <c r="I86">
        <v>0</v>
      </c>
      <c r="J86">
        <v>0</v>
      </c>
      <c r="K86">
        <v>0</v>
      </c>
    </row>
    <row r="87" spans="1:11">
      <c r="A87" t="s">
        <v>1485</v>
      </c>
      <c r="B87">
        <v>54</v>
      </c>
      <c r="C87">
        <v>41</v>
      </c>
      <c r="D87">
        <v>13</v>
      </c>
      <c r="E87">
        <v>0</v>
      </c>
      <c r="F87">
        <v>0</v>
      </c>
      <c r="G87">
        <v>0</v>
      </c>
      <c r="H87">
        <v>0</v>
      </c>
      <c r="I87">
        <v>0</v>
      </c>
      <c r="J87">
        <v>0</v>
      </c>
      <c r="K87">
        <v>0</v>
      </c>
    </row>
    <row r="88" spans="1:11">
      <c r="A88" t="s">
        <v>1548</v>
      </c>
      <c r="B88">
        <v>0</v>
      </c>
      <c r="C88">
        <v>0</v>
      </c>
      <c r="D88">
        <v>0</v>
      </c>
      <c r="E88">
        <v>0</v>
      </c>
      <c r="F88">
        <v>0</v>
      </c>
      <c r="G88">
        <v>0</v>
      </c>
      <c r="H88">
        <v>0</v>
      </c>
      <c r="I88">
        <v>0</v>
      </c>
      <c r="J88">
        <v>0</v>
      </c>
      <c r="K88">
        <v>0</v>
      </c>
    </row>
    <row r="89" spans="1:11">
      <c r="A89" t="s">
        <v>1567</v>
      </c>
      <c r="B89">
        <v>5</v>
      </c>
      <c r="C89">
        <v>0</v>
      </c>
      <c r="D89">
        <v>0</v>
      </c>
      <c r="E89">
        <v>0</v>
      </c>
      <c r="F89">
        <v>0</v>
      </c>
      <c r="G89">
        <v>0</v>
      </c>
      <c r="H89">
        <v>0</v>
      </c>
      <c r="I89">
        <v>0</v>
      </c>
      <c r="J89">
        <v>0</v>
      </c>
      <c r="K89">
        <v>0</v>
      </c>
    </row>
    <row r="90" spans="1:11">
      <c r="A90" t="s">
        <v>173</v>
      </c>
      <c r="B90">
        <v>25</v>
      </c>
      <c r="C90">
        <v>17</v>
      </c>
      <c r="D90">
        <v>4</v>
      </c>
      <c r="E90">
        <v>4</v>
      </c>
      <c r="F90">
        <v>0</v>
      </c>
      <c r="G90">
        <v>0</v>
      </c>
      <c r="H90">
        <v>0</v>
      </c>
      <c r="I90">
        <v>0</v>
      </c>
      <c r="J90">
        <v>0</v>
      </c>
      <c r="K90">
        <v>0</v>
      </c>
    </row>
    <row r="91" spans="1:11">
      <c r="A91" t="s">
        <v>1796</v>
      </c>
      <c r="B91">
        <v>5</v>
      </c>
      <c r="C91">
        <v>0</v>
      </c>
      <c r="D91">
        <v>0</v>
      </c>
      <c r="E91">
        <v>0</v>
      </c>
      <c r="F91">
        <v>0</v>
      </c>
      <c r="G91">
        <v>0</v>
      </c>
      <c r="H91">
        <v>0</v>
      </c>
      <c r="I91">
        <v>0</v>
      </c>
      <c r="J91">
        <v>0</v>
      </c>
      <c r="K91">
        <v>0</v>
      </c>
    </row>
    <row r="92" spans="1:11">
      <c r="A92" t="s">
        <v>1510</v>
      </c>
      <c r="B92">
        <v>36</v>
      </c>
      <c r="C92">
        <v>27</v>
      </c>
      <c r="D92">
        <v>9</v>
      </c>
      <c r="E92">
        <v>0</v>
      </c>
      <c r="F92">
        <v>0</v>
      </c>
      <c r="G92">
        <v>0</v>
      </c>
      <c r="H92">
        <v>0</v>
      </c>
      <c r="I92">
        <v>0</v>
      </c>
      <c r="J92">
        <v>0</v>
      </c>
      <c r="K92">
        <v>0</v>
      </c>
    </row>
    <row r="93" spans="1:11">
      <c r="A93" t="s">
        <v>1568</v>
      </c>
      <c r="B93">
        <v>0</v>
      </c>
      <c r="C93">
        <v>0</v>
      </c>
      <c r="D93">
        <v>0</v>
      </c>
      <c r="E93">
        <v>0</v>
      </c>
      <c r="F93">
        <v>0</v>
      </c>
      <c r="G93">
        <v>0</v>
      </c>
      <c r="H93">
        <v>0</v>
      </c>
      <c r="I93">
        <v>0</v>
      </c>
      <c r="J93">
        <v>0</v>
      </c>
      <c r="K93">
        <v>0</v>
      </c>
    </row>
    <row r="94" spans="1:11">
      <c r="A94" t="s">
        <v>543</v>
      </c>
      <c r="B94">
        <v>43</v>
      </c>
      <c r="C94">
        <v>27</v>
      </c>
      <c r="D94">
        <v>4</v>
      </c>
      <c r="E94">
        <v>4</v>
      </c>
      <c r="F94">
        <v>4</v>
      </c>
      <c r="G94">
        <v>0</v>
      </c>
      <c r="H94">
        <v>4</v>
      </c>
      <c r="I94">
        <v>0</v>
      </c>
      <c r="J94">
        <v>0</v>
      </c>
      <c r="K94">
        <v>0</v>
      </c>
    </row>
    <row r="95" spans="1:11">
      <c r="A95" t="s">
        <v>1812</v>
      </c>
      <c r="B95">
        <v>0</v>
      </c>
      <c r="C95">
        <v>0</v>
      </c>
      <c r="D95">
        <v>0</v>
      </c>
      <c r="E95">
        <v>0</v>
      </c>
      <c r="F95">
        <v>0</v>
      </c>
      <c r="G95">
        <v>0</v>
      </c>
      <c r="H95">
        <v>0</v>
      </c>
      <c r="I95">
        <v>0</v>
      </c>
      <c r="J95">
        <v>0</v>
      </c>
      <c r="K95">
        <v>0</v>
      </c>
    </row>
    <row r="96" spans="1:11">
      <c r="A96" t="s">
        <v>1569</v>
      </c>
      <c r="B96">
        <v>0</v>
      </c>
      <c r="C96">
        <v>0</v>
      </c>
      <c r="D96">
        <v>0</v>
      </c>
      <c r="E96">
        <v>0</v>
      </c>
      <c r="F96">
        <v>0</v>
      </c>
      <c r="G96">
        <v>0</v>
      </c>
      <c r="H96">
        <v>0</v>
      </c>
      <c r="I96">
        <v>0</v>
      </c>
      <c r="J96">
        <v>0</v>
      </c>
      <c r="K96">
        <v>0</v>
      </c>
    </row>
    <row r="97" spans="1:11">
      <c r="A97" t="s">
        <v>174</v>
      </c>
      <c r="B97">
        <v>0</v>
      </c>
      <c r="C97">
        <v>0</v>
      </c>
      <c r="D97">
        <v>0</v>
      </c>
      <c r="E97">
        <v>0</v>
      </c>
      <c r="F97">
        <v>0</v>
      </c>
      <c r="G97">
        <v>0</v>
      </c>
      <c r="H97">
        <v>0</v>
      </c>
      <c r="I97">
        <v>0</v>
      </c>
      <c r="J97">
        <v>0</v>
      </c>
      <c r="K97">
        <v>0</v>
      </c>
    </row>
    <row r="98" spans="1:11">
      <c r="A98" t="s">
        <v>1830</v>
      </c>
      <c r="B98">
        <v>11</v>
      </c>
      <c r="C98">
        <v>0</v>
      </c>
      <c r="D98">
        <v>0</v>
      </c>
      <c r="E98">
        <v>0</v>
      </c>
      <c r="F98">
        <v>0</v>
      </c>
      <c r="G98">
        <v>0</v>
      </c>
      <c r="H98">
        <v>0</v>
      </c>
      <c r="I98">
        <v>0</v>
      </c>
      <c r="J98">
        <v>0</v>
      </c>
      <c r="K98">
        <v>0</v>
      </c>
    </row>
    <row r="99" spans="1:11">
      <c r="A99" t="s">
        <v>1570</v>
      </c>
      <c r="B99">
        <v>0</v>
      </c>
      <c r="C99">
        <v>0</v>
      </c>
      <c r="D99">
        <v>0</v>
      </c>
      <c r="E99">
        <v>0</v>
      </c>
      <c r="F99">
        <v>0</v>
      </c>
      <c r="G99">
        <v>0</v>
      </c>
      <c r="H99">
        <v>0</v>
      </c>
      <c r="I99">
        <v>0</v>
      </c>
      <c r="J99">
        <v>0</v>
      </c>
      <c r="K99">
        <v>0</v>
      </c>
    </row>
    <row r="100" spans="1:11">
      <c r="A100" t="s">
        <v>175</v>
      </c>
      <c r="B100">
        <v>55</v>
      </c>
      <c r="C100">
        <v>34</v>
      </c>
      <c r="D100">
        <v>5</v>
      </c>
      <c r="E100">
        <v>5</v>
      </c>
      <c r="F100">
        <v>5</v>
      </c>
      <c r="G100">
        <v>0</v>
      </c>
      <c r="H100">
        <v>4</v>
      </c>
      <c r="I100">
        <v>2</v>
      </c>
      <c r="J100">
        <v>0</v>
      </c>
      <c r="K100">
        <v>0</v>
      </c>
    </row>
    <row r="101" spans="1:11">
      <c r="A101" t="s">
        <v>1697</v>
      </c>
      <c r="B101">
        <v>0</v>
      </c>
      <c r="C101">
        <v>0</v>
      </c>
      <c r="D101">
        <v>0</v>
      </c>
      <c r="E101">
        <v>0</v>
      </c>
      <c r="F101">
        <v>0</v>
      </c>
      <c r="G101">
        <v>0</v>
      </c>
      <c r="H101">
        <v>0</v>
      </c>
      <c r="I101">
        <v>0</v>
      </c>
      <c r="J101">
        <v>0</v>
      </c>
      <c r="K101">
        <v>0</v>
      </c>
    </row>
    <row r="102" spans="1:11">
      <c r="A102" t="s">
        <v>1549</v>
      </c>
      <c r="B102">
        <v>0</v>
      </c>
      <c r="C102">
        <v>0</v>
      </c>
      <c r="D102">
        <v>0</v>
      </c>
      <c r="E102">
        <v>0</v>
      </c>
      <c r="F102">
        <v>0</v>
      </c>
      <c r="G102">
        <v>0</v>
      </c>
      <c r="H102">
        <v>0</v>
      </c>
      <c r="I102">
        <v>0</v>
      </c>
      <c r="J102">
        <v>0</v>
      </c>
      <c r="K102">
        <v>0</v>
      </c>
    </row>
    <row r="103" spans="1:11">
      <c r="A103" t="s">
        <v>1571</v>
      </c>
      <c r="B103">
        <v>4</v>
      </c>
      <c r="C103">
        <v>0</v>
      </c>
      <c r="D103">
        <v>0</v>
      </c>
      <c r="E103">
        <v>0</v>
      </c>
      <c r="F103">
        <v>0</v>
      </c>
      <c r="G103">
        <v>0</v>
      </c>
      <c r="H103">
        <v>0</v>
      </c>
      <c r="I103">
        <v>0</v>
      </c>
      <c r="J103">
        <v>0</v>
      </c>
      <c r="K103">
        <v>0</v>
      </c>
    </row>
    <row r="104" spans="1:11">
      <c r="A104" t="s">
        <v>176</v>
      </c>
      <c r="B104">
        <v>166</v>
      </c>
      <c r="C104">
        <v>100</v>
      </c>
      <c r="D104">
        <v>15</v>
      </c>
      <c r="E104">
        <v>15</v>
      </c>
      <c r="F104">
        <v>15</v>
      </c>
      <c r="G104">
        <v>0</v>
      </c>
      <c r="H104">
        <v>15</v>
      </c>
      <c r="I104">
        <v>6</v>
      </c>
      <c r="J104">
        <v>0</v>
      </c>
      <c r="K104">
        <v>0</v>
      </c>
    </row>
    <row r="105" spans="1:11">
      <c r="A105" t="s">
        <v>177</v>
      </c>
      <c r="B105">
        <v>0</v>
      </c>
      <c r="C105">
        <v>0</v>
      </c>
      <c r="D105">
        <v>0</v>
      </c>
      <c r="E105">
        <v>0</v>
      </c>
      <c r="F105">
        <v>0</v>
      </c>
      <c r="G105">
        <v>0</v>
      </c>
      <c r="H105">
        <v>0</v>
      </c>
      <c r="I105">
        <v>0</v>
      </c>
      <c r="J105">
        <v>0</v>
      </c>
      <c r="K105">
        <v>0</v>
      </c>
    </row>
    <row r="106" spans="1:11">
      <c r="A106" t="s">
        <v>1897</v>
      </c>
      <c r="B106">
        <v>0</v>
      </c>
      <c r="C106">
        <v>0</v>
      </c>
      <c r="D106">
        <v>0</v>
      </c>
      <c r="E106">
        <v>0</v>
      </c>
      <c r="F106">
        <v>0</v>
      </c>
      <c r="G106">
        <v>0</v>
      </c>
      <c r="H106">
        <v>0</v>
      </c>
      <c r="I106">
        <v>0</v>
      </c>
      <c r="J106">
        <v>0</v>
      </c>
      <c r="K106">
        <v>0</v>
      </c>
    </row>
    <row r="107" spans="1:11">
      <c r="A107" t="s">
        <v>1466</v>
      </c>
      <c r="B107">
        <v>46</v>
      </c>
      <c r="C107">
        <v>35</v>
      </c>
      <c r="D107">
        <v>11</v>
      </c>
      <c r="E107">
        <v>0</v>
      </c>
      <c r="F107">
        <v>0</v>
      </c>
      <c r="G107">
        <v>0</v>
      </c>
      <c r="H107">
        <v>0</v>
      </c>
      <c r="I107">
        <v>0</v>
      </c>
      <c r="J107">
        <v>0</v>
      </c>
      <c r="K107">
        <v>0</v>
      </c>
    </row>
    <row r="108" spans="1:11">
      <c r="A108" t="s">
        <v>1572</v>
      </c>
      <c r="B108">
        <v>0</v>
      </c>
      <c r="C108">
        <v>0</v>
      </c>
      <c r="D108">
        <v>0</v>
      </c>
      <c r="E108">
        <v>0</v>
      </c>
      <c r="F108">
        <v>0</v>
      </c>
      <c r="G108">
        <v>0</v>
      </c>
      <c r="H108">
        <v>0</v>
      </c>
      <c r="I108">
        <v>0</v>
      </c>
      <c r="J108">
        <v>0</v>
      </c>
      <c r="K108">
        <v>0</v>
      </c>
    </row>
    <row r="109" spans="1:11">
      <c r="A109" t="s">
        <v>178</v>
      </c>
      <c r="B109">
        <v>224</v>
      </c>
      <c r="C109">
        <v>135</v>
      </c>
      <c r="D109">
        <v>21</v>
      </c>
      <c r="E109">
        <v>20</v>
      </c>
      <c r="F109">
        <v>20</v>
      </c>
      <c r="G109">
        <v>0</v>
      </c>
      <c r="H109">
        <v>20</v>
      </c>
      <c r="I109">
        <v>8</v>
      </c>
      <c r="J109">
        <v>0</v>
      </c>
      <c r="K109">
        <v>0</v>
      </c>
    </row>
    <row r="110" spans="1:11">
      <c r="A110" t="s">
        <v>179</v>
      </c>
      <c r="B110">
        <v>51</v>
      </c>
      <c r="C110">
        <v>32</v>
      </c>
      <c r="D110">
        <v>0</v>
      </c>
      <c r="E110">
        <v>6</v>
      </c>
      <c r="F110">
        <v>5</v>
      </c>
      <c r="G110">
        <v>0</v>
      </c>
      <c r="H110">
        <v>5</v>
      </c>
      <c r="I110">
        <v>3</v>
      </c>
      <c r="J110">
        <v>0</v>
      </c>
      <c r="K110">
        <v>0</v>
      </c>
    </row>
    <row r="111" spans="1:11">
      <c r="A111" t="s">
        <v>1881</v>
      </c>
      <c r="B111">
        <v>4</v>
      </c>
      <c r="C111">
        <v>0</v>
      </c>
      <c r="D111">
        <v>0</v>
      </c>
      <c r="E111">
        <v>0</v>
      </c>
      <c r="F111">
        <v>0</v>
      </c>
      <c r="G111">
        <v>0</v>
      </c>
      <c r="H111">
        <v>0</v>
      </c>
      <c r="I111">
        <v>0</v>
      </c>
      <c r="J111">
        <v>0</v>
      </c>
      <c r="K111">
        <v>0</v>
      </c>
    </row>
    <row r="112" spans="1:11">
      <c r="A112" t="s">
        <v>1477</v>
      </c>
      <c r="B112">
        <v>65</v>
      </c>
      <c r="C112">
        <v>50</v>
      </c>
      <c r="D112">
        <v>15</v>
      </c>
      <c r="E112">
        <v>0</v>
      </c>
      <c r="F112">
        <v>0</v>
      </c>
      <c r="G112">
        <v>0</v>
      </c>
      <c r="H112">
        <v>0</v>
      </c>
      <c r="I112">
        <v>0</v>
      </c>
      <c r="J112">
        <v>0</v>
      </c>
      <c r="K112">
        <v>0</v>
      </c>
    </row>
    <row r="113" spans="1:11">
      <c r="A113" t="s">
        <v>1573</v>
      </c>
      <c r="B113">
        <v>4</v>
      </c>
      <c r="C113">
        <v>0</v>
      </c>
      <c r="D113">
        <v>0</v>
      </c>
      <c r="E113">
        <v>0</v>
      </c>
      <c r="F113">
        <v>0</v>
      </c>
      <c r="G113">
        <v>0</v>
      </c>
      <c r="H113">
        <v>0</v>
      </c>
      <c r="I113">
        <v>0</v>
      </c>
      <c r="J113">
        <v>0</v>
      </c>
      <c r="K113">
        <v>0</v>
      </c>
    </row>
    <row r="114" spans="1:11">
      <c r="A114" t="s">
        <v>1732</v>
      </c>
      <c r="B114">
        <v>0</v>
      </c>
      <c r="C114">
        <v>0</v>
      </c>
      <c r="D114">
        <v>0</v>
      </c>
      <c r="E114">
        <v>0</v>
      </c>
      <c r="F114">
        <v>0</v>
      </c>
      <c r="G114">
        <v>0</v>
      </c>
      <c r="H114">
        <v>0</v>
      </c>
      <c r="I114">
        <v>0</v>
      </c>
      <c r="J114">
        <v>0</v>
      </c>
      <c r="K114">
        <v>0</v>
      </c>
    </row>
    <row r="115" spans="1:11">
      <c r="A115" t="s">
        <v>1574</v>
      </c>
      <c r="B115">
        <v>0</v>
      </c>
      <c r="C115">
        <v>0</v>
      </c>
      <c r="D115">
        <v>0</v>
      </c>
      <c r="E115">
        <v>0</v>
      </c>
      <c r="F115">
        <v>0</v>
      </c>
      <c r="G115">
        <v>0</v>
      </c>
      <c r="H115">
        <v>0</v>
      </c>
      <c r="I115">
        <v>0</v>
      </c>
      <c r="J115">
        <v>0</v>
      </c>
      <c r="K115">
        <v>0</v>
      </c>
    </row>
    <row r="116" spans="1:11">
      <c r="A116" t="s">
        <v>180</v>
      </c>
      <c r="B116">
        <v>18</v>
      </c>
      <c r="C116">
        <v>12</v>
      </c>
      <c r="D116">
        <v>3</v>
      </c>
      <c r="E116">
        <v>3</v>
      </c>
      <c r="F116">
        <v>0</v>
      </c>
      <c r="G116">
        <v>0</v>
      </c>
      <c r="H116">
        <v>0</v>
      </c>
      <c r="I116">
        <v>0</v>
      </c>
      <c r="J116">
        <v>0</v>
      </c>
      <c r="K116">
        <v>0</v>
      </c>
    </row>
    <row r="117" spans="1:11">
      <c r="A117" t="s">
        <v>1804</v>
      </c>
      <c r="B117">
        <v>0</v>
      </c>
      <c r="C117">
        <v>0</v>
      </c>
      <c r="D117">
        <v>0</v>
      </c>
      <c r="E117">
        <v>0</v>
      </c>
      <c r="F117">
        <v>0</v>
      </c>
      <c r="G117">
        <v>0</v>
      </c>
      <c r="H117">
        <v>0</v>
      </c>
      <c r="I117">
        <v>0</v>
      </c>
      <c r="J117">
        <v>0</v>
      </c>
      <c r="K117">
        <v>0</v>
      </c>
    </row>
    <row r="118" spans="1:11">
      <c r="A118" t="s">
        <v>1575</v>
      </c>
      <c r="B118">
        <v>0</v>
      </c>
      <c r="C118">
        <v>0</v>
      </c>
      <c r="D118">
        <v>0</v>
      </c>
      <c r="E118">
        <v>0</v>
      </c>
      <c r="F118">
        <v>0</v>
      </c>
      <c r="G118">
        <v>0</v>
      </c>
      <c r="H118">
        <v>0</v>
      </c>
      <c r="I118">
        <v>0</v>
      </c>
      <c r="J118">
        <v>0</v>
      </c>
      <c r="K118">
        <v>0</v>
      </c>
    </row>
    <row r="119" spans="1:11">
      <c r="A119" t="s">
        <v>544</v>
      </c>
      <c r="B119">
        <v>23</v>
      </c>
      <c r="C119">
        <v>14</v>
      </c>
      <c r="D119">
        <v>2</v>
      </c>
      <c r="E119">
        <v>2</v>
      </c>
      <c r="F119">
        <v>2</v>
      </c>
      <c r="G119">
        <v>0</v>
      </c>
      <c r="H119">
        <v>2</v>
      </c>
      <c r="I119">
        <v>1</v>
      </c>
      <c r="J119">
        <v>0</v>
      </c>
      <c r="K119">
        <v>0</v>
      </c>
    </row>
    <row r="120" spans="1:11">
      <c r="A120" t="s">
        <v>550</v>
      </c>
      <c r="B120">
        <v>0</v>
      </c>
      <c r="C120">
        <v>0</v>
      </c>
      <c r="D120">
        <v>0</v>
      </c>
      <c r="E120">
        <v>0</v>
      </c>
      <c r="F120">
        <v>0</v>
      </c>
      <c r="G120">
        <v>0</v>
      </c>
      <c r="H120">
        <v>0</v>
      </c>
      <c r="I120">
        <v>0</v>
      </c>
      <c r="J120">
        <v>0</v>
      </c>
      <c r="K120">
        <v>0</v>
      </c>
    </row>
    <row r="121" spans="1:11">
      <c r="A121" t="s">
        <v>1811</v>
      </c>
      <c r="B121">
        <v>0</v>
      </c>
      <c r="C121">
        <v>0</v>
      </c>
      <c r="D121">
        <v>0</v>
      </c>
      <c r="E121">
        <v>0</v>
      </c>
      <c r="F121">
        <v>0</v>
      </c>
      <c r="G121">
        <v>0</v>
      </c>
      <c r="H121">
        <v>0</v>
      </c>
      <c r="I121">
        <v>0</v>
      </c>
      <c r="J121">
        <v>0</v>
      </c>
      <c r="K121">
        <v>0</v>
      </c>
    </row>
    <row r="122" spans="1:11">
      <c r="A122" t="s">
        <v>1576</v>
      </c>
      <c r="B122">
        <v>5</v>
      </c>
      <c r="C122">
        <v>0</v>
      </c>
      <c r="D122">
        <v>0</v>
      </c>
      <c r="E122">
        <v>0</v>
      </c>
      <c r="F122">
        <v>0</v>
      </c>
      <c r="G122">
        <v>0</v>
      </c>
      <c r="H122">
        <v>0</v>
      </c>
      <c r="I122">
        <v>0</v>
      </c>
      <c r="J122">
        <v>0</v>
      </c>
      <c r="K122">
        <v>0</v>
      </c>
    </row>
    <row r="123" spans="1:11">
      <c r="A123" t="s">
        <v>542</v>
      </c>
      <c r="B123">
        <v>34</v>
      </c>
      <c r="C123">
        <v>23</v>
      </c>
      <c r="D123">
        <v>6</v>
      </c>
      <c r="E123">
        <v>5</v>
      </c>
      <c r="F123">
        <v>0</v>
      </c>
      <c r="G123">
        <v>0</v>
      </c>
      <c r="H123">
        <v>0</v>
      </c>
      <c r="I123">
        <v>0</v>
      </c>
      <c r="J123">
        <v>0</v>
      </c>
      <c r="K123">
        <v>0</v>
      </c>
    </row>
    <row r="124" spans="1:11">
      <c r="A124" t="s">
        <v>1849</v>
      </c>
      <c r="B124">
        <v>5</v>
      </c>
      <c r="C124">
        <v>0</v>
      </c>
      <c r="D124">
        <v>0</v>
      </c>
      <c r="E124">
        <v>0</v>
      </c>
      <c r="F124">
        <v>0</v>
      </c>
      <c r="G124">
        <v>0</v>
      </c>
      <c r="H124">
        <v>0</v>
      </c>
      <c r="I124">
        <v>0</v>
      </c>
      <c r="J124">
        <v>0</v>
      </c>
      <c r="K124">
        <v>0</v>
      </c>
    </row>
    <row r="125" spans="1:11">
      <c r="A125" t="s">
        <v>181</v>
      </c>
      <c r="B125">
        <v>66</v>
      </c>
      <c r="C125">
        <v>40</v>
      </c>
      <c r="D125">
        <v>6</v>
      </c>
      <c r="E125">
        <v>6</v>
      </c>
      <c r="F125">
        <v>6</v>
      </c>
      <c r="G125">
        <v>0</v>
      </c>
      <c r="H125">
        <v>6</v>
      </c>
      <c r="I125">
        <v>2</v>
      </c>
      <c r="J125">
        <v>0</v>
      </c>
      <c r="K125">
        <v>0</v>
      </c>
    </row>
    <row r="126" spans="1:11">
      <c r="A126" t="s">
        <v>1784</v>
      </c>
      <c r="B126">
        <v>0</v>
      </c>
      <c r="C126">
        <v>0</v>
      </c>
      <c r="D126">
        <v>0</v>
      </c>
      <c r="E126">
        <v>0</v>
      </c>
      <c r="F126">
        <v>0</v>
      </c>
      <c r="G126">
        <v>0</v>
      </c>
      <c r="H126">
        <v>0</v>
      </c>
      <c r="I126">
        <v>0</v>
      </c>
      <c r="J126">
        <v>0</v>
      </c>
      <c r="K126">
        <v>0</v>
      </c>
    </row>
    <row r="127" spans="1:11">
      <c r="A127" t="s">
        <v>1577</v>
      </c>
      <c r="B127">
        <v>5</v>
      </c>
      <c r="C127">
        <v>0</v>
      </c>
      <c r="D127">
        <v>0</v>
      </c>
      <c r="E127">
        <v>0</v>
      </c>
      <c r="F127">
        <v>0</v>
      </c>
      <c r="G127">
        <v>0</v>
      </c>
      <c r="H127">
        <v>0</v>
      </c>
      <c r="I127">
        <v>0</v>
      </c>
      <c r="J127">
        <v>0</v>
      </c>
      <c r="K127">
        <v>0</v>
      </c>
    </row>
    <row r="128" spans="1:11">
      <c r="A128" t="s">
        <v>182</v>
      </c>
      <c r="B128">
        <v>54</v>
      </c>
      <c r="C128">
        <v>33</v>
      </c>
      <c r="D128">
        <v>5</v>
      </c>
      <c r="E128">
        <v>5</v>
      </c>
      <c r="F128">
        <v>5</v>
      </c>
      <c r="G128">
        <v>0</v>
      </c>
      <c r="H128">
        <v>4</v>
      </c>
      <c r="I128">
        <v>2</v>
      </c>
      <c r="J128">
        <v>0</v>
      </c>
      <c r="K128">
        <v>0</v>
      </c>
    </row>
    <row r="129" spans="1:11">
      <c r="A129" t="s">
        <v>183</v>
      </c>
      <c r="B129">
        <v>76</v>
      </c>
      <c r="C129">
        <v>47</v>
      </c>
      <c r="D129">
        <v>0</v>
      </c>
      <c r="E129">
        <v>8</v>
      </c>
      <c r="F129">
        <v>8</v>
      </c>
      <c r="G129">
        <v>0</v>
      </c>
      <c r="H129">
        <v>8</v>
      </c>
      <c r="I129">
        <v>5</v>
      </c>
      <c r="J129">
        <v>0</v>
      </c>
      <c r="K129">
        <v>0</v>
      </c>
    </row>
    <row r="130" spans="1:11">
      <c r="A130" t="s">
        <v>1803</v>
      </c>
      <c r="B130">
        <v>0</v>
      </c>
      <c r="C130">
        <v>0</v>
      </c>
      <c r="D130">
        <v>0</v>
      </c>
      <c r="E130">
        <v>0</v>
      </c>
      <c r="F130">
        <v>0</v>
      </c>
      <c r="G130">
        <v>0</v>
      </c>
      <c r="H130">
        <v>0</v>
      </c>
      <c r="I130">
        <v>0</v>
      </c>
      <c r="J130">
        <v>0</v>
      </c>
      <c r="K130">
        <v>0</v>
      </c>
    </row>
    <row r="131" spans="1:11">
      <c r="A131" t="s">
        <v>1506</v>
      </c>
      <c r="B131">
        <v>41</v>
      </c>
      <c r="C131">
        <v>31</v>
      </c>
      <c r="D131">
        <v>10</v>
      </c>
      <c r="E131">
        <v>0</v>
      </c>
      <c r="F131">
        <v>0</v>
      </c>
      <c r="G131">
        <v>0</v>
      </c>
      <c r="H131">
        <v>0</v>
      </c>
      <c r="I131">
        <v>0</v>
      </c>
      <c r="J131">
        <v>0</v>
      </c>
      <c r="K131">
        <v>0</v>
      </c>
    </row>
    <row r="132" spans="1:11">
      <c r="A132" t="s">
        <v>1578</v>
      </c>
      <c r="B132">
        <v>3</v>
      </c>
      <c r="C132">
        <v>0</v>
      </c>
      <c r="D132">
        <v>0</v>
      </c>
      <c r="E132">
        <v>0</v>
      </c>
      <c r="F132">
        <v>0</v>
      </c>
      <c r="G132">
        <v>0</v>
      </c>
      <c r="H132">
        <v>0</v>
      </c>
      <c r="I132">
        <v>0</v>
      </c>
      <c r="J132">
        <v>0</v>
      </c>
      <c r="K132">
        <v>0</v>
      </c>
    </row>
    <row r="133" spans="1:11">
      <c r="A133" t="s">
        <v>184</v>
      </c>
      <c r="B133">
        <v>223</v>
      </c>
      <c r="C133">
        <v>134</v>
      </c>
      <c r="D133">
        <v>21</v>
      </c>
      <c r="E133">
        <v>20</v>
      </c>
      <c r="F133">
        <v>20</v>
      </c>
      <c r="G133">
        <v>0</v>
      </c>
      <c r="H133">
        <v>20</v>
      </c>
      <c r="I133">
        <v>8</v>
      </c>
      <c r="J133">
        <v>0</v>
      </c>
      <c r="K133">
        <v>0</v>
      </c>
    </row>
    <row r="134" spans="1:11">
      <c r="A134" t="s">
        <v>551</v>
      </c>
      <c r="B134">
        <v>0</v>
      </c>
      <c r="C134">
        <v>0</v>
      </c>
      <c r="D134">
        <v>0</v>
      </c>
      <c r="E134">
        <v>0</v>
      </c>
      <c r="F134">
        <v>0</v>
      </c>
      <c r="G134">
        <v>0</v>
      </c>
      <c r="H134">
        <v>0</v>
      </c>
      <c r="I134">
        <v>0</v>
      </c>
      <c r="J134">
        <v>0</v>
      </c>
      <c r="K134">
        <v>0</v>
      </c>
    </row>
    <row r="135" spans="1:11">
      <c r="A135" t="s">
        <v>1733</v>
      </c>
      <c r="B135">
        <v>6</v>
      </c>
      <c r="C135">
        <v>0</v>
      </c>
      <c r="D135">
        <v>0</v>
      </c>
      <c r="E135">
        <v>0</v>
      </c>
      <c r="F135">
        <v>0</v>
      </c>
      <c r="G135">
        <v>0</v>
      </c>
      <c r="H135">
        <v>0</v>
      </c>
      <c r="I135">
        <v>0</v>
      </c>
      <c r="J135">
        <v>0</v>
      </c>
      <c r="K135">
        <v>0</v>
      </c>
    </row>
    <row r="136" spans="1:11">
      <c r="A136" t="s">
        <v>1536</v>
      </c>
      <c r="B136">
        <v>43</v>
      </c>
      <c r="C136">
        <v>33</v>
      </c>
      <c r="D136">
        <v>10</v>
      </c>
      <c r="E136">
        <v>0</v>
      </c>
      <c r="F136">
        <v>0</v>
      </c>
      <c r="G136">
        <v>0</v>
      </c>
      <c r="H136">
        <v>0</v>
      </c>
      <c r="I136">
        <v>0</v>
      </c>
      <c r="J136">
        <v>0</v>
      </c>
      <c r="K136">
        <v>0</v>
      </c>
    </row>
    <row r="137" spans="1:11">
      <c r="A137" t="s">
        <v>1579</v>
      </c>
      <c r="B137">
        <v>0</v>
      </c>
      <c r="C137">
        <v>0</v>
      </c>
      <c r="D137">
        <v>0</v>
      </c>
      <c r="E137">
        <v>0</v>
      </c>
      <c r="F137">
        <v>0</v>
      </c>
      <c r="G137">
        <v>0</v>
      </c>
      <c r="H137">
        <v>0</v>
      </c>
      <c r="I137">
        <v>0</v>
      </c>
      <c r="J137">
        <v>0</v>
      </c>
      <c r="K137">
        <v>0</v>
      </c>
    </row>
    <row r="138" spans="1:11">
      <c r="A138" t="s">
        <v>185</v>
      </c>
      <c r="B138">
        <v>235</v>
      </c>
      <c r="C138">
        <v>142</v>
      </c>
      <c r="D138">
        <v>21</v>
      </c>
      <c r="E138">
        <v>21</v>
      </c>
      <c r="F138">
        <v>21</v>
      </c>
      <c r="G138">
        <v>0</v>
      </c>
      <c r="H138">
        <v>21</v>
      </c>
      <c r="I138">
        <v>9</v>
      </c>
      <c r="J138">
        <v>0</v>
      </c>
      <c r="K138">
        <v>0</v>
      </c>
    </row>
    <row r="139" spans="1:11">
      <c r="A139" t="s">
        <v>1759</v>
      </c>
      <c r="B139">
        <v>0</v>
      </c>
      <c r="C139">
        <v>0</v>
      </c>
      <c r="D139">
        <v>0</v>
      </c>
      <c r="E139">
        <v>0</v>
      </c>
      <c r="F139">
        <v>0</v>
      </c>
      <c r="G139">
        <v>0</v>
      </c>
      <c r="H139">
        <v>0</v>
      </c>
      <c r="I139">
        <v>0</v>
      </c>
      <c r="J139">
        <v>0</v>
      </c>
      <c r="K139">
        <v>0</v>
      </c>
    </row>
    <row r="140" spans="1:11">
      <c r="A140" t="s">
        <v>1528</v>
      </c>
      <c r="B140">
        <v>60</v>
      </c>
      <c r="C140">
        <v>46</v>
      </c>
      <c r="D140">
        <v>14</v>
      </c>
      <c r="E140">
        <v>0</v>
      </c>
      <c r="F140">
        <v>0</v>
      </c>
      <c r="G140">
        <v>0</v>
      </c>
      <c r="H140">
        <v>0</v>
      </c>
      <c r="I140">
        <v>0</v>
      </c>
      <c r="J140">
        <v>0</v>
      </c>
      <c r="K140">
        <v>0</v>
      </c>
    </row>
    <row r="141" spans="1:11">
      <c r="A141" t="s">
        <v>1580</v>
      </c>
      <c r="B141">
        <v>2</v>
      </c>
      <c r="C141">
        <v>0</v>
      </c>
      <c r="D141">
        <v>0</v>
      </c>
      <c r="E141">
        <v>0</v>
      </c>
      <c r="F141">
        <v>0</v>
      </c>
      <c r="G141">
        <v>0</v>
      </c>
      <c r="H141">
        <v>0</v>
      </c>
      <c r="I141">
        <v>0</v>
      </c>
      <c r="J141">
        <v>0</v>
      </c>
      <c r="K141">
        <v>0</v>
      </c>
    </row>
    <row r="142" spans="1:11">
      <c r="A142" t="s">
        <v>1883</v>
      </c>
      <c r="B142">
        <v>10</v>
      </c>
      <c r="C142">
        <v>0</v>
      </c>
      <c r="D142">
        <v>0</v>
      </c>
      <c r="E142">
        <v>0</v>
      </c>
      <c r="F142">
        <v>0</v>
      </c>
      <c r="G142">
        <v>0</v>
      </c>
      <c r="H142">
        <v>0</v>
      </c>
      <c r="I142">
        <v>0</v>
      </c>
      <c r="J142">
        <v>0</v>
      </c>
      <c r="K142">
        <v>0</v>
      </c>
    </row>
    <row r="143" spans="1:11">
      <c r="A143" t="s">
        <v>1581</v>
      </c>
      <c r="B143">
        <v>4</v>
      </c>
      <c r="C143">
        <v>0</v>
      </c>
      <c r="D143">
        <v>0</v>
      </c>
      <c r="E143">
        <v>0</v>
      </c>
      <c r="F143">
        <v>0</v>
      </c>
      <c r="G143">
        <v>0</v>
      </c>
      <c r="H143">
        <v>0</v>
      </c>
      <c r="I143">
        <v>0</v>
      </c>
      <c r="J143">
        <v>0</v>
      </c>
      <c r="K143">
        <v>0</v>
      </c>
    </row>
    <row r="144" spans="1:11">
      <c r="A144" t="s">
        <v>1760</v>
      </c>
      <c r="B144">
        <v>4</v>
      </c>
      <c r="C144">
        <v>0</v>
      </c>
      <c r="D144">
        <v>0</v>
      </c>
      <c r="E144">
        <v>0</v>
      </c>
      <c r="F144">
        <v>0</v>
      </c>
      <c r="G144">
        <v>0</v>
      </c>
      <c r="H144">
        <v>0</v>
      </c>
      <c r="I144">
        <v>0</v>
      </c>
      <c r="J144">
        <v>0</v>
      </c>
      <c r="K144">
        <v>0</v>
      </c>
    </row>
    <row r="145" spans="1:11">
      <c r="A145" t="s">
        <v>1582</v>
      </c>
      <c r="B145">
        <v>0</v>
      </c>
      <c r="C145">
        <v>0</v>
      </c>
      <c r="D145">
        <v>0</v>
      </c>
      <c r="E145">
        <v>0</v>
      </c>
      <c r="F145">
        <v>0</v>
      </c>
      <c r="G145">
        <v>0</v>
      </c>
      <c r="H145">
        <v>0</v>
      </c>
      <c r="I145">
        <v>0</v>
      </c>
      <c r="J145">
        <v>0</v>
      </c>
      <c r="K145">
        <v>0</v>
      </c>
    </row>
    <row r="146" spans="1:11">
      <c r="A146" t="s">
        <v>186</v>
      </c>
      <c r="B146">
        <v>96</v>
      </c>
      <c r="C146">
        <v>58</v>
      </c>
      <c r="D146">
        <v>9</v>
      </c>
      <c r="E146">
        <v>9</v>
      </c>
      <c r="F146">
        <v>9</v>
      </c>
      <c r="G146">
        <v>0</v>
      </c>
      <c r="H146">
        <v>8</v>
      </c>
      <c r="I146">
        <v>3</v>
      </c>
      <c r="J146">
        <v>0</v>
      </c>
      <c r="K146">
        <v>0</v>
      </c>
    </row>
    <row r="147" spans="1:11">
      <c r="A147" t="s">
        <v>1898</v>
      </c>
      <c r="B147">
        <v>0</v>
      </c>
      <c r="C147">
        <v>0</v>
      </c>
      <c r="D147">
        <v>0</v>
      </c>
      <c r="E147">
        <v>0</v>
      </c>
      <c r="F147">
        <v>0</v>
      </c>
      <c r="G147">
        <v>0</v>
      </c>
      <c r="H147">
        <v>0</v>
      </c>
      <c r="I147">
        <v>0</v>
      </c>
      <c r="J147">
        <v>0</v>
      </c>
      <c r="K147">
        <v>0</v>
      </c>
    </row>
    <row r="148" spans="1:11">
      <c r="A148" t="s">
        <v>1464</v>
      </c>
      <c r="B148">
        <v>56</v>
      </c>
      <c r="C148">
        <v>42</v>
      </c>
      <c r="D148">
        <v>14</v>
      </c>
      <c r="E148">
        <v>0</v>
      </c>
      <c r="F148">
        <v>0</v>
      </c>
      <c r="G148">
        <v>0</v>
      </c>
      <c r="H148">
        <v>0</v>
      </c>
      <c r="I148">
        <v>0</v>
      </c>
      <c r="J148">
        <v>0</v>
      </c>
      <c r="K148">
        <v>0</v>
      </c>
    </row>
    <row r="149" spans="1:11">
      <c r="A149" t="s">
        <v>1583</v>
      </c>
      <c r="B149">
        <v>0</v>
      </c>
      <c r="C149">
        <v>0</v>
      </c>
      <c r="D149">
        <v>0</v>
      </c>
      <c r="E149">
        <v>0</v>
      </c>
      <c r="F149">
        <v>0</v>
      </c>
      <c r="G149">
        <v>0</v>
      </c>
      <c r="H149">
        <v>0</v>
      </c>
      <c r="I149">
        <v>0</v>
      </c>
      <c r="J149">
        <v>0</v>
      </c>
      <c r="K149">
        <v>0</v>
      </c>
    </row>
    <row r="150" spans="1:11">
      <c r="A150" t="s">
        <v>187</v>
      </c>
      <c r="B150">
        <v>189</v>
      </c>
      <c r="C150">
        <v>114</v>
      </c>
      <c r="D150">
        <v>17</v>
      </c>
      <c r="E150">
        <v>17</v>
      </c>
      <c r="F150">
        <v>17</v>
      </c>
      <c r="G150">
        <v>0</v>
      </c>
      <c r="H150">
        <v>17</v>
      </c>
      <c r="I150">
        <v>7</v>
      </c>
      <c r="J150">
        <v>0</v>
      </c>
      <c r="K150">
        <v>0</v>
      </c>
    </row>
    <row r="151" spans="1:11">
      <c r="A151" t="s">
        <v>188</v>
      </c>
      <c r="B151">
        <v>21</v>
      </c>
      <c r="C151">
        <v>13</v>
      </c>
      <c r="D151">
        <v>0</v>
      </c>
      <c r="E151">
        <v>2</v>
      </c>
      <c r="F151">
        <v>2</v>
      </c>
      <c r="G151">
        <v>0</v>
      </c>
      <c r="H151">
        <v>2</v>
      </c>
      <c r="I151">
        <v>2</v>
      </c>
      <c r="J151">
        <v>0</v>
      </c>
      <c r="K151">
        <v>0</v>
      </c>
    </row>
    <row r="152" spans="1:11">
      <c r="A152" t="s">
        <v>1776</v>
      </c>
      <c r="B152">
        <v>0</v>
      </c>
      <c r="C152">
        <v>0</v>
      </c>
      <c r="D152">
        <v>0</v>
      </c>
      <c r="E152">
        <v>0</v>
      </c>
      <c r="F152">
        <v>0</v>
      </c>
      <c r="G152">
        <v>0</v>
      </c>
      <c r="H152">
        <v>0</v>
      </c>
      <c r="I152">
        <v>0</v>
      </c>
      <c r="J152">
        <v>0</v>
      </c>
      <c r="K152">
        <v>0</v>
      </c>
    </row>
    <row r="153" spans="1:11">
      <c r="A153" t="s">
        <v>1520</v>
      </c>
      <c r="B153">
        <v>41</v>
      </c>
      <c r="C153">
        <v>31</v>
      </c>
      <c r="D153">
        <v>10</v>
      </c>
      <c r="E153">
        <v>0</v>
      </c>
      <c r="F153">
        <v>0</v>
      </c>
      <c r="G153">
        <v>0</v>
      </c>
      <c r="H153">
        <v>0</v>
      </c>
      <c r="I153">
        <v>0</v>
      </c>
      <c r="J153">
        <v>0</v>
      </c>
      <c r="K153">
        <v>0</v>
      </c>
    </row>
    <row r="154" spans="1:11">
      <c r="A154" t="s">
        <v>1584</v>
      </c>
      <c r="B154">
        <v>2</v>
      </c>
      <c r="C154">
        <v>0</v>
      </c>
      <c r="D154">
        <v>0</v>
      </c>
      <c r="E154">
        <v>0</v>
      </c>
      <c r="F154">
        <v>0</v>
      </c>
      <c r="G154">
        <v>0</v>
      </c>
      <c r="H154">
        <v>0</v>
      </c>
      <c r="I154">
        <v>0</v>
      </c>
      <c r="J154">
        <v>0</v>
      </c>
      <c r="K154">
        <v>0</v>
      </c>
    </row>
    <row r="155" spans="1:11">
      <c r="A155" t="s">
        <v>1866</v>
      </c>
      <c r="B155">
        <v>0</v>
      </c>
      <c r="C155">
        <v>0</v>
      </c>
      <c r="D155">
        <v>0</v>
      </c>
      <c r="E155">
        <v>0</v>
      </c>
      <c r="F155">
        <v>0</v>
      </c>
      <c r="G155">
        <v>0</v>
      </c>
      <c r="H155">
        <v>0</v>
      </c>
      <c r="I155">
        <v>0</v>
      </c>
      <c r="J155">
        <v>0</v>
      </c>
      <c r="K155">
        <v>0</v>
      </c>
    </row>
    <row r="156" spans="1:11">
      <c r="A156" t="s">
        <v>1585</v>
      </c>
      <c r="B156">
        <v>0</v>
      </c>
      <c r="C156">
        <v>0</v>
      </c>
      <c r="D156">
        <v>0</v>
      </c>
      <c r="E156">
        <v>0</v>
      </c>
      <c r="F156">
        <v>0</v>
      </c>
      <c r="G156">
        <v>0</v>
      </c>
      <c r="H156">
        <v>0</v>
      </c>
      <c r="I156">
        <v>0</v>
      </c>
      <c r="J156">
        <v>0</v>
      </c>
      <c r="K156">
        <v>0</v>
      </c>
    </row>
    <row r="157" spans="1:11">
      <c r="A157" t="s">
        <v>189</v>
      </c>
      <c r="B157">
        <v>54</v>
      </c>
      <c r="C157">
        <v>33</v>
      </c>
      <c r="D157">
        <v>5</v>
      </c>
      <c r="E157">
        <v>5</v>
      </c>
      <c r="F157">
        <v>5</v>
      </c>
      <c r="G157">
        <v>0</v>
      </c>
      <c r="H157">
        <v>4</v>
      </c>
      <c r="I157">
        <v>2</v>
      </c>
      <c r="J157">
        <v>0</v>
      </c>
      <c r="K157">
        <v>0</v>
      </c>
    </row>
    <row r="158" spans="1:11">
      <c r="A158" t="s">
        <v>1802</v>
      </c>
      <c r="B158">
        <v>0</v>
      </c>
      <c r="C158">
        <v>0</v>
      </c>
      <c r="D158">
        <v>0</v>
      </c>
      <c r="E158">
        <v>0</v>
      </c>
      <c r="F158">
        <v>0</v>
      </c>
      <c r="G158">
        <v>0</v>
      </c>
      <c r="H158">
        <v>0</v>
      </c>
      <c r="I158">
        <v>0</v>
      </c>
      <c r="J158">
        <v>0</v>
      </c>
      <c r="K158">
        <v>0</v>
      </c>
    </row>
    <row r="159" spans="1:11">
      <c r="A159" t="s">
        <v>1508</v>
      </c>
      <c r="B159">
        <v>45</v>
      </c>
      <c r="C159">
        <v>34</v>
      </c>
      <c r="D159">
        <v>11</v>
      </c>
      <c r="E159">
        <v>0</v>
      </c>
      <c r="F159">
        <v>0</v>
      </c>
      <c r="G159">
        <v>0</v>
      </c>
      <c r="H159">
        <v>0</v>
      </c>
      <c r="I159">
        <v>0</v>
      </c>
      <c r="J159">
        <v>0</v>
      </c>
      <c r="K159">
        <v>0</v>
      </c>
    </row>
    <row r="160" spans="1:11">
      <c r="A160" t="s">
        <v>1586</v>
      </c>
      <c r="B160">
        <v>0</v>
      </c>
      <c r="C160">
        <v>0</v>
      </c>
      <c r="D160">
        <v>0</v>
      </c>
      <c r="E160">
        <v>0</v>
      </c>
      <c r="F160">
        <v>0</v>
      </c>
      <c r="G160">
        <v>0</v>
      </c>
      <c r="H160">
        <v>0</v>
      </c>
      <c r="I160">
        <v>0</v>
      </c>
      <c r="J160">
        <v>0</v>
      </c>
      <c r="K160">
        <v>0</v>
      </c>
    </row>
    <row r="161" spans="1:11">
      <c r="A161" t="s">
        <v>190</v>
      </c>
      <c r="B161">
        <v>393</v>
      </c>
      <c r="C161">
        <v>236</v>
      </c>
      <c r="D161">
        <v>36</v>
      </c>
      <c r="E161">
        <v>36</v>
      </c>
      <c r="F161">
        <v>35</v>
      </c>
      <c r="G161">
        <v>0</v>
      </c>
      <c r="H161">
        <v>35</v>
      </c>
      <c r="I161">
        <v>15</v>
      </c>
      <c r="J161">
        <v>0</v>
      </c>
      <c r="K161">
        <v>0</v>
      </c>
    </row>
    <row r="162" spans="1:11">
      <c r="A162" t="s">
        <v>1774</v>
      </c>
      <c r="B162">
        <v>0</v>
      </c>
      <c r="C162">
        <v>0</v>
      </c>
      <c r="D162">
        <v>0</v>
      </c>
      <c r="E162">
        <v>0</v>
      </c>
      <c r="F162">
        <v>0</v>
      </c>
      <c r="G162">
        <v>0</v>
      </c>
      <c r="H162">
        <v>0</v>
      </c>
      <c r="I162">
        <v>0</v>
      </c>
      <c r="J162">
        <v>0</v>
      </c>
      <c r="K162">
        <v>0</v>
      </c>
    </row>
    <row r="163" spans="1:11">
      <c r="A163" t="s">
        <v>1524</v>
      </c>
      <c r="B163">
        <v>63</v>
      </c>
      <c r="C163">
        <v>48</v>
      </c>
      <c r="D163">
        <v>15</v>
      </c>
      <c r="E163">
        <v>0</v>
      </c>
      <c r="F163">
        <v>0</v>
      </c>
      <c r="G163">
        <v>0</v>
      </c>
      <c r="H163">
        <v>0</v>
      </c>
      <c r="I163">
        <v>0</v>
      </c>
      <c r="J163">
        <v>0</v>
      </c>
      <c r="K163">
        <v>0</v>
      </c>
    </row>
    <row r="164" spans="1:11">
      <c r="A164" t="s">
        <v>1587</v>
      </c>
      <c r="B164">
        <v>0</v>
      </c>
      <c r="C164">
        <v>0</v>
      </c>
      <c r="D164">
        <v>0</v>
      </c>
      <c r="E164">
        <v>0</v>
      </c>
      <c r="F164">
        <v>0</v>
      </c>
      <c r="G164">
        <v>0</v>
      </c>
      <c r="H164">
        <v>0</v>
      </c>
      <c r="I164">
        <v>0</v>
      </c>
      <c r="J164">
        <v>0</v>
      </c>
      <c r="K164">
        <v>0</v>
      </c>
    </row>
    <row r="165" spans="1:11">
      <c r="A165" t="s">
        <v>191</v>
      </c>
      <c r="B165">
        <v>43</v>
      </c>
      <c r="C165">
        <v>26</v>
      </c>
      <c r="D165">
        <v>4</v>
      </c>
      <c r="E165">
        <v>4</v>
      </c>
      <c r="F165">
        <v>4</v>
      </c>
      <c r="G165">
        <v>0</v>
      </c>
      <c r="H165">
        <v>4</v>
      </c>
      <c r="I165">
        <v>1</v>
      </c>
      <c r="J165">
        <v>0</v>
      </c>
      <c r="K165">
        <v>0</v>
      </c>
    </row>
    <row r="166" spans="1:11">
      <c r="A166" t="s">
        <v>1797</v>
      </c>
      <c r="B166">
        <v>0</v>
      </c>
      <c r="C166">
        <v>0</v>
      </c>
      <c r="D166">
        <v>0</v>
      </c>
      <c r="E166">
        <v>0</v>
      </c>
      <c r="F166">
        <v>0</v>
      </c>
      <c r="G166">
        <v>0</v>
      </c>
      <c r="H166">
        <v>0</v>
      </c>
      <c r="I166">
        <v>0</v>
      </c>
      <c r="J166">
        <v>0</v>
      </c>
      <c r="K166">
        <v>0</v>
      </c>
    </row>
    <row r="167" spans="1:11">
      <c r="A167" t="s">
        <v>1588</v>
      </c>
      <c r="B167">
        <v>4</v>
      </c>
      <c r="C167">
        <v>0</v>
      </c>
      <c r="D167">
        <v>0</v>
      </c>
      <c r="E167">
        <v>0</v>
      </c>
      <c r="F167">
        <v>0</v>
      </c>
      <c r="G167">
        <v>0</v>
      </c>
      <c r="H167">
        <v>0</v>
      </c>
      <c r="I167">
        <v>0</v>
      </c>
      <c r="J167">
        <v>0</v>
      </c>
      <c r="K167">
        <v>0</v>
      </c>
    </row>
    <row r="168" spans="1:11">
      <c r="A168" t="s">
        <v>1808</v>
      </c>
      <c r="B168">
        <v>0</v>
      </c>
      <c r="C168">
        <v>0</v>
      </c>
      <c r="D168">
        <v>0</v>
      </c>
      <c r="E168">
        <v>0</v>
      </c>
      <c r="F168">
        <v>0</v>
      </c>
      <c r="G168">
        <v>0</v>
      </c>
      <c r="H168">
        <v>0</v>
      </c>
      <c r="I168">
        <v>0</v>
      </c>
      <c r="J168">
        <v>0</v>
      </c>
      <c r="K168">
        <v>0</v>
      </c>
    </row>
    <row r="169" spans="1:11">
      <c r="A169" t="s">
        <v>1589</v>
      </c>
      <c r="B169">
        <v>0</v>
      </c>
      <c r="C169">
        <v>0</v>
      </c>
      <c r="D169">
        <v>0</v>
      </c>
      <c r="E169">
        <v>0</v>
      </c>
      <c r="F169">
        <v>0</v>
      </c>
      <c r="G169">
        <v>0</v>
      </c>
      <c r="H169">
        <v>0</v>
      </c>
      <c r="I169">
        <v>0</v>
      </c>
      <c r="J169">
        <v>0</v>
      </c>
      <c r="K169">
        <v>0</v>
      </c>
    </row>
    <row r="170" spans="1:11">
      <c r="A170" t="s">
        <v>1813</v>
      </c>
      <c r="B170">
        <v>9</v>
      </c>
      <c r="C170">
        <v>0</v>
      </c>
      <c r="D170">
        <v>0</v>
      </c>
      <c r="E170">
        <v>0</v>
      </c>
      <c r="F170">
        <v>0</v>
      </c>
      <c r="G170">
        <v>0</v>
      </c>
      <c r="H170">
        <v>0</v>
      </c>
      <c r="I170">
        <v>0</v>
      </c>
      <c r="J170">
        <v>0</v>
      </c>
      <c r="K170">
        <v>0</v>
      </c>
    </row>
    <row r="171" spans="1:11">
      <c r="A171" t="s">
        <v>1590</v>
      </c>
      <c r="B171">
        <v>7</v>
      </c>
      <c r="C171">
        <v>0</v>
      </c>
      <c r="D171">
        <v>0</v>
      </c>
      <c r="E171">
        <v>0</v>
      </c>
      <c r="F171">
        <v>0</v>
      </c>
      <c r="G171">
        <v>0</v>
      </c>
      <c r="H171">
        <v>0</v>
      </c>
      <c r="I171">
        <v>0</v>
      </c>
      <c r="J171">
        <v>0</v>
      </c>
      <c r="K171">
        <v>0</v>
      </c>
    </row>
    <row r="172" spans="1:11">
      <c r="A172" t="s">
        <v>545</v>
      </c>
      <c r="B172">
        <v>65</v>
      </c>
      <c r="C172">
        <v>43</v>
      </c>
      <c r="D172">
        <v>9</v>
      </c>
      <c r="E172">
        <v>8</v>
      </c>
      <c r="F172">
        <v>0</v>
      </c>
      <c r="G172">
        <v>0</v>
      </c>
      <c r="H172">
        <v>0</v>
      </c>
      <c r="I172">
        <v>5</v>
      </c>
      <c r="J172">
        <v>0</v>
      </c>
      <c r="K172">
        <v>0</v>
      </c>
    </row>
    <row r="173" spans="1:11">
      <c r="A173" t="s">
        <v>1892</v>
      </c>
      <c r="B173">
        <v>0</v>
      </c>
      <c r="C173">
        <v>0</v>
      </c>
      <c r="D173">
        <v>0</v>
      </c>
      <c r="E173">
        <v>0</v>
      </c>
      <c r="F173">
        <v>0</v>
      </c>
      <c r="G173">
        <v>0</v>
      </c>
      <c r="H173">
        <v>0</v>
      </c>
      <c r="I173">
        <v>0</v>
      </c>
      <c r="J173">
        <v>0</v>
      </c>
      <c r="K173">
        <v>0</v>
      </c>
    </row>
    <row r="174" spans="1:11">
      <c r="A174" t="s">
        <v>1468</v>
      </c>
      <c r="B174">
        <v>45</v>
      </c>
      <c r="C174">
        <v>34</v>
      </c>
      <c r="D174">
        <v>11</v>
      </c>
      <c r="E174">
        <v>0</v>
      </c>
      <c r="F174">
        <v>0</v>
      </c>
      <c r="G174">
        <v>0</v>
      </c>
      <c r="H174">
        <v>0</v>
      </c>
      <c r="I174">
        <v>0</v>
      </c>
      <c r="J174">
        <v>0</v>
      </c>
      <c r="K174">
        <v>0</v>
      </c>
    </row>
    <row r="175" spans="1:11">
      <c r="A175" t="s">
        <v>1591</v>
      </c>
      <c r="B175">
        <v>8</v>
      </c>
      <c r="C175">
        <v>0</v>
      </c>
      <c r="D175">
        <v>0</v>
      </c>
      <c r="E175">
        <v>0</v>
      </c>
      <c r="F175">
        <v>0</v>
      </c>
      <c r="G175">
        <v>0</v>
      </c>
      <c r="H175">
        <v>0</v>
      </c>
      <c r="I175">
        <v>0</v>
      </c>
      <c r="J175">
        <v>0</v>
      </c>
      <c r="K175">
        <v>0</v>
      </c>
    </row>
    <row r="176" spans="1:11">
      <c r="A176" t="s">
        <v>1891</v>
      </c>
      <c r="B176">
        <v>10</v>
      </c>
      <c r="C176">
        <v>0</v>
      </c>
      <c r="D176">
        <v>0</v>
      </c>
      <c r="E176">
        <v>0</v>
      </c>
      <c r="F176">
        <v>0</v>
      </c>
      <c r="G176">
        <v>0</v>
      </c>
      <c r="H176">
        <v>0</v>
      </c>
      <c r="I176">
        <v>0</v>
      </c>
      <c r="J176">
        <v>0</v>
      </c>
      <c r="K176">
        <v>0</v>
      </c>
    </row>
    <row r="177" spans="1:11">
      <c r="A177" t="s">
        <v>1592</v>
      </c>
      <c r="B177">
        <v>17</v>
      </c>
      <c r="C177">
        <v>0</v>
      </c>
      <c r="D177">
        <v>0</v>
      </c>
      <c r="E177">
        <v>0</v>
      </c>
      <c r="F177">
        <v>0</v>
      </c>
      <c r="G177">
        <v>0</v>
      </c>
      <c r="H177">
        <v>0</v>
      </c>
      <c r="I177">
        <v>0</v>
      </c>
      <c r="J177">
        <v>0</v>
      </c>
      <c r="K177">
        <v>0</v>
      </c>
    </row>
    <row r="178" spans="1:11">
      <c r="A178" t="s">
        <v>1593</v>
      </c>
      <c r="B178">
        <v>0</v>
      </c>
      <c r="C178">
        <v>0</v>
      </c>
      <c r="D178">
        <v>0</v>
      </c>
      <c r="E178">
        <v>0</v>
      </c>
      <c r="F178">
        <v>0</v>
      </c>
      <c r="G178">
        <v>0</v>
      </c>
      <c r="H178">
        <v>0</v>
      </c>
      <c r="I178">
        <v>0</v>
      </c>
      <c r="J178">
        <v>0</v>
      </c>
      <c r="K178">
        <v>0</v>
      </c>
    </row>
    <row r="179" spans="1:11">
      <c r="A179" t="s">
        <v>192</v>
      </c>
      <c r="B179">
        <v>12</v>
      </c>
      <c r="C179">
        <v>8</v>
      </c>
      <c r="D179">
        <v>2</v>
      </c>
      <c r="E179">
        <v>2</v>
      </c>
      <c r="F179">
        <v>0</v>
      </c>
      <c r="G179">
        <v>0</v>
      </c>
      <c r="H179">
        <v>0</v>
      </c>
      <c r="I179">
        <v>0</v>
      </c>
      <c r="J179">
        <v>0</v>
      </c>
      <c r="K179">
        <v>0</v>
      </c>
    </row>
    <row r="180" spans="1:11">
      <c r="A180" t="s">
        <v>1865</v>
      </c>
      <c r="B180">
        <v>0</v>
      </c>
      <c r="C180">
        <v>0</v>
      </c>
      <c r="D180">
        <v>0</v>
      </c>
      <c r="E180">
        <v>0</v>
      </c>
      <c r="F180">
        <v>0</v>
      </c>
      <c r="G180">
        <v>0</v>
      </c>
      <c r="H180">
        <v>0</v>
      </c>
      <c r="I180">
        <v>0</v>
      </c>
      <c r="J180">
        <v>0</v>
      </c>
      <c r="K180">
        <v>0</v>
      </c>
    </row>
    <row r="181" spans="1:11">
      <c r="A181" t="s">
        <v>1594</v>
      </c>
      <c r="B181">
        <v>4</v>
      </c>
      <c r="C181">
        <v>0</v>
      </c>
      <c r="D181">
        <v>0</v>
      </c>
      <c r="E181">
        <v>0</v>
      </c>
      <c r="F181">
        <v>0</v>
      </c>
      <c r="G181">
        <v>0</v>
      </c>
      <c r="H181">
        <v>0</v>
      </c>
      <c r="I181">
        <v>0</v>
      </c>
      <c r="J181">
        <v>0</v>
      </c>
      <c r="K181">
        <v>0</v>
      </c>
    </row>
    <row r="182" spans="1:11">
      <c r="A182" t="s">
        <v>193</v>
      </c>
      <c r="B182">
        <v>38</v>
      </c>
      <c r="C182">
        <v>26</v>
      </c>
      <c r="D182">
        <v>6</v>
      </c>
      <c r="E182">
        <v>6</v>
      </c>
      <c r="F182">
        <v>0</v>
      </c>
      <c r="G182">
        <v>0</v>
      </c>
      <c r="H182">
        <v>0</v>
      </c>
      <c r="I182">
        <v>0</v>
      </c>
      <c r="J182">
        <v>0</v>
      </c>
      <c r="K182">
        <v>0</v>
      </c>
    </row>
    <row r="183" spans="1:11">
      <c r="A183" t="s">
        <v>1728</v>
      </c>
      <c r="B183">
        <v>0</v>
      </c>
      <c r="C183">
        <v>0</v>
      </c>
      <c r="D183">
        <v>0</v>
      </c>
      <c r="E183">
        <v>0</v>
      </c>
      <c r="F183">
        <v>0</v>
      </c>
      <c r="G183">
        <v>0</v>
      </c>
      <c r="H183">
        <v>0</v>
      </c>
      <c r="I183">
        <v>0</v>
      </c>
      <c r="J183">
        <v>0</v>
      </c>
      <c r="K183">
        <v>0</v>
      </c>
    </row>
    <row r="184" spans="1:11">
      <c r="A184" t="s">
        <v>1595</v>
      </c>
      <c r="B184">
        <v>5</v>
      </c>
      <c r="C184">
        <v>0</v>
      </c>
      <c r="D184">
        <v>0</v>
      </c>
      <c r="E184">
        <v>0</v>
      </c>
      <c r="F184">
        <v>0</v>
      </c>
      <c r="G184">
        <v>0</v>
      </c>
      <c r="H184">
        <v>0</v>
      </c>
      <c r="I184">
        <v>0</v>
      </c>
      <c r="J184">
        <v>0</v>
      </c>
      <c r="K184">
        <v>0</v>
      </c>
    </row>
    <row r="185" spans="1:11">
      <c r="A185" t="s">
        <v>1790</v>
      </c>
      <c r="B185">
        <v>4</v>
      </c>
      <c r="C185">
        <v>0</v>
      </c>
      <c r="D185">
        <v>0</v>
      </c>
      <c r="E185">
        <v>0</v>
      </c>
      <c r="F185">
        <v>0</v>
      </c>
      <c r="G185">
        <v>0</v>
      </c>
      <c r="H185">
        <v>0</v>
      </c>
      <c r="I185">
        <v>0</v>
      </c>
      <c r="J185">
        <v>0</v>
      </c>
      <c r="K185">
        <v>0</v>
      </c>
    </row>
    <row r="186" spans="1:11">
      <c r="A186" t="s">
        <v>194</v>
      </c>
      <c r="B186">
        <v>43</v>
      </c>
      <c r="C186">
        <v>26</v>
      </c>
      <c r="D186">
        <v>4</v>
      </c>
      <c r="E186">
        <v>4</v>
      </c>
      <c r="F186">
        <v>4</v>
      </c>
      <c r="G186">
        <v>0</v>
      </c>
      <c r="H186">
        <v>4</v>
      </c>
      <c r="I186">
        <v>1</v>
      </c>
      <c r="J186">
        <v>0</v>
      </c>
      <c r="K186">
        <v>0</v>
      </c>
    </row>
    <row r="187" spans="1:11">
      <c r="A187" t="s">
        <v>1798</v>
      </c>
      <c r="B187">
        <v>5</v>
      </c>
      <c r="C187">
        <v>0</v>
      </c>
      <c r="D187">
        <v>0</v>
      </c>
      <c r="E187">
        <v>0</v>
      </c>
      <c r="F187">
        <v>0</v>
      </c>
      <c r="G187">
        <v>0</v>
      </c>
      <c r="H187">
        <v>0</v>
      </c>
      <c r="I187">
        <v>0</v>
      </c>
      <c r="J187">
        <v>0</v>
      </c>
      <c r="K187">
        <v>0</v>
      </c>
    </row>
    <row r="188" spans="1:11">
      <c r="A188" t="s">
        <v>1596</v>
      </c>
      <c r="B188">
        <v>14</v>
      </c>
      <c r="C188">
        <v>0</v>
      </c>
      <c r="D188">
        <v>0</v>
      </c>
      <c r="E188">
        <v>0</v>
      </c>
      <c r="F188">
        <v>0</v>
      </c>
      <c r="G188">
        <v>0</v>
      </c>
      <c r="H188">
        <v>0</v>
      </c>
      <c r="I188">
        <v>0</v>
      </c>
      <c r="J188">
        <v>0</v>
      </c>
      <c r="K188">
        <v>0</v>
      </c>
    </row>
    <row r="189" spans="1:11">
      <c r="A189" t="s">
        <v>195</v>
      </c>
      <c r="B189">
        <v>45</v>
      </c>
      <c r="C189">
        <v>28</v>
      </c>
      <c r="D189">
        <v>4</v>
      </c>
      <c r="E189">
        <v>4</v>
      </c>
      <c r="F189">
        <v>4</v>
      </c>
      <c r="G189">
        <v>0</v>
      </c>
      <c r="H189">
        <v>4</v>
      </c>
      <c r="I189">
        <v>1</v>
      </c>
      <c r="J189">
        <v>0</v>
      </c>
      <c r="K189">
        <v>0</v>
      </c>
    </row>
    <row r="190" spans="1:11">
      <c r="A190" t="s">
        <v>1853</v>
      </c>
      <c r="B190">
        <v>0</v>
      </c>
      <c r="C190">
        <v>0</v>
      </c>
      <c r="D190">
        <v>0</v>
      </c>
      <c r="E190">
        <v>0</v>
      </c>
      <c r="F190">
        <v>0</v>
      </c>
      <c r="G190">
        <v>0</v>
      </c>
      <c r="H190">
        <v>0</v>
      </c>
      <c r="I190">
        <v>0</v>
      </c>
      <c r="J190">
        <v>0</v>
      </c>
      <c r="K190">
        <v>0</v>
      </c>
    </row>
    <row r="191" spans="1:11">
      <c r="A191" t="s">
        <v>1491</v>
      </c>
      <c r="B191">
        <v>47</v>
      </c>
      <c r="C191">
        <v>36</v>
      </c>
      <c r="D191">
        <v>11</v>
      </c>
      <c r="E191">
        <v>0</v>
      </c>
      <c r="F191">
        <v>0</v>
      </c>
      <c r="G191">
        <v>0</v>
      </c>
      <c r="H191">
        <v>0</v>
      </c>
      <c r="I191">
        <v>0</v>
      </c>
      <c r="J191">
        <v>0</v>
      </c>
      <c r="K191">
        <v>0</v>
      </c>
    </row>
    <row r="192" spans="1:11">
      <c r="A192" t="s">
        <v>1597</v>
      </c>
      <c r="B192">
        <v>0</v>
      </c>
      <c r="C192">
        <v>0</v>
      </c>
      <c r="D192">
        <v>0</v>
      </c>
      <c r="E192">
        <v>0</v>
      </c>
      <c r="F192">
        <v>0</v>
      </c>
      <c r="G192">
        <v>0</v>
      </c>
      <c r="H192">
        <v>0</v>
      </c>
      <c r="I192">
        <v>0</v>
      </c>
      <c r="J192">
        <v>0</v>
      </c>
      <c r="K192">
        <v>0</v>
      </c>
    </row>
    <row r="193" spans="1:11">
      <c r="A193" t="s">
        <v>196</v>
      </c>
      <c r="B193">
        <v>121</v>
      </c>
      <c r="C193">
        <v>73</v>
      </c>
      <c r="D193">
        <v>11</v>
      </c>
      <c r="E193">
        <v>11</v>
      </c>
      <c r="F193">
        <v>11</v>
      </c>
      <c r="G193">
        <v>0</v>
      </c>
      <c r="H193">
        <v>11</v>
      </c>
      <c r="I193">
        <v>4</v>
      </c>
      <c r="J193">
        <v>0</v>
      </c>
      <c r="K193">
        <v>0</v>
      </c>
    </row>
    <row r="194" spans="1:11">
      <c r="A194" t="s">
        <v>197</v>
      </c>
      <c r="B194">
        <v>94</v>
      </c>
      <c r="C194">
        <v>59</v>
      </c>
      <c r="D194">
        <v>0</v>
      </c>
      <c r="E194">
        <v>10</v>
      </c>
      <c r="F194">
        <v>10</v>
      </c>
      <c r="G194">
        <v>0</v>
      </c>
      <c r="H194">
        <v>10</v>
      </c>
      <c r="I194">
        <v>5</v>
      </c>
      <c r="J194">
        <v>0</v>
      </c>
      <c r="K194">
        <v>0</v>
      </c>
    </row>
    <row r="195" spans="1:11">
      <c r="A195" t="s">
        <v>1816</v>
      </c>
      <c r="B195">
        <v>8</v>
      </c>
      <c r="C195">
        <v>0</v>
      </c>
      <c r="D195">
        <v>0</v>
      </c>
      <c r="E195">
        <v>0</v>
      </c>
      <c r="F195">
        <v>0</v>
      </c>
      <c r="G195">
        <v>0</v>
      </c>
      <c r="H195">
        <v>0</v>
      </c>
      <c r="I195">
        <v>0</v>
      </c>
      <c r="J195">
        <v>0</v>
      </c>
      <c r="K195">
        <v>0</v>
      </c>
    </row>
    <row r="196" spans="1:11">
      <c r="A196" t="s">
        <v>1500</v>
      </c>
      <c r="B196">
        <v>56</v>
      </c>
      <c r="C196">
        <v>42</v>
      </c>
      <c r="D196">
        <v>14</v>
      </c>
      <c r="E196">
        <v>0</v>
      </c>
      <c r="F196">
        <v>0</v>
      </c>
      <c r="G196">
        <v>0</v>
      </c>
      <c r="H196">
        <v>0</v>
      </c>
      <c r="I196">
        <v>0</v>
      </c>
      <c r="J196">
        <v>0</v>
      </c>
      <c r="K196">
        <v>0</v>
      </c>
    </row>
    <row r="197" spans="1:11">
      <c r="A197" t="s">
        <v>1598</v>
      </c>
      <c r="B197">
        <v>9</v>
      </c>
      <c r="C197">
        <v>0</v>
      </c>
      <c r="D197">
        <v>0</v>
      </c>
      <c r="E197">
        <v>0</v>
      </c>
      <c r="F197">
        <v>0</v>
      </c>
      <c r="G197">
        <v>0</v>
      </c>
      <c r="H197">
        <v>0</v>
      </c>
      <c r="I197">
        <v>0</v>
      </c>
      <c r="J197">
        <v>0</v>
      </c>
      <c r="K197">
        <v>0</v>
      </c>
    </row>
    <row r="198" spans="1:11">
      <c r="A198" t="s">
        <v>198</v>
      </c>
      <c r="B198">
        <v>154</v>
      </c>
      <c r="C198">
        <v>93</v>
      </c>
      <c r="D198">
        <v>14</v>
      </c>
      <c r="E198">
        <v>14</v>
      </c>
      <c r="F198">
        <v>14</v>
      </c>
      <c r="G198">
        <v>0</v>
      </c>
      <c r="H198">
        <v>13</v>
      </c>
      <c r="I198">
        <v>6</v>
      </c>
      <c r="J198">
        <v>0</v>
      </c>
      <c r="K198">
        <v>0</v>
      </c>
    </row>
    <row r="199" spans="1:11">
      <c r="A199" t="s">
        <v>1701</v>
      </c>
      <c r="B199">
        <v>0</v>
      </c>
      <c r="C199">
        <v>0</v>
      </c>
      <c r="D199">
        <v>0</v>
      </c>
      <c r="E199">
        <v>0</v>
      </c>
      <c r="F199">
        <v>0</v>
      </c>
      <c r="G199">
        <v>0</v>
      </c>
      <c r="H199">
        <v>0</v>
      </c>
      <c r="I199">
        <v>0</v>
      </c>
      <c r="J199">
        <v>0</v>
      </c>
      <c r="K199">
        <v>0</v>
      </c>
    </row>
    <row r="200" spans="1:11">
      <c r="A200" t="s">
        <v>1541</v>
      </c>
      <c r="B200">
        <v>84</v>
      </c>
      <c r="C200">
        <v>64</v>
      </c>
      <c r="D200">
        <v>20</v>
      </c>
      <c r="E200">
        <v>0</v>
      </c>
      <c r="F200">
        <v>0</v>
      </c>
      <c r="G200">
        <v>0</v>
      </c>
      <c r="H200">
        <v>0</v>
      </c>
      <c r="I200">
        <v>0</v>
      </c>
      <c r="J200">
        <v>0</v>
      </c>
      <c r="K200">
        <v>0</v>
      </c>
    </row>
    <row r="201" spans="1:11">
      <c r="A201" t="s">
        <v>1599</v>
      </c>
      <c r="B201">
        <v>5</v>
      </c>
      <c r="C201">
        <v>0</v>
      </c>
      <c r="D201">
        <v>0</v>
      </c>
      <c r="E201">
        <v>0</v>
      </c>
      <c r="F201">
        <v>0</v>
      </c>
      <c r="G201">
        <v>0</v>
      </c>
      <c r="H201">
        <v>0</v>
      </c>
      <c r="I201">
        <v>0</v>
      </c>
      <c r="J201">
        <v>0</v>
      </c>
      <c r="K201">
        <v>0</v>
      </c>
    </row>
    <row r="202" spans="1:11">
      <c r="A202" t="s">
        <v>1600</v>
      </c>
      <c r="B202">
        <v>0</v>
      </c>
      <c r="C202">
        <v>0</v>
      </c>
      <c r="D202">
        <v>0</v>
      </c>
      <c r="E202">
        <v>0</v>
      </c>
      <c r="F202">
        <v>0</v>
      </c>
      <c r="G202">
        <v>0</v>
      </c>
      <c r="H202">
        <v>0</v>
      </c>
      <c r="I202">
        <v>0</v>
      </c>
      <c r="J202">
        <v>0</v>
      </c>
      <c r="K202">
        <v>0</v>
      </c>
    </row>
    <row r="203" spans="1:11">
      <c r="A203" t="s">
        <v>1601</v>
      </c>
      <c r="B203">
        <v>4</v>
      </c>
      <c r="C203">
        <v>0</v>
      </c>
      <c r="D203">
        <v>0</v>
      </c>
      <c r="E203">
        <v>0</v>
      </c>
      <c r="F203">
        <v>0</v>
      </c>
      <c r="G203">
        <v>0</v>
      </c>
      <c r="H203">
        <v>0</v>
      </c>
      <c r="I203">
        <v>0</v>
      </c>
      <c r="J203">
        <v>0</v>
      </c>
      <c r="K203">
        <v>0</v>
      </c>
    </row>
    <row r="204" spans="1:11">
      <c r="A204" t="s">
        <v>540</v>
      </c>
      <c r="B204">
        <v>41</v>
      </c>
      <c r="C204">
        <v>28</v>
      </c>
      <c r="D204">
        <v>7</v>
      </c>
      <c r="E204">
        <v>6</v>
      </c>
      <c r="F204">
        <v>0</v>
      </c>
      <c r="G204">
        <v>0</v>
      </c>
      <c r="H204">
        <v>0</v>
      </c>
      <c r="I204">
        <v>0</v>
      </c>
      <c r="J204">
        <v>0</v>
      </c>
      <c r="K204">
        <v>0</v>
      </c>
    </row>
    <row r="205" spans="1:11">
      <c r="A205" t="s">
        <v>1769</v>
      </c>
      <c r="B205">
        <v>0</v>
      </c>
      <c r="C205">
        <v>0</v>
      </c>
      <c r="D205">
        <v>0</v>
      </c>
      <c r="E205">
        <v>0</v>
      </c>
      <c r="F205">
        <v>0</v>
      </c>
      <c r="G205">
        <v>0</v>
      </c>
      <c r="H205">
        <v>0</v>
      </c>
      <c r="I205">
        <v>0</v>
      </c>
      <c r="J205">
        <v>0</v>
      </c>
      <c r="K205">
        <v>0</v>
      </c>
    </row>
    <row r="206" spans="1:11">
      <c r="A206" t="s">
        <v>1602</v>
      </c>
      <c r="B206">
        <v>5</v>
      </c>
      <c r="C206">
        <v>0</v>
      </c>
      <c r="D206">
        <v>0</v>
      </c>
      <c r="E206">
        <v>0</v>
      </c>
      <c r="F206">
        <v>0</v>
      </c>
      <c r="G206">
        <v>0</v>
      </c>
      <c r="H206">
        <v>0</v>
      </c>
      <c r="I206">
        <v>0</v>
      </c>
      <c r="J206">
        <v>0</v>
      </c>
      <c r="K206">
        <v>0</v>
      </c>
    </row>
    <row r="207" spans="1:11">
      <c r="A207" t="s">
        <v>1603</v>
      </c>
      <c r="B207">
        <v>0</v>
      </c>
      <c r="C207">
        <v>0</v>
      </c>
      <c r="D207">
        <v>0</v>
      </c>
      <c r="E207">
        <v>0</v>
      </c>
      <c r="F207">
        <v>0</v>
      </c>
      <c r="G207">
        <v>0</v>
      </c>
      <c r="H207">
        <v>0</v>
      </c>
      <c r="I207">
        <v>0</v>
      </c>
      <c r="J207">
        <v>0</v>
      </c>
      <c r="K207">
        <v>0</v>
      </c>
    </row>
    <row r="208" spans="1:11">
      <c r="A208" t="s">
        <v>199</v>
      </c>
      <c r="B208">
        <v>0</v>
      </c>
      <c r="C208">
        <v>0</v>
      </c>
      <c r="D208">
        <v>0</v>
      </c>
      <c r="E208">
        <v>0</v>
      </c>
      <c r="F208">
        <v>0</v>
      </c>
      <c r="G208">
        <v>0</v>
      </c>
      <c r="H208">
        <v>0</v>
      </c>
      <c r="I208">
        <v>0</v>
      </c>
      <c r="J208">
        <v>0</v>
      </c>
      <c r="K208">
        <v>0</v>
      </c>
    </row>
    <row r="209" spans="1:11">
      <c r="A209" t="s">
        <v>1775</v>
      </c>
      <c r="B209">
        <v>7</v>
      </c>
      <c r="C209">
        <v>0</v>
      </c>
      <c r="D209">
        <v>0</v>
      </c>
      <c r="E209">
        <v>0</v>
      </c>
      <c r="F209">
        <v>0</v>
      </c>
      <c r="G209">
        <v>0</v>
      </c>
      <c r="H209">
        <v>0</v>
      </c>
      <c r="I209">
        <v>0</v>
      </c>
      <c r="J209">
        <v>0</v>
      </c>
      <c r="K209">
        <v>0</v>
      </c>
    </row>
    <row r="210" spans="1:11">
      <c r="A210" t="s">
        <v>1522</v>
      </c>
      <c r="B210">
        <v>48</v>
      </c>
      <c r="C210">
        <v>36</v>
      </c>
      <c r="D210">
        <v>12</v>
      </c>
      <c r="E210">
        <v>0</v>
      </c>
      <c r="F210">
        <v>0</v>
      </c>
      <c r="G210">
        <v>0</v>
      </c>
      <c r="H210">
        <v>0</v>
      </c>
      <c r="I210">
        <v>0</v>
      </c>
      <c r="J210">
        <v>0</v>
      </c>
      <c r="K210">
        <v>0</v>
      </c>
    </row>
    <row r="211" spans="1:11">
      <c r="A211" t="s">
        <v>1604</v>
      </c>
      <c r="B211">
        <v>7</v>
      </c>
      <c r="C211">
        <v>0</v>
      </c>
      <c r="D211">
        <v>0</v>
      </c>
      <c r="E211">
        <v>0</v>
      </c>
      <c r="F211">
        <v>0</v>
      </c>
      <c r="G211">
        <v>0</v>
      </c>
      <c r="H211">
        <v>0</v>
      </c>
      <c r="I211">
        <v>0</v>
      </c>
      <c r="J211">
        <v>0</v>
      </c>
      <c r="K211">
        <v>0</v>
      </c>
    </row>
    <row r="212" spans="1:11">
      <c r="A212" t="s">
        <v>1763</v>
      </c>
      <c r="B212">
        <v>3</v>
      </c>
      <c r="C212">
        <v>0</v>
      </c>
      <c r="D212">
        <v>0</v>
      </c>
      <c r="E212">
        <v>0</v>
      </c>
      <c r="F212">
        <v>0</v>
      </c>
      <c r="G212">
        <v>0</v>
      </c>
      <c r="H212">
        <v>0</v>
      </c>
      <c r="I212">
        <v>0</v>
      </c>
      <c r="J212">
        <v>0</v>
      </c>
      <c r="K212">
        <v>0</v>
      </c>
    </row>
    <row r="213" spans="1:11">
      <c r="A213" t="s">
        <v>1605</v>
      </c>
      <c r="B213">
        <v>0</v>
      </c>
      <c r="C213">
        <v>0</v>
      </c>
      <c r="D213">
        <v>0</v>
      </c>
      <c r="E213">
        <v>0</v>
      </c>
      <c r="F213">
        <v>0</v>
      </c>
      <c r="G213">
        <v>0</v>
      </c>
      <c r="H213">
        <v>0</v>
      </c>
      <c r="I213">
        <v>0</v>
      </c>
      <c r="J213">
        <v>0</v>
      </c>
      <c r="K213">
        <v>0</v>
      </c>
    </row>
    <row r="214" spans="1:11">
      <c r="A214" t="s">
        <v>200</v>
      </c>
      <c r="B214">
        <v>41</v>
      </c>
      <c r="C214">
        <v>25</v>
      </c>
      <c r="D214">
        <v>4</v>
      </c>
      <c r="E214">
        <v>4</v>
      </c>
      <c r="F214">
        <v>4</v>
      </c>
      <c r="G214">
        <v>0</v>
      </c>
      <c r="H214">
        <v>3</v>
      </c>
      <c r="I214">
        <v>1</v>
      </c>
      <c r="J214">
        <v>0</v>
      </c>
      <c r="K214">
        <v>0</v>
      </c>
    </row>
    <row r="215" spans="1:11">
      <c r="A215" t="s">
        <v>201</v>
      </c>
      <c r="B215">
        <v>0</v>
      </c>
      <c r="C215">
        <v>0</v>
      </c>
      <c r="D215">
        <v>0</v>
      </c>
      <c r="E215">
        <v>0</v>
      </c>
      <c r="F215">
        <v>0</v>
      </c>
      <c r="G215">
        <v>0</v>
      </c>
      <c r="H215">
        <v>0</v>
      </c>
      <c r="I215">
        <v>0</v>
      </c>
      <c r="J215">
        <v>0</v>
      </c>
      <c r="K215">
        <v>0</v>
      </c>
    </row>
    <row r="216" spans="1:11">
      <c r="A216" t="s">
        <v>1810</v>
      </c>
      <c r="B216">
        <v>7</v>
      </c>
      <c r="C216">
        <v>0</v>
      </c>
      <c r="D216">
        <v>0</v>
      </c>
      <c r="E216">
        <v>0</v>
      </c>
      <c r="F216">
        <v>0</v>
      </c>
      <c r="G216">
        <v>0</v>
      </c>
      <c r="H216">
        <v>0</v>
      </c>
      <c r="I216">
        <v>0</v>
      </c>
      <c r="J216">
        <v>0</v>
      </c>
      <c r="K216">
        <v>0</v>
      </c>
    </row>
    <row r="217" spans="1:11">
      <c r="A217" t="s">
        <v>1504</v>
      </c>
      <c r="B217">
        <v>25</v>
      </c>
      <c r="C217">
        <v>19</v>
      </c>
      <c r="D217">
        <v>6</v>
      </c>
      <c r="E217">
        <v>0</v>
      </c>
      <c r="F217">
        <v>0</v>
      </c>
      <c r="G217">
        <v>0</v>
      </c>
      <c r="H217">
        <v>0</v>
      </c>
      <c r="I217">
        <v>0</v>
      </c>
      <c r="J217">
        <v>0</v>
      </c>
      <c r="K217">
        <v>0</v>
      </c>
    </row>
    <row r="218" spans="1:11">
      <c r="A218" t="s">
        <v>1606</v>
      </c>
      <c r="B218">
        <v>4</v>
      </c>
      <c r="C218">
        <v>0</v>
      </c>
      <c r="D218">
        <v>0</v>
      </c>
      <c r="E218">
        <v>0</v>
      </c>
      <c r="F218">
        <v>0</v>
      </c>
      <c r="G218">
        <v>0</v>
      </c>
      <c r="H218">
        <v>0</v>
      </c>
      <c r="I218">
        <v>0</v>
      </c>
      <c r="J218">
        <v>0</v>
      </c>
      <c r="K218">
        <v>0</v>
      </c>
    </row>
    <row r="219" spans="1:11">
      <c r="A219" t="s">
        <v>202</v>
      </c>
      <c r="B219">
        <v>253</v>
      </c>
      <c r="C219">
        <v>152</v>
      </c>
      <c r="D219">
        <v>23</v>
      </c>
      <c r="E219">
        <v>23</v>
      </c>
      <c r="F219">
        <v>23</v>
      </c>
      <c r="G219">
        <v>0</v>
      </c>
      <c r="H219">
        <v>22</v>
      </c>
      <c r="I219">
        <v>10</v>
      </c>
      <c r="J219">
        <v>0</v>
      </c>
      <c r="K219">
        <v>0</v>
      </c>
    </row>
    <row r="220" spans="1:11">
      <c r="A220" t="s">
        <v>1882</v>
      </c>
      <c r="B220">
        <v>0</v>
      </c>
      <c r="C220">
        <v>0</v>
      </c>
      <c r="D220">
        <v>0</v>
      </c>
      <c r="E220">
        <v>0</v>
      </c>
      <c r="F220">
        <v>0</v>
      </c>
      <c r="G220">
        <v>0</v>
      </c>
      <c r="H220">
        <v>0</v>
      </c>
      <c r="I220">
        <v>0</v>
      </c>
      <c r="J220">
        <v>0</v>
      </c>
      <c r="K220">
        <v>0</v>
      </c>
    </row>
    <row r="221" spans="1:11">
      <c r="A221" t="s">
        <v>1475</v>
      </c>
      <c r="B221">
        <v>71</v>
      </c>
      <c r="C221">
        <v>54</v>
      </c>
      <c r="D221">
        <v>17</v>
      </c>
      <c r="E221">
        <v>0</v>
      </c>
      <c r="F221">
        <v>0</v>
      </c>
      <c r="G221">
        <v>0</v>
      </c>
      <c r="H221">
        <v>0</v>
      </c>
      <c r="I221">
        <v>0</v>
      </c>
      <c r="J221">
        <v>0</v>
      </c>
      <c r="K221">
        <v>0</v>
      </c>
    </row>
    <row r="222" spans="1:11">
      <c r="A222" t="s">
        <v>1607</v>
      </c>
      <c r="B222">
        <v>6</v>
      </c>
      <c r="C222">
        <v>0</v>
      </c>
      <c r="D222">
        <v>0</v>
      </c>
      <c r="E222">
        <v>0</v>
      </c>
      <c r="F222">
        <v>0</v>
      </c>
      <c r="G222">
        <v>0</v>
      </c>
      <c r="H222">
        <v>0</v>
      </c>
      <c r="I222">
        <v>0</v>
      </c>
      <c r="J222">
        <v>0</v>
      </c>
      <c r="K222">
        <v>0</v>
      </c>
    </row>
    <row r="223" spans="1:11">
      <c r="A223" t="s">
        <v>203</v>
      </c>
      <c r="B223">
        <v>48</v>
      </c>
      <c r="C223">
        <v>32</v>
      </c>
      <c r="D223">
        <v>8</v>
      </c>
      <c r="E223">
        <v>8</v>
      </c>
      <c r="F223">
        <v>0</v>
      </c>
      <c r="G223">
        <v>0</v>
      </c>
      <c r="H223">
        <v>0</v>
      </c>
      <c r="I223">
        <v>0</v>
      </c>
      <c r="J223">
        <v>0</v>
      </c>
      <c r="K223">
        <v>0</v>
      </c>
    </row>
    <row r="224" spans="1:11">
      <c r="A224" t="s">
        <v>1705</v>
      </c>
      <c r="B224">
        <v>5</v>
      </c>
      <c r="C224">
        <v>0</v>
      </c>
      <c r="D224">
        <v>0</v>
      </c>
      <c r="E224">
        <v>0</v>
      </c>
      <c r="F224">
        <v>0</v>
      </c>
      <c r="G224">
        <v>0</v>
      </c>
      <c r="H224">
        <v>0</v>
      </c>
      <c r="I224">
        <v>0</v>
      </c>
      <c r="J224">
        <v>0</v>
      </c>
      <c r="K224">
        <v>0</v>
      </c>
    </row>
    <row r="225" spans="1:11">
      <c r="A225" t="s">
        <v>1608</v>
      </c>
      <c r="B225">
        <v>9</v>
      </c>
      <c r="C225">
        <v>0</v>
      </c>
      <c r="D225">
        <v>0</v>
      </c>
      <c r="E225">
        <v>0</v>
      </c>
      <c r="F225">
        <v>0</v>
      </c>
      <c r="G225">
        <v>0</v>
      </c>
      <c r="H225">
        <v>0</v>
      </c>
      <c r="I225">
        <v>0</v>
      </c>
      <c r="J225">
        <v>0</v>
      </c>
      <c r="K225">
        <v>0</v>
      </c>
    </row>
    <row r="226" spans="1:11">
      <c r="A226" t="s">
        <v>1799</v>
      </c>
      <c r="B226">
        <v>0</v>
      </c>
      <c r="C226">
        <v>0</v>
      </c>
      <c r="D226">
        <v>0</v>
      </c>
      <c r="E226">
        <v>0</v>
      </c>
      <c r="F226">
        <v>0</v>
      </c>
      <c r="G226">
        <v>0</v>
      </c>
      <c r="H226">
        <v>0</v>
      </c>
      <c r="I226">
        <v>0</v>
      </c>
      <c r="J226">
        <v>0</v>
      </c>
      <c r="K226">
        <v>0</v>
      </c>
    </row>
    <row r="227" spans="1:11">
      <c r="A227" t="s">
        <v>1895</v>
      </c>
      <c r="B227">
        <v>0</v>
      </c>
      <c r="C227">
        <v>0</v>
      </c>
      <c r="D227">
        <v>0</v>
      </c>
      <c r="E227">
        <v>0</v>
      </c>
      <c r="F227">
        <v>0</v>
      </c>
      <c r="G227">
        <v>0</v>
      </c>
      <c r="H227">
        <v>0</v>
      </c>
      <c r="I227">
        <v>0</v>
      </c>
      <c r="J227">
        <v>0</v>
      </c>
      <c r="K227">
        <v>0</v>
      </c>
    </row>
    <row r="228" spans="1:11">
      <c r="A228" t="s">
        <v>1609</v>
      </c>
      <c r="B228">
        <v>0</v>
      </c>
      <c r="C228">
        <v>0</v>
      </c>
      <c r="D228">
        <v>0</v>
      </c>
      <c r="E228">
        <v>0</v>
      </c>
      <c r="F228">
        <v>0</v>
      </c>
      <c r="G228">
        <v>0</v>
      </c>
      <c r="H228">
        <v>0</v>
      </c>
      <c r="I228">
        <v>0</v>
      </c>
      <c r="J228">
        <v>0</v>
      </c>
      <c r="K228">
        <v>0</v>
      </c>
    </row>
    <row r="229" spans="1:11">
      <c r="A229" t="s">
        <v>1610</v>
      </c>
      <c r="B229">
        <v>1</v>
      </c>
      <c r="C229">
        <v>0</v>
      </c>
      <c r="D229">
        <v>0</v>
      </c>
      <c r="E229">
        <v>0</v>
      </c>
      <c r="F229">
        <v>0</v>
      </c>
      <c r="G229">
        <v>0</v>
      </c>
      <c r="H229">
        <v>0</v>
      </c>
      <c r="I229">
        <v>0</v>
      </c>
      <c r="J229">
        <v>0</v>
      </c>
      <c r="K229">
        <v>0</v>
      </c>
    </row>
    <row r="230" spans="1:11">
      <c r="A230" t="s">
        <v>1764</v>
      </c>
      <c r="B230">
        <v>5</v>
      </c>
      <c r="C230">
        <v>0</v>
      </c>
      <c r="D230">
        <v>0</v>
      </c>
      <c r="E230">
        <v>0</v>
      </c>
      <c r="F230">
        <v>0</v>
      </c>
      <c r="G230">
        <v>0</v>
      </c>
      <c r="H230">
        <v>0</v>
      </c>
      <c r="I230">
        <v>0</v>
      </c>
      <c r="J230">
        <v>0</v>
      </c>
      <c r="K230">
        <v>0</v>
      </c>
    </row>
    <row r="231" spans="1:11">
      <c r="A231" t="s">
        <v>1740</v>
      </c>
      <c r="B231">
        <v>0</v>
      </c>
      <c r="C231">
        <v>0</v>
      </c>
      <c r="D231">
        <v>0</v>
      </c>
      <c r="E231">
        <v>0</v>
      </c>
      <c r="F231">
        <v>0</v>
      </c>
      <c r="G231">
        <v>0</v>
      </c>
      <c r="H231">
        <v>0</v>
      </c>
      <c r="I231">
        <v>0</v>
      </c>
      <c r="J231">
        <v>0</v>
      </c>
      <c r="K231">
        <v>0</v>
      </c>
    </row>
    <row r="232" spans="1:11">
      <c r="A232" t="s">
        <v>1611</v>
      </c>
      <c r="B232">
        <v>4</v>
      </c>
      <c r="C232">
        <v>0</v>
      </c>
      <c r="D232">
        <v>0</v>
      </c>
      <c r="E232">
        <v>0</v>
      </c>
      <c r="F232">
        <v>0</v>
      </c>
      <c r="G232">
        <v>0</v>
      </c>
      <c r="H232">
        <v>0</v>
      </c>
      <c r="I232">
        <v>0</v>
      </c>
      <c r="J232">
        <v>0</v>
      </c>
      <c r="K232">
        <v>0</v>
      </c>
    </row>
    <row r="233" spans="1:11">
      <c r="A233" t="s">
        <v>1727</v>
      </c>
      <c r="B233">
        <v>0</v>
      </c>
      <c r="C233">
        <v>0</v>
      </c>
      <c r="D233">
        <v>0</v>
      </c>
      <c r="E233">
        <v>0</v>
      </c>
      <c r="F233">
        <v>0</v>
      </c>
      <c r="G233">
        <v>0</v>
      </c>
      <c r="H233">
        <v>0</v>
      </c>
      <c r="I233">
        <v>0</v>
      </c>
      <c r="J233">
        <v>0</v>
      </c>
      <c r="K233">
        <v>0</v>
      </c>
    </row>
    <row r="234" spans="1:11">
      <c r="A234" t="s">
        <v>1612</v>
      </c>
      <c r="B234">
        <v>0</v>
      </c>
      <c r="C234">
        <v>0</v>
      </c>
      <c r="D234">
        <v>0</v>
      </c>
      <c r="E234">
        <v>0</v>
      </c>
      <c r="F234">
        <v>0</v>
      </c>
      <c r="G234">
        <v>0</v>
      </c>
      <c r="H234">
        <v>0</v>
      </c>
      <c r="I234">
        <v>0</v>
      </c>
      <c r="J234">
        <v>0</v>
      </c>
      <c r="K234">
        <v>0</v>
      </c>
    </row>
    <row r="235" spans="1:11">
      <c r="A235" t="s">
        <v>1801</v>
      </c>
      <c r="B235">
        <v>0</v>
      </c>
      <c r="C235">
        <v>0</v>
      </c>
      <c r="D235">
        <v>0</v>
      </c>
      <c r="E235">
        <v>0</v>
      </c>
      <c r="F235">
        <v>0</v>
      </c>
      <c r="G235">
        <v>0</v>
      </c>
      <c r="H235">
        <v>0</v>
      </c>
      <c r="I235">
        <v>0</v>
      </c>
      <c r="J235">
        <v>0</v>
      </c>
      <c r="K235">
        <v>0</v>
      </c>
    </row>
    <row r="236" spans="1:11">
      <c r="A236" t="s">
        <v>1613</v>
      </c>
      <c r="B236">
        <v>0</v>
      </c>
      <c r="C236">
        <v>0</v>
      </c>
      <c r="D236">
        <v>0</v>
      </c>
      <c r="E236">
        <v>0</v>
      </c>
      <c r="F236">
        <v>0</v>
      </c>
      <c r="G236">
        <v>0</v>
      </c>
      <c r="H236">
        <v>0</v>
      </c>
      <c r="I236">
        <v>0</v>
      </c>
      <c r="J236">
        <v>0</v>
      </c>
      <c r="K236">
        <v>0</v>
      </c>
    </row>
    <row r="237" spans="1:11">
      <c r="A237" t="s">
        <v>552</v>
      </c>
      <c r="B237">
        <v>0</v>
      </c>
      <c r="C237">
        <v>0</v>
      </c>
      <c r="D237">
        <v>0</v>
      </c>
      <c r="E237">
        <v>0</v>
      </c>
      <c r="F237">
        <v>0</v>
      </c>
      <c r="G237">
        <v>0</v>
      </c>
      <c r="H237">
        <v>0</v>
      </c>
      <c r="I237">
        <v>0</v>
      </c>
      <c r="J237">
        <v>0</v>
      </c>
      <c r="K237">
        <v>0</v>
      </c>
    </row>
    <row r="238" spans="1:11">
      <c r="A238" t="s">
        <v>1899</v>
      </c>
      <c r="B238">
        <v>0</v>
      </c>
      <c r="C238">
        <v>0</v>
      </c>
      <c r="D238">
        <v>0</v>
      </c>
      <c r="E238">
        <v>0</v>
      </c>
      <c r="F238">
        <v>0</v>
      </c>
      <c r="G238">
        <v>0</v>
      </c>
      <c r="H238">
        <v>0</v>
      </c>
      <c r="I238">
        <v>0</v>
      </c>
      <c r="J238">
        <v>0</v>
      </c>
      <c r="K238">
        <v>0</v>
      </c>
    </row>
    <row r="239" spans="1:11">
      <c r="A239" t="s">
        <v>1755</v>
      </c>
      <c r="B239">
        <v>0</v>
      </c>
      <c r="C239">
        <v>0</v>
      </c>
      <c r="D239">
        <v>0</v>
      </c>
      <c r="E239">
        <v>0</v>
      </c>
      <c r="F239">
        <v>0</v>
      </c>
      <c r="G239">
        <v>0</v>
      </c>
      <c r="H239">
        <v>0</v>
      </c>
      <c r="I239">
        <v>0</v>
      </c>
      <c r="J239">
        <v>0</v>
      </c>
      <c r="K239">
        <v>0</v>
      </c>
    </row>
    <row r="240" spans="1:11">
      <c r="A240" t="s">
        <v>1614</v>
      </c>
      <c r="B240">
        <v>10</v>
      </c>
      <c r="C240">
        <v>0</v>
      </c>
      <c r="D240">
        <v>0</v>
      </c>
      <c r="E240">
        <v>0</v>
      </c>
      <c r="F240">
        <v>0</v>
      </c>
      <c r="G240">
        <v>0</v>
      </c>
      <c r="H240">
        <v>0</v>
      </c>
      <c r="I240">
        <v>0</v>
      </c>
      <c r="J240">
        <v>0</v>
      </c>
      <c r="K240">
        <v>0</v>
      </c>
    </row>
    <row r="241" spans="1:11">
      <c r="A241" t="s">
        <v>1615</v>
      </c>
      <c r="B241">
        <v>0</v>
      </c>
      <c r="C241">
        <v>0</v>
      </c>
      <c r="D241">
        <v>0</v>
      </c>
      <c r="E241">
        <v>0</v>
      </c>
      <c r="F241">
        <v>0</v>
      </c>
      <c r="G241">
        <v>0</v>
      </c>
      <c r="H241">
        <v>0</v>
      </c>
      <c r="I241">
        <v>0</v>
      </c>
      <c r="J241">
        <v>0</v>
      </c>
      <c r="K241">
        <v>0</v>
      </c>
    </row>
    <row r="242" spans="1:11">
      <c r="A242" t="s">
        <v>204</v>
      </c>
      <c r="B242">
        <v>140</v>
      </c>
      <c r="C242">
        <v>86</v>
      </c>
      <c r="D242">
        <v>14</v>
      </c>
      <c r="E242">
        <v>14</v>
      </c>
      <c r="F242">
        <v>13</v>
      </c>
      <c r="G242">
        <v>0</v>
      </c>
      <c r="H242">
        <v>13</v>
      </c>
      <c r="I242">
        <v>0</v>
      </c>
      <c r="J242">
        <v>0</v>
      </c>
      <c r="K242">
        <v>0</v>
      </c>
    </row>
    <row r="243" spans="1:11">
      <c r="A243" t="s">
        <v>1502</v>
      </c>
      <c r="B243">
        <v>68</v>
      </c>
      <c r="C243">
        <v>51</v>
      </c>
      <c r="D243">
        <v>17</v>
      </c>
      <c r="E243">
        <v>0</v>
      </c>
      <c r="F243">
        <v>0</v>
      </c>
      <c r="G243">
        <v>0</v>
      </c>
      <c r="H243">
        <v>0</v>
      </c>
      <c r="I243">
        <v>0</v>
      </c>
      <c r="J243">
        <v>0</v>
      </c>
      <c r="K243">
        <v>0</v>
      </c>
    </row>
    <row r="244" spans="1:11">
      <c r="A244" t="s">
        <v>1616</v>
      </c>
      <c r="B244">
        <v>8</v>
      </c>
      <c r="C244">
        <v>0</v>
      </c>
      <c r="D244">
        <v>0</v>
      </c>
      <c r="E244">
        <v>0</v>
      </c>
      <c r="F244">
        <v>0</v>
      </c>
      <c r="G244">
        <v>0</v>
      </c>
      <c r="H244">
        <v>0</v>
      </c>
      <c r="I244">
        <v>0</v>
      </c>
      <c r="J244">
        <v>0</v>
      </c>
      <c r="K244">
        <v>0</v>
      </c>
    </row>
    <row r="245" spans="1:11">
      <c r="A245" t="s">
        <v>1617</v>
      </c>
      <c r="B245">
        <v>0</v>
      </c>
      <c r="C245">
        <v>0</v>
      </c>
      <c r="D245">
        <v>0</v>
      </c>
      <c r="E245">
        <v>0</v>
      </c>
      <c r="F245">
        <v>0</v>
      </c>
      <c r="G245">
        <v>0</v>
      </c>
      <c r="H245">
        <v>0</v>
      </c>
      <c r="I245">
        <v>0</v>
      </c>
      <c r="J245">
        <v>0</v>
      </c>
      <c r="K245">
        <v>0</v>
      </c>
    </row>
    <row r="246" spans="1:11">
      <c r="A246" t="s">
        <v>1618</v>
      </c>
      <c r="B246">
        <v>5</v>
      </c>
      <c r="C246">
        <v>0</v>
      </c>
      <c r="D246">
        <v>0</v>
      </c>
      <c r="E246">
        <v>0</v>
      </c>
      <c r="F246">
        <v>0</v>
      </c>
      <c r="G246">
        <v>0</v>
      </c>
      <c r="H246">
        <v>0</v>
      </c>
      <c r="I246">
        <v>0</v>
      </c>
      <c r="J246">
        <v>0</v>
      </c>
      <c r="K246">
        <v>0</v>
      </c>
    </row>
    <row r="247" spans="1:11">
      <c r="A247" t="s">
        <v>205</v>
      </c>
      <c r="B247">
        <v>112</v>
      </c>
      <c r="C247">
        <v>68</v>
      </c>
      <c r="D247">
        <v>10</v>
      </c>
      <c r="E247">
        <v>10</v>
      </c>
      <c r="F247">
        <v>10</v>
      </c>
      <c r="G247">
        <v>0</v>
      </c>
      <c r="H247">
        <v>10</v>
      </c>
      <c r="I247">
        <v>4</v>
      </c>
      <c r="J247">
        <v>0</v>
      </c>
      <c r="K247">
        <v>0</v>
      </c>
    </row>
    <row r="248" spans="1:11">
      <c r="A248" t="s">
        <v>553</v>
      </c>
      <c r="B248">
        <v>0</v>
      </c>
      <c r="C248">
        <v>0</v>
      </c>
      <c r="D248">
        <v>0</v>
      </c>
      <c r="E248">
        <v>0</v>
      </c>
      <c r="F248">
        <v>0</v>
      </c>
      <c r="G248">
        <v>0</v>
      </c>
      <c r="H248">
        <v>0</v>
      </c>
      <c r="I248">
        <v>0</v>
      </c>
      <c r="J248">
        <v>0</v>
      </c>
      <c r="K248">
        <v>0</v>
      </c>
    </row>
    <row r="249" spans="1:11">
      <c r="A249" t="s">
        <v>1872</v>
      </c>
      <c r="B249">
        <v>11</v>
      </c>
      <c r="C249">
        <v>0</v>
      </c>
      <c r="D249">
        <v>0</v>
      </c>
      <c r="E249">
        <v>0</v>
      </c>
      <c r="F249">
        <v>0</v>
      </c>
      <c r="G249">
        <v>0</v>
      </c>
      <c r="H249">
        <v>0</v>
      </c>
      <c r="I249">
        <v>0</v>
      </c>
      <c r="J249">
        <v>0</v>
      </c>
      <c r="K249">
        <v>0</v>
      </c>
    </row>
    <row r="250" spans="1:11">
      <c r="A250" t="s">
        <v>1481</v>
      </c>
      <c r="B250">
        <v>80</v>
      </c>
      <c r="C250">
        <v>61</v>
      </c>
      <c r="D250">
        <v>19</v>
      </c>
      <c r="E250">
        <v>0</v>
      </c>
      <c r="F250">
        <v>0</v>
      </c>
      <c r="G250">
        <v>0</v>
      </c>
      <c r="H250">
        <v>0</v>
      </c>
      <c r="I250">
        <v>0</v>
      </c>
      <c r="J250">
        <v>0</v>
      </c>
      <c r="K250">
        <v>0</v>
      </c>
    </row>
    <row r="251" spans="1:11">
      <c r="A251" t="s">
        <v>1619</v>
      </c>
      <c r="B251">
        <v>33</v>
      </c>
      <c r="C251">
        <v>0</v>
      </c>
      <c r="D251">
        <v>0</v>
      </c>
      <c r="E251">
        <v>0</v>
      </c>
      <c r="F251">
        <v>0</v>
      </c>
      <c r="G251">
        <v>0</v>
      </c>
      <c r="H251">
        <v>0</v>
      </c>
      <c r="I251">
        <v>0</v>
      </c>
      <c r="J251">
        <v>0</v>
      </c>
      <c r="K251">
        <v>0</v>
      </c>
    </row>
    <row r="252" spans="1:11">
      <c r="A252" t="s">
        <v>1800</v>
      </c>
      <c r="B252">
        <v>77</v>
      </c>
      <c r="C252">
        <v>0</v>
      </c>
      <c r="D252">
        <v>0</v>
      </c>
      <c r="E252">
        <v>0</v>
      </c>
      <c r="F252">
        <v>0</v>
      </c>
      <c r="G252">
        <v>0</v>
      </c>
      <c r="H252">
        <v>0</v>
      </c>
      <c r="I252">
        <v>0</v>
      </c>
      <c r="J252">
        <v>0</v>
      </c>
      <c r="K252">
        <v>0</v>
      </c>
    </row>
    <row r="253" spans="1:11">
      <c r="A253" t="s">
        <v>1620</v>
      </c>
      <c r="B253">
        <v>28</v>
      </c>
      <c r="C253">
        <v>0</v>
      </c>
      <c r="D253">
        <v>0</v>
      </c>
      <c r="E253">
        <v>0</v>
      </c>
      <c r="F253">
        <v>0</v>
      </c>
      <c r="G253">
        <v>0</v>
      </c>
      <c r="H253">
        <v>0</v>
      </c>
      <c r="I253">
        <v>0</v>
      </c>
      <c r="J253">
        <v>0</v>
      </c>
      <c r="K253">
        <v>0</v>
      </c>
    </row>
    <row r="254" spans="1:11">
      <c r="A254" t="s">
        <v>206</v>
      </c>
      <c r="B254">
        <v>6</v>
      </c>
      <c r="C254">
        <v>0</v>
      </c>
      <c r="D254">
        <v>0</v>
      </c>
      <c r="E254">
        <v>0</v>
      </c>
      <c r="F254">
        <v>0</v>
      </c>
      <c r="G254">
        <v>0</v>
      </c>
      <c r="H254">
        <v>0</v>
      </c>
      <c r="I254">
        <v>0</v>
      </c>
      <c r="J254">
        <v>0</v>
      </c>
      <c r="K254">
        <v>0</v>
      </c>
    </row>
    <row r="255" spans="1:11">
      <c r="A255" t="s">
        <v>1805</v>
      </c>
      <c r="B255">
        <v>4</v>
      </c>
      <c r="C255">
        <v>0</v>
      </c>
      <c r="D255">
        <v>0</v>
      </c>
      <c r="E255">
        <v>0</v>
      </c>
      <c r="F255">
        <v>0</v>
      </c>
      <c r="G255">
        <v>0</v>
      </c>
      <c r="H255">
        <v>0</v>
      </c>
      <c r="I255">
        <v>0</v>
      </c>
      <c r="J255">
        <v>0</v>
      </c>
      <c r="K255">
        <v>0</v>
      </c>
    </row>
    <row r="256" spans="1:11">
      <c r="A256" t="s">
        <v>207</v>
      </c>
      <c r="B256">
        <v>49</v>
      </c>
      <c r="C256">
        <v>30</v>
      </c>
      <c r="D256">
        <v>5</v>
      </c>
      <c r="E256">
        <v>5</v>
      </c>
      <c r="F256">
        <v>4</v>
      </c>
      <c r="G256">
        <v>0</v>
      </c>
      <c r="H256">
        <v>4</v>
      </c>
      <c r="I256">
        <v>1</v>
      </c>
      <c r="J256">
        <v>0</v>
      </c>
      <c r="K256">
        <v>0</v>
      </c>
    </row>
    <row r="257" spans="1:11">
      <c r="A257" t="s">
        <v>1768</v>
      </c>
      <c r="B257">
        <v>0</v>
      </c>
      <c r="C257">
        <v>0</v>
      </c>
      <c r="D257">
        <v>0</v>
      </c>
      <c r="E257">
        <v>0</v>
      </c>
      <c r="F257">
        <v>0</v>
      </c>
      <c r="G257">
        <v>0</v>
      </c>
      <c r="H257">
        <v>0</v>
      </c>
      <c r="I257">
        <v>0</v>
      </c>
      <c r="J257">
        <v>0</v>
      </c>
      <c r="K257">
        <v>0</v>
      </c>
    </row>
    <row r="258" spans="1:11">
      <c r="A258" t="s">
        <v>1526</v>
      </c>
      <c r="B258">
        <v>56</v>
      </c>
      <c r="C258">
        <v>42</v>
      </c>
      <c r="D258">
        <v>14</v>
      </c>
      <c r="E258">
        <v>0</v>
      </c>
      <c r="F258">
        <v>0</v>
      </c>
      <c r="G258">
        <v>0</v>
      </c>
      <c r="H258">
        <v>0</v>
      </c>
      <c r="I258">
        <v>0</v>
      </c>
      <c r="J258">
        <v>0</v>
      </c>
      <c r="K258">
        <v>0</v>
      </c>
    </row>
    <row r="259" spans="1:11">
      <c r="A259" t="s">
        <v>1621</v>
      </c>
      <c r="B259">
        <v>0</v>
      </c>
      <c r="C259">
        <v>0</v>
      </c>
      <c r="D259">
        <v>0</v>
      </c>
      <c r="E259">
        <v>0</v>
      </c>
      <c r="F259">
        <v>0</v>
      </c>
      <c r="G259">
        <v>0</v>
      </c>
      <c r="H259">
        <v>0</v>
      </c>
      <c r="I259">
        <v>0</v>
      </c>
      <c r="J259">
        <v>0</v>
      </c>
      <c r="K259">
        <v>0</v>
      </c>
    </row>
    <row r="260" spans="1:11">
      <c r="A260" t="s">
        <v>208</v>
      </c>
      <c r="B260">
        <v>119</v>
      </c>
      <c r="C260">
        <v>81</v>
      </c>
      <c r="D260">
        <v>19</v>
      </c>
      <c r="E260">
        <v>19</v>
      </c>
      <c r="F260">
        <v>0</v>
      </c>
      <c r="G260">
        <v>0</v>
      </c>
      <c r="H260">
        <v>0</v>
      </c>
      <c r="I260">
        <v>0</v>
      </c>
      <c r="J260">
        <v>0</v>
      </c>
      <c r="K260">
        <v>0</v>
      </c>
    </row>
    <row r="261" spans="1:11">
      <c r="A261" t="s">
        <v>1880</v>
      </c>
      <c r="B261">
        <v>0</v>
      </c>
      <c r="C261">
        <v>0</v>
      </c>
      <c r="D261">
        <v>0</v>
      </c>
      <c r="E261">
        <v>0</v>
      </c>
      <c r="F261">
        <v>0</v>
      </c>
      <c r="G261">
        <v>0</v>
      </c>
      <c r="H261">
        <v>0</v>
      </c>
      <c r="I261">
        <v>0</v>
      </c>
      <c r="J261">
        <v>0</v>
      </c>
      <c r="K261">
        <v>0</v>
      </c>
    </row>
    <row r="262" spans="1:11">
      <c r="A262" t="s">
        <v>1622</v>
      </c>
      <c r="B262">
        <v>3</v>
      </c>
      <c r="C262">
        <v>0</v>
      </c>
      <c r="D262">
        <v>0</v>
      </c>
      <c r="E262">
        <v>0</v>
      </c>
      <c r="F262">
        <v>0</v>
      </c>
      <c r="G262">
        <v>0</v>
      </c>
      <c r="H262">
        <v>0</v>
      </c>
      <c r="I262">
        <v>0</v>
      </c>
      <c r="J262">
        <v>0</v>
      </c>
      <c r="K262">
        <v>0</v>
      </c>
    </row>
    <row r="263" spans="1:11">
      <c r="A263" t="s">
        <v>554</v>
      </c>
      <c r="B263">
        <v>0</v>
      </c>
      <c r="C263">
        <v>0</v>
      </c>
      <c r="D263">
        <v>0</v>
      </c>
      <c r="E263">
        <v>0</v>
      </c>
      <c r="F263">
        <v>0</v>
      </c>
      <c r="G263">
        <v>0</v>
      </c>
      <c r="H263">
        <v>0</v>
      </c>
      <c r="I263">
        <v>0</v>
      </c>
      <c r="J263">
        <v>0</v>
      </c>
      <c r="K263">
        <v>0</v>
      </c>
    </row>
    <row r="264" spans="1:11">
      <c r="A264" t="s">
        <v>209</v>
      </c>
      <c r="B264">
        <v>48</v>
      </c>
      <c r="C264">
        <v>0</v>
      </c>
      <c r="D264">
        <v>16</v>
      </c>
      <c r="E264">
        <v>16</v>
      </c>
      <c r="F264">
        <v>0</v>
      </c>
      <c r="G264">
        <v>0</v>
      </c>
      <c r="H264">
        <v>16</v>
      </c>
      <c r="I264">
        <v>0</v>
      </c>
      <c r="J264">
        <v>0</v>
      </c>
      <c r="K264">
        <v>0</v>
      </c>
    </row>
    <row r="265" spans="1:11">
      <c r="A265" t="s">
        <v>210</v>
      </c>
      <c r="B265">
        <v>2</v>
      </c>
      <c r="C265">
        <v>0</v>
      </c>
      <c r="D265">
        <v>0</v>
      </c>
      <c r="E265">
        <v>0</v>
      </c>
      <c r="F265">
        <v>0</v>
      </c>
      <c r="G265">
        <v>0</v>
      </c>
      <c r="H265">
        <v>2</v>
      </c>
      <c r="I265">
        <v>0</v>
      </c>
      <c r="J265">
        <v>0</v>
      </c>
      <c r="K265">
        <v>0</v>
      </c>
    </row>
    <row r="266" spans="1:11">
      <c r="A266" t="s">
        <v>211</v>
      </c>
      <c r="B266">
        <v>7</v>
      </c>
      <c r="C266">
        <v>0</v>
      </c>
      <c r="D266">
        <v>0</v>
      </c>
      <c r="E266">
        <v>0</v>
      </c>
      <c r="F266">
        <v>0</v>
      </c>
      <c r="G266">
        <v>0</v>
      </c>
      <c r="H266">
        <v>0</v>
      </c>
      <c r="I266">
        <v>0</v>
      </c>
      <c r="J266">
        <v>0</v>
      </c>
      <c r="K266">
        <v>0</v>
      </c>
    </row>
    <row r="267" spans="1:11">
      <c r="A267" t="s">
        <v>212</v>
      </c>
      <c r="B267">
        <v>0</v>
      </c>
      <c r="C267">
        <v>0</v>
      </c>
      <c r="D267">
        <v>0</v>
      </c>
      <c r="E267">
        <v>0</v>
      </c>
      <c r="F267">
        <v>0</v>
      </c>
      <c r="G267">
        <v>0</v>
      </c>
      <c r="H267">
        <v>0</v>
      </c>
      <c r="I267">
        <v>0</v>
      </c>
      <c r="J267">
        <v>0</v>
      </c>
      <c r="K267">
        <v>0</v>
      </c>
    </row>
    <row r="268" spans="1:11">
      <c r="A268" t="s">
        <v>1287</v>
      </c>
      <c r="B268">
        <v>0</v>
      </c>
      <c r="C268">
        <v>0</v>
      </c>
      <c r="D268">
        <v>0</v>
      </c>
      <c r="E268">
        <v>0</v>
      </c>
      <c r="F268">
        <v>0</v>
      </c>
      <c r="G268">
        <v>0</v>
      </c>
      <c r="H268">
        <v>0</v>
      </c>
      <c r="I268">
        <v>0</v>
      </c>
      <c r="J268">
        <v>0</v>
      </c>
      <c r="K268">
        <v>0</v>
      </c>
    </row>
    <row r="269" spans="1:11">
      <c r="A269" t="s">
        <v>213</v>
      </c>
      <c r="B269">
        <v>135</v>
      </c>
      <c r="C269">
        <v>0</v>
      </c>
      <c r="D269">
        <v>29</v>
      </c>
      <c r="E269">
        <v>29</v>
      </c>
      <c r="F269">
        <v>28</v>
      </c>
      <c r="G269">
        <v>0</v>
      </c>
      <c r="H269">
        <v>28</v>
      </c>
      <c r="I269">
        <v>21</v>
      </c>
      <c r="J269">
        <v>0</v>
      </c>
      <c r="K269">
        <v>0</v>
      </c>
    </row>
    <row r="270" spans="1:11">
      <c r="A270" t="s">
        <v>214</v>
      </c>
      <c r="B270">
        <v>0</v>
      </c>
      <c r="C270">
        <v>0</v>
      </c>
      <c r="D270">
        <v>0</v>
      </c>
      <c r="E270">
        <v>0</v>
      </c>
      <c r="F270">
        <v>0</v>
      </c>
      <c r="G270">
        <v>0</v>
      </c>
      <c r="H270">
        <v>0</v>
      </c>
      <c r="I270">
        <v>0</v>
      </c>
      <c r="J270">
        <v>0</v>
      </c>
      <c r="K270">
        <v>0</v>
      </c>
    </row>
    <row r="271" spans="1:11">
      <c r="A271" t="s">
        <v>215</v>
      </c>
      <c r="B271">
        <v>29</v>
      </c>
      <c r="C271">
        <v>0</v>
      </c>
      <c r="D271">
        <v>6</v>
      </c>
      <c r="E271">
        <v>6</v>
      </c>
      <c r="F271">
        <v>6</v>
      </c>
      <c r="G271">
        <v>0</v>
      </c>
      <c r="H271">
        <v>6</v>
      </c>
      <c r="I271">
        <v>5</v>
      </c>
      <c r="J271">
        <v>0</v>
      </c>
      <c r="K271">
        <v>0</v>
      </c>
    </row>
    <row r="272" spans="1:11">
      <c r="A272" t="s">
        <v>216</v>
      </c>
      <c r="B272">
        <v>7</v>
      </c>
      <c r="C272">
        <v>0</v>
      </c>
      <c r="D272">
        <v>0</v>
      </c>
      <c r="E272">
        <v>0</v>
      </c>
      <c r="F272">
        <v>0</v>
      </c>
      <c r="G272">
        <v>0</v>
      </c>
      <c r="H272">
        <v>4</v>
      </c>
      <c r="I272">
        <v>3</v>
      </c>
      <c r="J272">
        <v>0</v>
      </c>
      <c r="K272">
        <v>0</v>
      </c>
    </row>
    <row r="273" spans="1:11">
      <c r="A273" t="s">
        <v>217</v>
      </c>
      <c r="B273">
        <v>0</v>
      </c>
      <c r="C273">
        <v>0</v>
      </c>
      <c r="D273">
        <v>0</v>
      </c>
      <c r="E273">
        <v>0</v>
      </c>
      <c r="F273">
        <v>0</v>
      </c>
      <c r="G273">
        <v>0</v>
      </c>
      <c r="H273">
        <v>0</v>
      </c>
      <c r="I273">
        <v>0</v>
      </c>
      <c r="J273">
        <v>0</v>
      </c>
      <c r="K273">
        <v>0</v>
      </c>
    </row>
    <row r="274" spans="1:11">
      <c r="A274" t="s">
        <v>218</v>
      </c>
      <c r="B274">
        <v>62</v>
      </c>
      <c r="C274">
        <v>0</v>
      </c>
      <c r="D274">
        <v>16</v>
      </c>
      <c r="E274">
        <v>16</v>
      </c>
      <c r="F274">
        <v>15</v>
      </c>
      <c r="G274">
        <v>0</v>
      </c>
      <c r="H274">
        <v>15</v>
      </c>
      <c r="I274">
        <v>0</v>
      </c>
      <c r="J274">
        <v>0</v>
      </c>
      <c r="K274">
        <v>0</v>
      </c>
    </row>
    <row r="275" spans="1:11">
      <c r="A275" t="s">
        <v>155</v>
      </c>
      <c r="B275">
        <v>0</v>
      </c>
      <c r="C275">
        <v>0</v>
      </c>
      <c r="D275">
        <v>0</v>
      </c>
      <c r="E275">
        <v>0</v>
      </c>
      <c r="F275">
        <v>0</v>
      </c>
      <c r="G275">
        <v>0</v>
      </c>
      <c r="H275">
        <v>0</v>
      </c>
      <c r="I275">
        <v>0</v>
      </c>
      <c r="J275">
        <v>0</v>
      </c>
      <c r="K275">
        <v>0</v>
      </c>
    </row>
    <row r="276" spans="1:11">
      <c r="A276" t="s">
        <v>219</v>
      </c>
      <c r="B276">
        <v>30</v>
      </c>
      <c r="C276">
        <v>0</v>
      </c>
      <c r="D276">
        <v>7</v>
      </c>
      <c r="E276">
        <v>6</v>
      </c>
      <c r="F276">
        <v>6</v>
      </c>
      <c r="G276">
        <v>0</v>
      </c>
      <c r="H276">
        <v>6</v>
      </c>
      <c r="I276">
        <v>5</v>
      </c>
      <c r="J276">
        <v>0</v>
      </c>
      <c r="K276">
        <v>0</v>
      </c>
    </row>
    <row r="277" spans="1:11">
      <c r="A277" t="s">
        <v>220</v>
      </c>
      <c r="B277">
        <v>47</v>
      </c>
      <c r="C277">
        <v>0</v>
      </c>
      <c r="D277">
        <v>10</v>
      </c>
      <c r="E277">
        <v>10</v>
      </c>
      <c r="F277">
        <v>10</v>
      </c>
      <c r="G277">
        <v>0</v>
      </c>
      <c r="H277">
        <v>10</v>
      </c>
      <c r="I277">
        <v>7</v>
      </c>
      <c r="J277">
        <v>0</v>
      </c>
      <c r="K277">
        <v>0</v>
      </c>
    </row>
    <row r="278" spans="1:11">
      <c r="A278" t="s">
        <v>221</v>
      </c>
      <c r="B278">
        <v>55</v>
      </c>
      <c r="C278">
        <v>0</v>
      </c>
      <c r="D278">
        <v>15</v>
      </c>
      <c r="E278">
        <v>14</v>
      </c>
      <c r="F278">
        <v>0</v>
      </c>
      <c r="G278">
        <v>0</v>
      </c>
      <c r="H278">
        <v>14</v>
      </c>
      <c r="I278">
        <v>12</v>
      </c>
      <c r="J278">
        <v>0</v>
      </c>
      <c r="K278">
        <v>0</v>
      </c>
    </row>
    <row r="279" spans="1:11">
      <c r="A279" t="s">
        <v>222</v>
      </c>
      <c r="B279">
        <v>0</v>
      </c>
      <c r="C279">
        <v>0</v>
      </c>
      <c r="D279">
        <v>0</v>
      </c>
      <c r="E279">
        <v>0</v>
      </c>
      <c r="F279">
        <v>0</v>
      </c>
      <c r="G279">
        <v>0</v>
      </c>
      <c r="H279">
        <v>0</v>
      </c>
      <c r="I279">
        <v>0</v>
      </c>
      <c r="J279">
        <v>0</v>
      </c>
      <c r="K279">
        <v>0</v>
      </c>
    </row>
    <row r="280" spans="1:11">
      <c r="A280" t="s">
        <v>223</v>
      </c>
      <c r="B280">
        <v>43</v>
      </c>
      <c r="C280">
        <v>0</v>
      </c>
      <c r="D280">
        <v>12</v>
      </c>
      <c r="E280">
        <v>11</v>
      </c>
      <c r="F280">
        <v>0</v>
      </c>
      <c r="G280">
        <v>0</v>
      </c>
      <c r="H280">
        <v>11</v>
      </c>
      <c r="I280">
        <v>9</v>
      </c>
      <c r="J280">
        <v>0</v>
      </c>
      <c r="K280">
        <v>0</v>
      </c>
    </row>
    <row r="281" spans="1:11">
      <c r="A281" t="s">
        <v>224</v>
      </c>
      <c r="B281">
        <v>0</v>
      </c>
      <c r="C281">
        <v>0</v>
      </c>
      <c r="D281">
        <v>0</v>
      </c>
      <c r="E281">
        <v>0</v>
      </c>
      <c r="F281">
        <v>0</v>
      </c>
      <c r="G281">
        <v>0</v>
      </c>
      <c r="H281">
        <v>0</v>
      </c>
      <c r="I281">
        <v>0</v>
      </c>
      <c r="J281">
        <v>0</v>
      </c>
      <c r="K281">
        <v>0</v>
      </c>
    </row>
    <row r="282" spans="1:11">
      <c r="A282" t="s">
        <v>225</v>
      </c>
      <c r="B282">
        <v>57</v>
      </c>
      <c r="C282">
        <v>0</v>
      </c>
      <c r="D282">
        <v>12</v>
      </c>
      <c r="E282">
        <v>12</v>
      </c>
      <c r="F282">
        <v>12</v>
      </c>
      <c r="G282">
        <v>0</v>
      </c>
      <c r="H282">
        <v>12</v>
      </c>
      <c r="I282">
        <v>9</v>
      </c>
      <c r="J282">
        <v>0</v>
      </c>
      <c r="K282">
        <v>0</v>
      </c>
    </row>
    <row r="283" spans="1:11">
      <c r="A283" t="s">
        <v>679</v>
      </c>
      <c r="B283">
        <v>0</v>
      </c>
      <c r="C283">
        <v>0</v>
      </c>
      <c r="D283">
        <v>0</v>
      </c>
      <c r="E283">
        <v>0</v>
      </c>
      <c r="F283">
        <v>0</v>
      </c>
      <c r="G283">
        <v>0</v>
      </c>
      <c r="H283">
        <v>0</v>
      </c>
      <c r="I283">
        <v>0</v>
      </c>
      <c r="J283">
        <v>0</v>
      </c>
      <c r="K283">
        <v>0</v>
      </c>
    </row>
    <row r="284" spans="1:11">
      <c r="A284" t="s">
        <v>226</v>
      </c>
      <c r="B284">
        <v>80</v>
      </c>
      <c r="C284">
        <v>0</v>
      </c>
      <c r="D284">
        <v>17</v>
      </c>
      <c r="E284">
        <v>17</v>
      </c>
      <c r="F284">
        <v>17</v>
      </c>
      <c r="G284">
        <v>0</v>
      </c>
      <c r="H284">
        <v>17</v>
      </c>
      <c r="I284">
        <v>12</v>
      </c>
      <c r="J284">
        <v>0</v>
      </c>
      <c r="K284">
        <v>0</v>
      </c>
    </row>
    <row r="285" spans="1:11">
      <c r="A285" t="s">
        <v>227</v>
      </c>
      <c r="B285">
        <v>1</v>
      </c>
      <c r="C285">
        <v>0</v>
      </c>
      <c r="D285">
        <v>0</v>
      </c>
      <c r="E285">
        <v>0</v>
      </c>
      <c r="F285">
        <v>0</v>
      </c>
      <c r="G285">
        <v>0</v>
      </c>
      <c r="H285">
        <v>1</v>
      </c>
      <c r="I285">
        <v>0</v>
      </c>
      <c r="J285">
        <v>0</v>
      </c>
      <c r="K285">
        <v>0</v>
      </c>
    </row>
    <row r="286" spans="1:11">
      <c r="A286" t="s">
        <v>228</v>
      </c>
      <c r="B286">
        <v>3</v>
      </c>
      <c r="C286">
        <v>0</v>
      </c>
      <c r="D286">
        <v>1</v>
      </c>
      <c r="E286">
        <v>0</v>
      </c>
      <c r="F286">
        <v>1</v>
      </c>
      <c r="G286">
        <v>0</v>
      </c>
      <c r="H286">
        <v>0</v>
      </c>
      <c r="I286">
        <v>1</v>
      </c>
      <c r="J286">
        <v>0</v>
      </c>
      <c r="K286">
        <v>0</v>
      </c>
    </row>
    <row r="287" spans="1:11">
      <c r="A287" t="s">
        <v>229</v>
      </c>
      <c r="B287">
        <v>72</v>
      </c>
      <c r="C287">
        <v>0</v>
      </c>
      <c r="D287">
        <v>19</v>
      </c>
      <c r="E287">
        <v>19</v>
      </c>
      <c r="F287">
        <v>0</v>
      </c>
      <c r="G287">
        <v>0</v>
      </c>
      <c r="H287">
        <v>19</v>
      </c>
      <c r="I287">
        <v>15</v>
      </c>
      <c r="J287">
        <v>0</v>
      </c>
      <c r="K287">
        <v>0</v>
      </c>
    </row>
    <row r="288" spans="1:11">
      <c r="A288" t="s">
        <v>230</v>
      </c>
      <c r="B288">
        <v>0</v>
      </c>
      <c r="C288">
        <v>0</v>
      </c>
      <c r="D288">
        <v>0</v>
      </c>
      <c r="E288">
        <v>0</v>
      </c>
      <c r="F288">
        <v>0</v>
      </c>
      <c r="G288">
        <v>0</v>
      </c>
      <c r="H288">
        <v>0</v>
      </c>
      <c r="I288">
        <v>0</v>
      </c>
      <c r="J288">
        <v>0</v>
      </c>
      <c r="K288">
        <v>0</v>
      </c>
    </row>
    <row r="289" spans="1:11">
      <c r="A289" t="s">
        <v>231</v>
      </c>
      <c r="B289">
        <v>78</v>
      </c>
      <c r="C289">
        <v>0</v>
      </c>
      <c r="D289">
        <v>28</v>
      </c>
      <c r="E289">
        <v>27</v>
      </c>
      <c r="F289">
        <v>0</v>
      </c>
      <c r="G289">
        <v>0</v>
      </c>
      <c r="H289">
        <v>0</v>
      </c>
      <c r="I289">
        <v>23</v>
      </c>
      <c r="J289">
        <v>0</v>
      </c>
      <c r="K289">
        <v>0</v>
      </c>
    </row>
    <row r="290" spans="1:11">
      <c r="A290" t="s">
        <v>232</v>
      </c>
      <c r="B290">
        <v>18</v>
      </c>
      <c r="C290">
        <v>0</v>
      </c>
      <c r="D290">
        <v>0</v>
      </c>
      <c r="E290">
        <v>0</v>
      </c>
      <c r="F290">
        <v>0</v>
      </c>
      <c r="G290">
        <v>0</v>
      </c>
      <c r="H290">
        <v>0</v>
      </c>
      <c r="I290">
        <v>0</v>
      </c>
      <c r="J290">
        <v>0</v>
      </c>
      <c r="K290">
        <v>0</v>
      </c>
    </row>
    <row r="291" spans="1:11">
      <c r="A291" t="s">
        <v>233</v>
      </c>
      <c r="B291">
        <v>87</v>
      </c>
      <c r="C291">
        <v>0</v>
      </c>
      <c r="D291">
        <v>23</v>
      </c>
      <c r="E291">
        <v>0</v>
      </c>
      <c r="F291">
        <v>23</v>
      </c>
      <c r="G291">
        <v>0</v>
      </c>
      <c r="H291">
        <v>23</v>
      </c>
      <c r="I291">
        <v>18</v>
      </c>
      <c r="J291">
        <v>0</v>
      </c>
      <c r="K291">
        <v>0</v>
      </c>
    </row>
    <row r="292" spans="1:11">
      <c r="A292" t="s">
        <v>234</v>
      </c>
      <c r="B292">
        <v>136</v>
      </c>
      <c r="C292">
        <v>0</v>
      </c>
      <c r="D292">
        <v>36</v>
      </c>
      <c r="E292">
        <v>36</v>
      </c>
      <c r="F292">
        <v>0</v>
      </c>
      <c r="G292">
        <v>0</v>
      </c>
      <c r="H292">
        <v>36</v>
      </c>
      <c r="I292">
        <v>28</v>
      </c>
      <c r="J292">
        <v>0</v>
      </c>
      <c r="K292">
        <v>0</v>
      </c>
    </row>
    <row r="293" spans="1:11">
      <c r="A293" t="s">
        <v>235</v>
      </c>
      <c r="B293">
        <v>2</v>
      </c>
      <c r="C293">
        <v>0</v>
      </c>
      <c r="D293">
        <v>1</v>
      </c>
      <c r="E293">
        <v>1</v>
      </c>
      <c r="F293">
        <v>0</v>
      </c>
      <c r="G293">
        <v>0</v>
      </c>
      <c r="H293">
        <v>0</v>
      </c>
      <c r="I293">
        <v>0</v>
      </c>
      <c r="J293">
        <v>0</v>
      </c>
      <c r="K293">
        <v>0</v>
      </c>
    </row>
    <row r="294" spans="1:11">
      <c r="A294" t="s">
        <v>236</v>
      </c>
      <c r="B294">
        <v>0</v>
      </c>
      <c r="C294">
        <v>0</v>
      </c>
      <c r="D294">
        <v>0</v>
      </c>
      <c r="E294">
        <v>0</v>
      </c>
      <c r="F294">
        <v>0</v>
      </c>
      <c r="G294">
        <v>0</v>
      </c>
      <c r="H294">
        <v>0</v>
      </c>
      <c r="I294">
        <v>0</v>
      </c>
      <c r="J294">
        <v>0</v>
      </c>
      <c r="K294">
        <v>0</v>
      </c>
    </row>
    <row r="295" spans="1:11">
      <c r="A295" t="s">
        <v>237</v>
      </c>
      <c r="B295">
        <v>1</v>
      </c>
      <c r="C295">
        <v>0</v>
      </c>
      <c r="D295">
        <v>1</v>
      </c>
      <c r="E295">
        <v>0</v>
      </c>
      <c r="F295">
        <v>0</v>
      </c>
      <c r="G295">
        <v>0</v>
      </c>
      <c r="H295">
        <v>0</v>
      </c>
      <c r="I295">
        <v>0</v>
      </c>
      <c r="J295">
        <v>0</v>
      </c>
      <c r="K295">
        <v>0</v>
      </c>
    </row>
    <row r="296" spans="1:11">
      <c r="A296" t="s">
        <v>238</v>
      </c>
      <c r="B296">
        <v>39</v>
      </c>
      <c r="C296">
        <v>0</v>
      </c>
      <c r="D296">
        <v>11</v>
      </c>
      <c r="E296">
        <v>0</v>
      </c>
      <c r="F296">
        <v>10</v>
      </c>
      <c r="G296">
        <v>0</v>
      </c>
      <c r="H296">
        <v>10</v>
      </c>
      <c r="I296">
        <v>8</v>
      </c>
      <c r="J296">
        <v>0</v>
      </c>
      <c r="K296">
        <v>0</v>
      </c>
    </row>
    <row r="297" spans="1:11">
      <c r="A297" t="s">
        <v>239</v>
      </c>
      <c r="B297">
        <v>0</v>
      </c>
      <c r="C297">
        <v>0</v>
      </c>
      <c r="D297">
        <v>0</v>
      </c>
      <c r="E297">
        <v>0</v>
      </c>
      <c r="F297">
        <v>0</v>
      </c>
      <c r="G297">
        <v>0</v>
      </c>
      <c r="H297">
        <v>0</v>
      </c>
      <c r="I297">
        <v>0</v>
      </c>
      <c r="J297">
        <v>0</v>
      </c>
      <c r="K297">
        <v>0</v>
      </c>
    </row>
    <row r="298" spans="1:11">
      <c r="A298" t="s">
        <v>240</v>
      </c>
      <c r="B298">
        <v>60</v>
      </c>
      <c r="C298">
        <v>0</v>
      </c>
      <c r="D298">
        <v>13</v>
      </c>
      <c r="E298">
        <v>13</v>
      </c>
      <c r="F298">
        <v>13</v>
      </c>
      <c r="G298">
        <v>0</v>
      </c>
      <c r="H298">
        <v>12</v>
      </c>
      <c r="I298">
        <v>9</v>
      </c>
      <c r="J298">
        <v>0</v>
      </c>
      <c r="K298">
        <v>0</v>
      </c>
    </row>
    <row r="299" spans="1:11">
      <c r="A299" t="s">
        <v>241</v>
      </c>
      <c r="B299">
        <v>7</v>
      </c>
      <c r="C299">
        <v>0</v>
      </c>
      <c r="D299">
        <v>0</v>
      </c>
      <c r="E299">
        <v>0</v>
      </c>
      <c r="F299">
        <v>0</v>
      </c>
      <c r="G299">
        <v>0</v>
      </c>
      <c r="H299">
        <v>4</v>
      </c>
      <c r="I299">
        <v>3</v>
      </c>
      <c r="J299">
        <v>0</v>
      </c>
      <c r="K299">
        <v>0</v>
      </c>
    </row>
    <row r="300" spans="1:11">
      <c r="A300" t="s">
        <v>242</v>
      </c>
      <c r="B300">
        <v>226</v>
      </c>
      <c r="C300">
        <v>0</v>
      </c>
      <c r="D300">
        <v>48</v>
      </c>
      <c r="E300">
        <v>48</v>
      </c>
      <c r="F300">
        <v>47</v>
      </c>
      <c r="G300">
        <v>0</v>
      </c>
      <c r="H300">
        <v>47</v>
      </c>
      <c r="I300">
        <v>36</v>
      </c>
      <c r="J300">
        <v>0</v>
      </c>
      <c r="K300">
        <v>0</v>
      </c>
    </row>
    <row r="301" spans="1:11">
      <c r="A301" t="s">
        <v>243</v>
      </c>
      <c r="B301">
        <v>245</v>
      </c>
      <c r="C301">
        <v>0</v>
      </c>
      <c r="D301">
        <v>65</v>
      </c>
      <c r="E301">
        <v>65</v>
      </c>
      <c r="F301">
        <v>0</v>
      </c>
      <c r="G301">
        <v>0</v>
      </c>
      <c r="H301">
        <v>64</v>
      </c>
      <c r="I301">
        <v>51</v>
      </c>
      <c r="J301">
        <v>0</v>
      </c>
      <c r="K301">
        <v>0</v>
      </c>
    </row>
    <row r="302" spans="1:11">
      <c r="A302" t="s">
        <v>244</v>
      </c>
      <c r="B302">
        <v>1</v>
      </c>
      <c r="C302">
        <v>0</v>
      </c>
      <c r="D302">
        <v>0</v>
      </c>
      <c r="E302">
        <v>0</v>
      </c>
      <c r="F302">
        <v>0</v>
      </c>
      <c r="G302">
        <v>0</v>
      </c>
      <c r="H302">
        <v>1</v>
      </c>
      <c r="I302">
        <v>0</v>
      </c>
      <c r="J302">
        <v>0</v>
      </c>
      <c r="K302">
        <v>0</v>
      </c>
    </row>
    <row r="303" spans="1:11">
      <c r="A303" t="s">
        <v>245</v>
      </c>
      <c r="B303">
        <v>3</v>
      </c>
      <c r="C303">
        <v>0</v>
      </c>
      <c r="D303">
        <v>0</v>
      </c>
      <c r="E303">
        <v>0</v>
      </c>
      <c r="F303">
        <v>0</v>
      </c>
      <c r="G303">
        <v>0</v>
      </c>
      <c r="H303">
        <v>0</v>
      </c>
      <c r="I303">
        <v>0</v>
      </c>
      <c r="J303">
        <v>0</v>
      </c>
      <c r="K303">
        <v>0</v>
      </c>
    </row>
    <row r="304" spans="1:11">
      <c r="A304" t="s">
        <v>677</v>
      </c>
      <c r="B304">
        <v>8</v>
      </c>
      <c r="C304">
        <v>0</v>
      </c>
      <c r="D304">
        <v>8</v>
      </c>
      <c r="E304">
        <v>0</v>
      </c>
      <c r="F304">
        <v>0</v>
      </c>
      <c r="G304">
        <v>0</v>
      </c>
      <c r="H304">
        <v>0</v>
      </c>
      <c r="I304">
        <v>0</v>
      </c>
      <c r="J304">
        <v>0</v>
      </c>
      <c r="K304">
        <v>0</v>
      </c>
    </row>
    <row r="305" spans="1:11">
      <c r="A305" t="s">
        <v>246</v>
      </c>
      <c r="B305">
        <v>6</v>
      </c>
      <c r="C305">
        <v>0</v>
      </c>
      <c r="D305">
        <v>2</v>
      </c>
      <c r="E305">
        <v>0</v>
      </c>
      <c r="F305">
        <v>2</v>
      </c>
      <c r="G305">
        <v>0</v>
      </c>
      <c r="H305">
        <v>1</v>
      </c>
      <c r="I305">
        <v>1</v>
      </c>
      <c r="J305">
        <v>0</v>
      </c>
      <c r="K305">
        <v>0</v>
      </c>
    </row>
    <row r="306" spans="1:11">
      <c r="A306" t="s">
        <v>678</v>
      </c>
      <c r="B306">
        <v>3</v>
      </c>
      <c r="C306">
        <v>0</v>
      </c>
      <c r="D306">
        <v>0</v>
      </c>
      <c r="E306">
        <v>0</v>
      </c>
      <c r="F306">
        <v>0</v>
      </c>
      <c r="G306">
        <v>0</v>
      </c>
      <c r="H306">
        <v>2</v>
      </c>
      <c r="I306">
        <v>1</v>
      </c>
      <c r="J306">
        <v>0</v>
      </c>
      <c r="K306">
        <v>0</v>
      </c>
    </row>
    <row r="307" spans="1:11">
      <c r="A307" t="s">
        <v>685</v>
      </c>
      <c r="B307">
        <v>6</v>
      </c>
      <c r="C307">
        <v>0</v>
      </c>
      <c r="D307">
        <v>6</v>
      </c>
      <c r="E307">
        <v>0</v>
      </c>
      <c r="F307">
        <v>0</v>
      </c>
      <c r="G307">
        <v>0</v>
      </c>
      <c r="H307">
        <v>0</v>
      </c>
      <c r="I307">
        <v>0</v>
      </c>
      <c r="J307">
        <v>0</v>
      </c>
      <c r="K307">
        <v>0</v>
      </c>
    </row>
    <row r="308" spans="1:11">
      <c r="A308" t="s">
        <v>643</v>
      </c>
      <c r="B308">
        <v>0</v>
      </c>
      <c r="C308">
        <v>0</v>
      </c>
      <c r="D308">
        <v>0</v>
      </c>
      <c r="E308">
        <v>0</v>
      </c>
      <c r="F308">
        <v>0</v>
      </c>
      <c r="G308">
        <v>0</v>
      </c>
      <c r="H308">
        <v>0</v>
      </c>
      <c r="I308">
        <v>0</v>
      </c>
      <c r="J308">
        <v>0</v>
      </c>
      <c r="K308">
        <v>0</v>
      </c>
    </row>
    <row r="309" spans="1:11">
      <c r="A309" t="s">
        <v>644</v>
      </c>
      <c r="B309">
        <v>0</v>
      </c>
      <c r="C309">
        <v>0</v>
      </c>
      <c r="D309">
        <v>0</v>
      </c>
      <c r="E309">
        <v>0</v>
      </c>
      <c r="F309">
        <v>0</v>
      </c>
      <c r="G309">
        <v>0</v>
      </c>
      <c r="H309">
        <v>0</v>
      </c>
      <c r="I309">
        <v>0</v>
      </c>
      <c r="J309">
        <v>0</v>
      </c>
      <c r="K309">
        <v>0</v>
      </c>
    </row>
    <row r="310" spans="1:11">
      <c r="A310" t="s">
        <v>247</v>
      </c>
      <c r="B310">
        <v>0</v>
      </c>
      <c r="C310">
        <v>0</v>
      </c>
      <c r="D310">
        <v>0</v>
      </c>
      <c r="E310">
        <v>0</v>
      </c>
      <c r="F310">
        <v>0</v>
      </c>
      <c r="G310">
        <v>0</v>
      </c>
      <c r="H310">
        <v>0</v>
      </c>
      <c r="I310">
        <v>0</v>
      </c>
      <c r="J310">
        <v>0</v>
      </c>
      <c r="K310">
        <v>0</v>
      </c>
    </row>
    <row r="311" spans="1:11">
      <c r="A311" t="s">
        <v>248</v>
      </c>
      <c r="B311">
        <v>119</v>
      </c>
      <c r="C311">
        <v>0</v>
      </c>
      <c r="D311">
        <v>32</v>
      </c>
      <c r="E311">
        <v>31</v>
      </c>
      <c r="F311">
        <v>0</v>
      </c>
      <c r="G311">
        <v>0</v>
      </c>
      <c r="H311">
        <v>31</v>
      </c>
      <c r="I311">
        <v>25</v>
      </c>
      <c r="J311">
        <v>0</v>
      </c>
      <c r="K311">
        <v>0</v>
      </c>
    </row>
    <row r="312" spans="1:11">
      <c r="A312" t="s">
        <v>249</v>
      </c>
      <c r="B312">
        <v>144</v>
      </c>
      <c r="C312">
        <v>0</v>
      </c>
      <c r="D312">
        <v>31</v>
      </c>
      <c r="E312">
        <v>30</v>
      </c>
      <c r="F312">
        <v>30</v>
      </c>
      <c r="G312">
        <v>0</v>
      </c>
      <c r="H312">
        <v>30</v>
      </c>
      <c r="I312">
        <v>23</v>
      </c>
      <c r="J312">
        <v>0</v>
      </c>
      <c r="K312">
        <v>0</v>
      </c>
    </row>
    <row r="313" spans="1:11">
      <c r="A313" t="s">
        <v>645</v>
      </c>
      <c r="B313">
        <v>0</v>
      </c>
      <c r="C313">
        <v>0</v>
      </c>
      <c r="D313">
        <v>0</v>
      </c>
      <c r="E313">
        <v>0</v>
      </c>
      <c r="F313">
        <v>0</v>
      </c>
      <c r="G313">
        <v>0</v>
      </c>
      <c r="H313">
        <v>0</v>
      </c>
      <c r="I313">
        <v>0</v>
      </c>
      <c r="J313">
        <v>0</v>
      </c>
      <c r="K313">
        <v>0</v>
      </c>
    </row>
    <row r="314" spans="1:11">
      <c r="A314" t="s">
        <v>250</v>
      </c>
      <c r="B314">
        <v>0</v>
      </c>
      <c r="C314">
        <v>0</v>
      </c>
      <c r="D314">
        <v>0</v>
      </c>
      <c r="E314">
        <v>0</v>
      </c>
      <c r="F314">
        <v>0</v>
      </c>
      <c r="G314">
        <v>0</v>
      </c>
      <c r="H314">
        <v>0</v>
      </c>
      <c r="I314">
        <v>0</v>
      </c>
      <c r="J314">
        <v>0</v>
      </c>
      <c r="K314">
        <v>0</v>
      </c>
    </row>
    <row r="315" spans="1:11">
      <c r="A315" t="s">
        <v>251</v>
      </c>
      <c r="B315">
        <v>0</v>
      </c>
      <c r="C315">
        <v>0</v>
      </c>
      <c r="D315">
        <v>0</v>
      </c>
      <c r="E315">
        <v>0</v>
      </c>
      <c r="F315">
        <v>0</v>
      </c>
      <c r="G315">
        <v>0</v>
      </c>
      <c r="H315">
        <v>0</v>
      </c>
      <c r="I315">
        <v>0</v>
      </c>
      <c r="J315">
        <v>0</v>
      </c>
      <c r="K315">
        <v>0</v>
      </c>
    </row>
    <row r="316" spans="1:11">
      <c r="A316" t="s">
        <v>252</v>
      </c>
      <c r="B316">
        <v>78</v>
      </c>
      <c r="C316">
        <v>0</v>
      </c>
      <c r="D316">
        <v>17</v>
      </c>
      <c r="E316">
        <v>17</v>
      </c>
      <c r="F316">
        <v>16</v>
      </c>
      <c r="G316">
        <v>0</v>
      </c>
      <c r="H316">
        <v>16</v>
      </c>
      <c r="I316">
        <v>12</v>
      </c>
      <c r="J316">
        <v>0</v>
      </c>
      <c r="K316">
        <v>0</v>
      </c>
    </row>
    <row r="317" spans="1:11">
      <c r="A317" t="s">
        <v>646</v>
      </c>
      <c r="B317">
        <v>0</v>
      </c>
      <c r="C317">
        <v>0</v>
      </c>
      <c r="D317">
        <v>0</v>
      </c>
      <c r="E317">
        <v>0</v>
      </c>
      <c r="F317">
        <v>0</v>
      </c>
      <c r="G317">
        <v>0</v>
      </c>
      <c r="H317">
        <v>0</v>
      </c>
      <c r="I317">
        <v>0</v>
      </c>
      <c r="J317">
        <v>0</v>
      </c>
      <c r="K317">
        <v>0</v>
      </c>
    </row>
    <row r="318" spans="1:11">
      <c r="A318" t="s">
        <v>253</v>
      </c>
      <c r="B318">
        <v>0</v>
      </c>
      <c r="C318">
        <v>0</v>
      </c>
      <c r="D318">
        <v>0</v>
      </c>
      <c r="E318">
        <v>0</v>
      </c>
      <c r="F318">
        <v>0</v>
      </c>
      <c r="G318">
        <v>0</v>
      </c>
      <c r="H318">
        <v>0</v>
      </c>
      <c r="I318">
        <v>0</v>
      </c>
      <c r="J318">
        <v>0</v>
      </c>
      <c r="K318">
        <v>0</v>
      </c>
    </row>
    <row r="319" spans="1:11">
      <c r="A319" t="s">
        <v>254</v>
      </c>
      <c r="B319">
        <v>88</v>
      </c>
      <c r="C319">
        <v>0</v>
      </c>
      <c r="D319">
        <v>19</v>
      </c>
      <c r="E319">
        <v>19</v>
      </c>
      <c r="F319">
        <v>18</v>
      </c>
      <c r="G319">
        <v>0</v>
      </c>
      <c r="H319">
        <v>18</v>
      </c>
      <c r="I319">
        <v>14</v>
      </c>
      <c r="J319">
        <v>0</v>
      </c>
      <c r="K319">
        <v>0</v>
      </c>
    </row>
    <row r="320" spans="1:11">
      <c r="A320" t="s">
        <v>255</v>
      </c>
      <c r="B320">
        <v>55</v>
      </c>
      <c r="C320">
        <v>0</v>
      </c>
      <c r="D320">
        <v>12</v>
      </c>
      <c r="E320">
        <v>12</v>
      </c>
      <c r="F320">
        <v>11</v>
      </c>
      <c r="G320">
        <v>0</v>
      </c>
      <c r="H320">
        <v>11</v>
      </c>
      <c r="I320">
        <v>9</v>
      </c>
      <c r="J320">
        <v>0</v>
      </c>
      <c r="K320">
        <v>0</v>
      </c>
    </row>
    <row r="321" spans="1:11">
      <c r="A321" t="s">
        <v>647</v>
      </c>
      <c r="B321">
        <v>11</v>
      </c>
      <c r="C321">
        <v>0</v>
      </c>
      <c r="D321">
        <v>0</v>
      </c>
      <c r="E321">
        <v>0</v>
      </c>
      <c r="F321">
        <v>0</v>
      </c>
      <c r="G321">
        <v>0</v>
      </c>
      <c r="H321">
        <v>6</v>
      </c>
      <c r="I321">
        <v>5</v>
      </c>
      <c r="J321">
        <v>0</v>
      </c>
      <c r="K321">
        <v>0</v>
      </c>
    </row>
    <row r="322" spans="1:11">
      <c r="A322" t="s">
        <v>256</v>
      </c>
      <c r="B322">
        <v>1</v>
      </c>
      <c r="C322">
        <v>0</v>
      </c>
      <c r="D322">
        <v>0</v>
      </c>
      <c r="E322">
        <v>0</v>
      </c>
      <c r="F322">
        <v>0</v>
      </c>
      <c r="G322">
        <v>0</v>
      </c>
      <c r="H322">
        <v>1</v>
      </c>
      <c r="I322">
        <v>0</v>
      </c>
      <c r="J322">
        <v>0</v>
      </c>
      <c r="K322">
        <v>0</v>
      </c>
    </row>
    <row r="323" spans="1:11">
      <c r="A323" t="s">
        <v>257</v>
      </c>
      <c r="B323">
        <v>1</v>
      </c>
      <c r="C323">
        <v>0</v>
      </c>
      <c r="D323">
        <v>0</v>
      </c>
      <c r="E323">
        <v>0</v>
      </c>
      <c r="F323">
        <v>1</v>
      </c>
      <c r="G323">
        <v>0</v>
      </c>
      <c r="H323">
        <v>0</v>
      </c>
      <c r="I323">
        <v>0</v>
      </c>
      <c r="J323">
        <v>0</v>
      </c>
      <c r="K323">
        <v>0</v>
      </c>
    </row>
    <row r="324" spans="1:11">
      <c r="A324" t="s">
        <v>258</v>
      </c>
      <c r="B324">
        <v>50</v>
      </c>
      <c r="C324">
        <v>0</v>
      </c>
      <c r="D324">
        <v>11</v>
      </c>
      <c r="E324">
        <v>11</v>
      </c>
      <c r="F324">
        <v>10</v>
      </c>
      <c r="G324">
        <v>0</v>
      </c>
      <c r="H324">
        <v>10</v>
      </c>
      <c r="I324">
        <v>8</v>
      </c>
      <c r="J324">
        <v>0</v>
      </c>
      <c r="K324">
        <v>0</v>
      </c>
    </row>
    <row r="325" spans="1:11">
      <c r="A325" t="s">
        <v>259</v>
      </c>
      <c r="B325">
        <v>101</v>
      </c>
      <c r="C325">
        <v>0</v>
      </c>
      <c r="D325">
        <v>27</v>
      </c>
      <c r="E325">
        <v>27</v>
      </c>
      <c r="F325">
        <v>0</v>
      </c>
      <c r="G325">
        <v>0</v>
      </c>
      <c r="H325">
        <v>26</v>
      </c>
      <c r="I325">
        <v>21</v>
      </c>
      <c r="J325">
        <v>0</v>
      </c>
      <c r="K325">
        <v>0</v>
      </c>
    </row>
    <row r="326" spans="1:11">
      <c r="A326" t="s">
        <v>260</v>
      </c>
      <c r="B326">
        <v>52</v>
      </c>
      <c r="C326">
        <v>0</v>
      </c>
      <c r="D326">
        <v>14</v>
      </c>
      <c r="E326">
        <v>0</v>
      </c>
      <c r="F326">
        <v>14</v>
      </c>
      <c r="G326">
        <v>0</v>
      </c>
      <c r="H326">
        <v>13</v>
      </c>
      <c r="I326">
        <v>11</v>
      </c>
      <c r="J326">
        <v>0</v>
      </c>
      <c r="K326">
        <v>0</v>
      </c>
    </row>
    <row r="327" spans="1:11">
      <c r="A327" t="s">
        <v>261</v>
      </c>
      <c r="B327">
        <v>2</v>
      </c>
      <c r="C327">
        <v>0</v>
      </c>
      <c r="D327">
        <v>0</v>
      </c>
      <c r="E327">
        <v>0</v>
      </c>
      <c r="F327">
        <v>0</v>
      </c>
      <c r="G327">
        <v>0</v>
      </c>
      <c r="H327">
        <v>1</v>
      </c>
      <c r="I327">
        <v>1</v>
      </c>
      <c r="J327">
        <v>0</v>
      </c>
      <c r="K327">
        <v>0</v>
      </c>
    </row>
    <row r="328" spans="1:11">
      <c r="A328" t="s">
        <v>262</v>
      </c>
      <c r="B328">
        <v>49</v>
      </c>
      <c r="C328">
        <v>0</v>
      </c>
      <c r="D328">
        <v>13</v>
      </c>
      <c r="E328">
        <v>0</v>
      </c>
      <c r="F328">
        <v>13</v>
      </c>
      <c r="G328">
        <v>0</v>
      </c>
      <c r="H328">
        <v>13</v>
      </c>
      <c r="I328">
        <v>10</v>
      </c>
      <c r="J328">
        <v>0</v>
      </c>
      <c r="K328">
        <v>0</v>
      </c>
    </row>
    <row r="329" spans="1:11">
      <c r="A329" t="s">
        <v>263</v>
      </c>
      <c r="B329">
        <v>97</v>
      </c>
      <c r="C329">
        <v>0</v>
      </c>
      <c r="D329">
        <v>25</v>
      </c>
      <c r="E329">
        <v>24</v>
      </c>
      <c r="F329">
        <v>24</v>
      </c>
      <c r="G329">
        <v>0</v>
      </c>
      <c r="H329">
        <v>24</v>
      </c>
      <c r="I329">
        <v>0</v>
      </c>
      <c r="J329">
        <v>0</v>
      </c>
      <c r="K329">
        <v>0</v>
      </c>
    </row>
    <row r="330" spans="1:11">
      <c r="A330" t="s">
        <v>648</v>
      </c>
      <c r="B330">
        <v>27</v>
      </c>
      <c r="C330">
        <v>0</v>
      </c>
      <c r="D330">
        <v>14</v>
      </c>
      <c r="E330">
        <v>13</v>
      </c>
      <c r="F330">
        <v>0</v>
      </c>
      <c r="G330">
        <v>0</v>
      </c>
      <c r="H330">
        <v>0</v>
      </c>
      <c r="I330">
        <v>0</v>
      </c>
      <c r="J330">
        <v>0</v>
      </c>
      <c r="K330">
        <v>0</v>
      </c>
    </row>
    <row r="331" spans="1:11">
      <c r="A331" t="s">
        <v>264</v>
      </c>
      <c r="B331">
        <v>41</v>
      </c>
      <c r="C331">
        <v>0</v>
      </c>
      <c r="D331">
        <v>11</v>
      </c>
      <c r="E331">
        <v>10</v>
      </c>
      <c r="F331">
        <v>10</v>
      </c>
      <c r="G331">
        <v>0</v>
      </c>
      <c r="H331">
        <v>10</v>
      </c>
      <c r="I331">
        <v>0</v>
      </c>
      <c r="J331">
        <v>0</v>
      </c>
      <c r="K331">
        <v>0</v>
      </c>
    </row>
    <row r="332" spans="1:11">
      <c r="A332" t="s">
        <v>649</v>
      </c>
      <c r="B332">
        <v>3</v>
      </c>
      <c r="C332">
        <v>0</v>
      </c>
      <c r="D332">
        <v>3</v>
      </c>
      <c r="E332">
        <v>0</v>
      </c>
      <c r="F332">
        <v>0</v>
      </c>
      <c r="G332">
        <v>0</v>
      </c>
      <c r="H332">
        <v>0</v>
      </c>
      <c r="I332">
        <v>0</v>
      </c>
      <c r="J332">
        <v>0</v>
      </c>
      <c r="K332">
        <v>0</v>
      </c>
    </row>
    <row r="333" spans="1:11">
      <c r="A333" t="s">
        <v>265</v>
      </c>
      <c r="B333">
        <v>0</v>
      </c>
      <c r="C333">
        <v>0</v>
      </c>
      <c r="D333">
        <v>0</v>
      </c>
      <c r="E333">
        <v>0</v>
      </c>
      <c r="F333">
        <v>0</v>
      </c>
      <c r="G333">
        <v>0</v>
      </c>
      <c r="H333">
        <v>0</v>
      </c>
      <c r="I333">
        <v>0</v>
      </c>
      <c r="J333">
        <v>0</v>
      </c>
      <c r="K333">
        <v>0</v>
      </c>
    </row>
    <row r="334" spans="1:11">
      <c r="A334" t="s">
        <v>266</v>
      </c>
      <c r="B334">
        <v>0</v>
      </c>
      <c r="C334">
        <v>0</v>
      </c>
      <c r="D334">
        <v>0</v>
      </c>
      <c r="E334">
        <v>0</v>
      </c>
      <c r="F334">
        <v>0</v>
      </c>
      <c r="G334">
        <v>0</v>
      </c>
      <c r="H334">
        <v>0</v>
      </c>
      <c r="I334">
        <v>0</v>
      </c>
      <c r="J334">
        <v>0</v>
      </c>
      <c r="K334">
        <v>0</v>
      </c>
    </row>
    <row r="335" spans="1:11">
      <c r="A335" t="s">
        <v>267</v>
      </c>
      <c r="B335">
        <v>20</v>
      </c>
      <c r="C335">
        <v>0</v>
      </c>
      <c r="D335">
        <v>4</v>
      </c>
      <c r="E335">
        <v>4</v>
      </c>
      <c r="F335">
        <v>4</v>
      </c>
      <c r="G335">
        <v>0</v>
      </c>
      <c r="H335">
        <v>4</v>
      </c>
      <c r="I335">
        <v>4</v>
      </c>
      <c r="J335">
        <v>0</v>
      </c>
      <c r="K335">
        <v>0</v>
      </c>
    </row>
    <row r="336" spans="1:11">
      <c r="A336" t="s">
        <v>268</v>
      </c>
      <c r="B336">
        <v>64</v>
      </c>
      <c r="C336">
        <v>0</v>
      </c>
      <c r="D336">
        <v>14</v>
      </c>
      <c r="E336">
        <v>14</v>
      </c>
      <c r="F336">
        <v>13</v>
      </c>
      <c r="G336">
        <v>0</v>
      </c>
      <c r="H336">
        <v>13</v>
      </c>
      <c r="I336">
        <v>10</v>
      </c>
      <c r="J336">
        <v>0</v>
      </c>
      <c r="K336">
        <v>0</v>
      </c>
    </row>
    <row r="337" spans="1:11">
      <c r="A337" t="s">
        <v>269</v>
      </c>
      <c r="B337">
        <v>45</v>
      </c>
      <c r="C337">
        <v>0</v>
      </c>
      <c r="D337">
        <v>12</v>
      </c>
      <c r="E337">
        <v>12</v>
      </c>
      <c r="F337">
        <v>0</v>
      </c>
      <c r="G337">
        <v>0</v>
      </c>
      <c r="H337">
        <v>12</v>
      </c>
      <c r="I337">
        <v>9</v>
      </c>
      <c r="J337">
        <v>0</v>
      </c>
      <c r="K337">
        <v>0</v>
      </c>
    </row>
    <row r="338" spans="1:11">
      <c r="A338" t="s">
        <v>270</v>
      </c>
      <c r="B338">
        <v>0</v>
      </c>
      <c r="C338">
        <v>0</v>
      </c>
      <c r="D338">
        <v>0</v>
      </c>
      <c r="E338">
        <v>0</v>
      </c>
      <c r="F338">
        <v>0</v>
      </c>
      <c r="G338">
        <v>0</v>
      </c>
      <c r="H338">
        <v>0</v>
      </c>
      <c r="I338">
        <v>0</v>
      </c>
      <c r="J338">
        <v>0</v>
      </c>
      <c r="K338">
        <v>0</v>
      </c>
    </row>
    <row r="339" spans="1:11">
      <c r="A339" t="s">
        <v>271</v>
      </c>
      <c r="B339">
        <v>80</v>
      </c>
      <c r="C339">
        <v>0</v>
      </c>
      <c r="D339">
        <v>17</v>
      </c>
      <c r="E339">
        <v>17</v>
      </c>
      <c r="F339">
        <v>17</v>
      </c>
      <c r="G339">
        <v>0</v>
      </c>
      <c r="H339">
        <v>17</v>
      </c>
      <c r="I339">
        <v>12</v>
      </c>
      <c r="J339">
        <v>0</v>
      </c>
      <c r="K339">
        <v>0</v>
      </c>
    </row>
    <row r="340" spans="1:11">
      <c r="A340" t="s">
        <v>272</v>
      </c>
      <c r="B340">
        <v>4</v>
      </c>
      <c r="C340">
        <v>0</v>
      </c>
      <c r="D340">
        <v>0</v>
      </c>
      <c r="E340">
        <v>0</v>
      </c>
      <c r="F340">
        <v>0</v>
      </c>
      <c r="G340">
        <v>0</v>
      </c>
      <c r="H340">
        <v>2</v>
      </c>
      <c r="I340">
        <v>2</v>
      </c>
      <c r="J340">
        <v>0</v>
      </c>
      <c r="K340">
        <v>0</v>
      </c>
    </row>
    <row r="341" spans="1:11">
      <c r="A341" t="s">
        <v>650</v>
      </c>
      <c r="B341">
        <v>3</v>
      </c>
      <c r="C341">
        <v>0</v>
      </c>
      <c r="D341">
        <v>0</v>
      </c>
      <c r="E341">
        <v>0</v>
      </c>
      <c r="F341">
        <v>0</v>
      </c>
      <c r="G341">
        <v>0</v>
      </c>
      <c r="H341">
        <v>2</v>
      </c>
      <c r="I341">
        <v>1</v>
      </c>
      <c r="J341">
        <v>0</v>
      </c>
      <c r="K341">
        <v>0</v>
      </c>
    </row>
    <row r="342" spans="1:11">
      <c r="A342" t="s">
        <v>273</v>
      </c>
      <c r="B342">
        <v>0</v>
      </c>
      <c r="C342">
        <v>0</v>
      </c>
      <c r="D342">
        <v>0</v>
      </c>
      <c r="E342">
        <v>0</v>
      </c>
      <c r="F342">
        <v>0</v>
      </c>
      <c r="G342">
        <v>0</v>
      </c>
      <c r="H342">
        <v>0</v>
      </c>
      <c r="I342">
        <v>0</v>
      </c>
      <c r="J342">
        <v>0</v>
      </c>
      <c r="K342">
        <v>0</v>
      </c>
    </row>
    <row r="343" spans="1:11">
      <c r="A343" t="s">
        <v>274</v>
      </c>
      <c r="B343">
        <v>2</v>
      </c>
      <c r="C343">
        <v>0</v>
      </c>
      <c r="D343">
        <v>1</v>
      </c>
      <c r="E343">
        <v>0</v>
      </c>
      <c r="F343">
        <v>0</v>
      </c>
      <c r="G343">
        <v>0</v>
      </c>
      <c r="H343">
        <v>1</v>
      </c>
      <c r="I343">
        <v>0</v>
      </c>
      <c r="J343">
        <v>0</v>
      </c>
      <c r="K343">
        <v>0</v>
      </c>
    </row>
    <row r="344" spans="1:11">
      <c r="A344" t="s">
        <v>275</v>
      </c>
      <c r="B344">
        <v>14</v>
      </c>
      <c r="C344">
        <v>0</v>
      </c>
      <c r="D344">
        <v>5</v>
      </c>
      <c r="E344">
        <v>0</v>
      </c>
      <c r="F344">
        <v>0</v>
      </c>
      <c r="G344">
        <v>0</v>
      </c>
      <c r="H344">
        <v>5</v>
      </c>
      <c r="I344">
        <v>4</v>
      </c>
      <c r="J344">
        <v>0</v>
      </c>
      <c r="K344">
        <v>0</v>
      </c>
    </row>
    <row r="345" spans="1:11">
      <c r="A345" t="s">
        <v>276</v>
      </c>
      <c r="B345">
        <v>14</v>
      </c>
      <c r="C345">
        <v>0</v>
      </c>
      <c r="D345">
        <v>0</v>
      </c>
      <c r="E345">
        <v>0</v>
      </c>
      <c r="F345">
        <v>5</v>
      </c>
      <c r="G345">
        <v>0</v>
      </c>
      <c r="H345">
        <v>5</v>
      </c>
      <c r="I345">
        <v>4</v>
      </c>
      <c r="J345">
        <v>0</v>
      </c>
      <c r="K345">
        <v>0</v>
      </c>
    </row>
    <row r="346" spans="1:11">
      <c r="A346" t="s">
        <v>651</v>
      </c>
      <c r="B346">
        <v>1</v>
      </c>
      <c r="C346">
        <v>0</v>
      </c>
      <c r="D346">
        <v>0</v>
      </c>
      <c r="E346">
        <v>0</v>
      </c>
      <c r="F346">
        <v>0</v>
      </c>
      <c r="G346">
        <v>0</v>
      </c>
      <c r="H346">
        <v>0</v>
      </c>
      <c r="I346">
        <v>0</v>
      </c>
      <c r="J346">
        <v>0</v>
      </c>
      <c r="K346">
        <v>0</v>
      </c>
    </row>
    <row r="347" spans="1:11">
      <c r="A347" t="s">
        <v>1288</v>
      </c>
      <c r="B347">
        <v>0</v>
      </c>
      <c r="C347">
        <v>0</v>
      </c>
      <c r="D347">
        <v>0</v>
      </c>
      <c r="E347">
        <v>0</v>
      </c>
      <c r="F347">
        <v>0</v>
      </c>
      <c r="G347">
        <v>0</v>
      </c>
      <c r="H347">
        <v>0</v>
      </c>
      <c r="I347">
        <v>0</v>
      </c>
      <c r="J347">
        <v>0</v>
      </c>
      <c r="K347">
        <v>0</v>
      </c>
    </row>
    <row r="348" spans="1:11">
      <c r="A348" t="s">
        <v>1289</v>
      </c>
      <c r="B348">
        <v>0</v>
      </c>
      <c r="C348">
        <v>0</v>
      </c>
      <c r="D348">
        <v>0</v>
      </c>
      <c r="E348">
        <v>0</v>
      </c>
      <c r="F348">
        <v>0</v>
      </c>
      <c r="G348">
        <v>0</v>
      </c>
      <c r="H348">
        <v>0</v>
      </c>
      <c r="I348">
        <v>0</v>
      </c>
      <c r="J348">
        <v>0</v>
      </c>
      <c r="K348">
        <v>0</v>
      </c>
    </row>
    <row r="349" spans="1:11">
      <c r="A349" t="s">
        <v>277</v>
      </c>
      <c r="B349">
        <v>84</v>
      </c>
      <c r="C349">
        <v>0</v>
      </c>
      <c r="D349">
        <v>18</v>
      </c>
      <c r="E349">
        <v>18</v>
      </c>
      <c r="F349">
        <v>18</v>
      </c>
      <c r="G349">
        <v>0</v>
      </c>
      <c r="H349">
        <v>17</v>
      </c>
      <c r="I349">
        <v>13</v>
      </c>
      <c r="J349">
        <v>0</v>
      </c>
      <c r="K349">
        <v>0</v>
      </c>
    </row>
    <row r="350" spans="1:11">
      <c r="A350" t="s">
        <v>278</v>
      </c>
      <c r="B350">
        <v>0</v>
      </c>
      <c r="C350">
        <v>0</v>
      </c>
      <c r="D350">
        <v>0</v>
      </c>
      <c r="E350">
        <v>0</v>
      </c>
      <c r="F350">
        <v>0</v>
      </c>
      <c r="G350">
        <v>0</v>
      </c>
      <c r="H350">
        <v>0</v>
      </c>
      <c r="I350">
        <v>0</v>
      </c>
      <c r="J350">
        <v>0</v>
      </c>
      <c r="K350">
        <v>0</v>
      </c>
    </row>
    <row r="351" spans="1:11">
      <c r="A351" t="s">
        <v>279</v>
      </c>
      <c r="B351">
        <v>65</v>
      </c>
      <c r="C351">
        <v>0</v>
      </c>
      <c r="D351">
        <v>14</v>
      </c>
      <c r="E351">
        <v>14</v>
      </c>
      <c r="F351">
        <v>14</v>
      </c>
      <c r="G351">
        <v>0</v>
      </c>
      <c r="H351">
        <v>13</v>
      </c>
      <c r="I351">
        <v>10</v>
      </c>
      <c r="J351">
        <v>0</v>
      </c>
      <c r="K351">
        <v>0</v>
      </c>
    </row>
    <row r="352" spans="1:11">
      <c r="A352" t="s">
        <v>280</v>
      </c>
      <c r="B352">
        <v>1</v>
      </c>
      <c r="C352">
        <v>0</v>
      </c>
      <c r="D352">
        <v>1</v>
      </c>
      <c r="E352">
        <v>0</v>
      </c>
      <c r="F352">
        <v>0</v>
      </c>
      <c r="G352">
        <v>0</v>
      </c>
      <c r="H352">
        <v>0</v>
      </c>
      <c r="I352">
        <v>0</v>
      </c>
      <c r="J352">
        <v>0</v>
      </c>
      <c r="K352">
        <v>0</v>
      </c>
    </row>
    <row r="353" spans="1:11">
      <c r="A353" t="s">
        <v>281</v>
      </c>
      <c r="B353">
        <v>0</v>
      </c>
      <c r="C353">
        <v>0</v>
      </c>
      <c r="D353">
        <v>0</v>
      </c>
      <c r="E353">
        <v>0</v>
      </c>
      <c r="F353">
        <v>0</v>
      </c>
      <c r="G353">
        <v>0</v>
      </c>
      <c r="H353">
        <v>0</v>
      </c>
      <c r="I353">
        <v>0</v>
      </c>
      <c r="J353">
        <v>0</v>
      </c>
      <c r="K353">
        <v>0</v>
      </c>
    </row>
    <row r="354" spans="1:11">
      <c r="A354" t="s">
        <v>282</v>
      </c>
      <c r="B354">
        <v>11</v>
      </c>
      <c r="C354">
        <v>0</v>
      </c>
      <c r="D354">
        <v>11</v>
      </c>
      <c r="E354">
        <v>0</v>
      </c>
      <c r="F354">
        <v>0</v>
      </c>
      <c r="G354">
        <v>0</v>
      </c>
      <c r="H354">
        <v>0</v>
      </c>
      <c r="I354">
        <v>0</v>
      </c>
      <c r="J354">
        <v>0</v>
      </c>
      <c r="K354">
        <v>0</v>
      </c>
    </row>
    <row r="355" spans="1:11">
      <c r="A355" t="s">
        <v>1290</v>
      </c>
      <c r="B355">
        <v>0</v>
      </c>
      <c r="C355">
        <v>0</v>
      </c>
      <c r="D355">
        <v>0</v>
      </c>
      <c r="E355">
        <v>0</v>
      </c>
      <c r="F355">
        <v>0</v>
      </c>
      <c r="G355">
        <v>0</v>
      </c>
      <c r="H355">
        <v>0</v>
      </c>
      <c r="I355">
        <v>0</v>
      </c>
      <c r="J355">
        <v>0</v>
      </c>
      <c r="K355">
        <v>0</v>
      </c>
    </row>
    <row r="356" spans="1:11">
      <c r="A356" t="s">
        <v>1291</v>
      </c>
      <c r="B356">
        <v>0</v>
      </c>
      <c r="C356">
        <v>0</v>
      </c>
      <c r="D356">
        <v>0</v>
      </c>
      <c r="E356">
        <v>0</v>
      </c>
      <c r="F356">
        <v>0</v>
      </c>
      <c r="G356">
        <v>0</v>
      </c>
      <c r="H356">
        <v>0</v>
      </c>
      <c r="I356">
        <v>0</v>
      </c>
      <c r="J356">
        <v>0</v>
      </c>
      <c r="K356">
        <v>0</v>
      </c>
    </row>
    <row r="357" spans="1:11">
      <c r="A357" t="s">
        <v>283</v>
      </c>
      <c r="B357">
        <v>0</v>
      </c>
      <c r="C357">
        <v>0</v>
      </c>
      <c r="D357">
        <v>0</v>
      </c>
      <c r="E357">
        <v>0</v>
      </c>
      <c r="F357">
        <v>0</v>
      </c>
      <c r="G357">
        <v>0</v>
      </c>
      <c r="H357">
        <v>0</v>
      </c>
      <c r="I357">
        <v>0</v>
      </c>
      <c r="J357">
        <v>0</v>
      </c>
      <c r="K357">
        <v>0</v>
      </c>
    </row>
    <row r="358" spans="1:11">
      <c r="A358" t="s">
        <v>284</v>
      </c>
      <c r="B358">
        <v>14</v>
      </c>
      <c r="C358">
        <v>0</v>
      </c>
      <c r="D358">
        <v>0</v>
      </c>
      <c r="E358">
        <v>0</v>
      </c>
      <c r="F358">
        <v>0</v>
      </c>
      <c r="G358">
        <v>0</v>
      </c>
      <c r="H358">
        <v>0</v>
      </c>
      <c r="I358">
        <v>14</v>
      </c>
      <c r="J358">
        <v>0</v>
      </c>
      <c r="K358">
        <v>0</v>
      </c>
    </row>
    <row r="359" spans="1:11">
      <c r="A359" t="s">
        <v>652</v>
      </c>
      <c r="B359">
        <v>6</v>
      </c>
      <c r="C359">
        <v>0</v>
      </c>
      <c r="D359">
        <v>0</v>
      </c>
      <c r="E359">
        <v>0</v>
      </c>
      <c r="F359">
        <v>0</v>
      </c>
      <c r="G359">
        <v>0</v>
      </c>
      <c r="H359">
        <v>0</v>
      </c>
      <c r="I359">
        <v>0</v>
      </c>
      <c r="J359">
        <v>0</v>
      </c>
      <c r="K359">
        <v>0</v>
      </c>
    </row>
    <row r="360" spans="1:11">
      <c r="A360" t="s">
        <v>285</v>
      </c>
      <c r="B360">
        <v>0</v>
      </c>
      <c r="C360">
        <v>0</v>
      </c>
      <c r="D360">
        <v>0</v>
      </c>
      <c r="E360">
        <v>0</v>
      </c>
      <c r="F360">
        <v>0</v>
      </c>
      <c r="G360">
        <v>0</v>
      </c>
      <c r="H360">
        <v>0</v>
      </c>
      <c r="I360">
        <v>0</v>
      </c>
      <c r="J360">
        <v>0</v>
      </c>
      <c r="K360">
        <v>0</v>
      </c>
    </row>
    <row r="361" spans="1:11">
      <c r="A361" t="s">
        <v>653</v>
      </c>
      <c r="B361">
        <v>12</v>
      </c>
      <c r="C361">
        <v>0</v>
      </c>
      <c r="D361">
        <v>0</v>
      </c>
      <c r="E361">
        <v>0</v>
      </c>
      <c r="F361">
        <v>0</v>
      </c>
      <c r="G361">
        <v>0</v>
      </c>
      <c r="H361">
        <v>0</v>
      </c>
      <c r="I361">
        <v>0</v>
      </c>
      <c r="J361">
        <v>0</v>
      </c>
      <c r="K361">
        <v>0</v>
      </c>
    </row>
    <row r="362" spans="1:11">
      <c r="A362" t="s">
        <v>286</v>
      </c>
      <c r="B362">
        <v>0</v>
      </c>
      <c r="C362">
        <v>0</v>
      </c>
      <c r="D362">
        <v>0</v>
      </c>
      <c r="E362">
        <v>0</v>
      </c>
      <c r="F362">
        <v>0</v>
      </c>
      <c r="G362">
        <v>0</v>
      </c>
      <c r="H362">
        <v>0</v>
      </c>
      <c r="I362">
        <v>0</v>
      </c>
      <c r="J362">
        <v>0</v>
      </c>
      <c r="K362">
        <v>0</v>
      </c>
    </row>
    <row r="363" spans="1:11">
      <c r="A363" t="s">
        <v>287</v>
      </c>
      <c r="B363">
        <v>1</v>
      </c>
      <c r="C363">
        <v>0</v>
      </c>
      <c r="D363">
        <v>0</v>
      </c>
      <c r="E363">
        <v>0</v>
      </c>
      <c r="F363">
        <v>0</v>
      </c>
      <c r="G363">
        <v>0</v>
      </c>
      <c r="H363">
        <v>0</v>
      </c>
      <c r="I363">
        <v>0</v>
      </c>
      <c r="J363">
        <v>0</v>
      </c>
      <c r="K363">
        <v>0</v>
      </c>
    </row>
    <row r="364" spans="1:11">
      <c r="A364" t="s">
        <v>654</v>
      </c>
      <c r="B364">
        <v>13</v>
      </c>
      <c r="C364">
        <v>0</v>
      </c>
      <c r="D364">
        <v>0</v>
      </c>
      <c r="E364">
        <v>0</v>
      </c>
      <c r="F364">
        <v>0</v>
      </c>
      <c r="G364">
        <v>0</v>
      </c>
      <c r="H364">
        <v>0</v>
      </c>
      <c r="I364">
        <v>0</v>
      </c>
      <c r="J364">
        <v>0</v>
      </c>
      <c r="K364">
        <v>0</v>
      </c>
    </row>
    <row r="365" spans="1:11">
      <c r="A365" t="s">
        <v>288</v>
      </c>
      <c r="B365">
        <v>135</v>
      </c>
      <c r="C365">
        <v>0</v>
      </c>
      <c r="D365">
        <v>34</v>
      </c>
      <c r="E365">
        <v>34</v>
      </c>
      <c r="F365">
        <v>34</v>
      </c>
      <c r="G365">
        <v>0</v>
      </c>
      <c r="H365">
        <v>33</v>
      </c>
      <c r="I365">
        <v>0</v>
      </c>
      <c r="J365">
        <v>0</v>
      </c>
      <c r="K365">
        <v>0</v>
      </c>
    </row>
    <row r="366" spans="1:11">
      <c r="A366" t="s">
        <v>655</v>
      </c>
      <c r="B366">
        <v>11</v>
      </c>
      <c r="C366">
        <v>0</v>
      </c>
      <c r="D366">
        <v>0</v>
      </c>
      <c r="E366">
        <v>0</v>
      </c>
      <c r="F366">
        <v>0</v>
      </c>
      <c r="G366">
        <v>0</v>
      </c>
      <c r="H366">
        <v>0</v>
      </c>
      <c r="I366">
        <v>0</v>
      </c>
      <c r="J366">
        <v>0</v>
      </c>
      <c r="K366">
        <v>0</v>
      </c>
    </row>
    <row r="367" spans="1:11">
      <c r="A367" t="s">
        <v>289</v>
      </c>
      <c r="B367">
        <v>140</v>
      </c>
      <c r="C367">
        <v>0</v>
      </c>
      <c r="D367">
        <v>37</v>
      </c>
      <c r="E367">
        <v>37</v>
      </c>
      <c r="F367">
        <v>0</v>
      </c>
      <c r="G367">
        <v>0</v>
      </c>
      <c r="H367">
        <v>37</v>
      </c>
      <c r="I367">
        <v>29</v>
      </c>
      <c r="J367">
        <v>0</v>
      </c>
      <c r="K367">
        <v>0</v>
      </c>
    </row>
    <row r="368" spans="1:11">
      <c r="A368" t="s">
        <v>290</v>
      </c>
      <c r="B368">
        <v>0</v>
      </c>
      <c r="C368">
        <v>0</v>
      </c>
      <c r="D368">
        <v>0</v>
      </c>
      <c r="E368">
        <v>0</v>
      </c>
      <c r="F368">
        <v>0</v>
      </c>
      <c r="G368">
        <v>0</v>
      </c>
      <c r="H368">
        <v>0</v>
      </c>
      <c r="I368">
        <v>0</v>
      </c>
      <c r="J368">
        <v>0</v>
      </c>
      <c r="K368">
        <v>0</v>
      </c>
    </row>
    <row r="369" spans="1:11">
      <c r="A369" t="s">
        <v>291</v>
      </c>
      <c r="B369">
        <v>64</v>
      </c>
      <c r="C369">
        <v>0</v>
      </c>
      <c r="D369">
        <v>14</v>
      </c>
      <c r="E369">
        <v>14</v>
      </c>
      <c r="F369">
        <v>13</v>
      </c>
      <c r="G369">
        <v>0</v>
      </c>
      <c r="H369">
        <v>13</v>
      </c>
      <c r="I369">
        <v>10</v>
      </c>
      <c r="J369">
        <v>0</v>
      </c>
      <c r="K369">
        <v>0</v>
      </c>
    </row>
    <row r="370" spans="1:11">
      <c r="A370" t="s">
        <v>292</v>
      </c>
      <c r="B370">
        <v>5</v>
      </c>
      <c r="C370">
        <v>0</v>
      </c>
      <c r="D370">
        <v>3</v>
      </c>
      <c r="E370">
        <v>0</v>
      </c>
      <c r="F370">
        <v>0</v>
      </c>
      <c r="G370">
        <v>0</v>
      </c>
      <c r="H370">
        <v>0</v>
      </c>
      <c r="I370">
        <v>2</v>
      </c>
      <c r="J370">
        <v>0</v>
      </c>
      <c r="K370">
        <v>0</v>
      </c>
    </row>
    <row r="371" spans="1:11">
      <c r="A371" t="s">
        <v>1292</v>
      </c>
      <c r="B371">
        <v>0</v>
      </c>
      <c r="C371">
        <v>0</v>
      </c>
      <c r="D371">
        <v>0</v>
      </c>
      <c r="E371">
        <v>0</v>
      </c>
      <c r="F371">
        <v>0</v>
      </c>
      <c r="G371">
        <v>0</v>
      </c>
      <c r="H371">
        <v>0</v>
      </c>
      <c r="I371">
        <v>0</v>
      </c>
      <c r="J371">
        <v>0</v>
      </c>
      <c r="K371">
        <v>0</v>
      </c>
    </row>
    <row r="372" spans="1:11">
      <c r="A372" t="s">
        <v>293</v>
      </c>
      <c r="B372">
        <v>78</v>
      </c>
      <c r="C372">
        <v>0</v>
      </c>
      <c r="D372">
        <v>26</v>
      </c>
      <c r="E372">
        <v>26</v>
      </c>
      <c r="F372">
        <v>26</v>
      </c>
      <c r="G372">
        <v>0</v>
      </c>
      <c r="H372">
        <v>0</v>
      </c>
      <c r="I372">
        <v>0</v>
      </c>
      <c r="J372">
        <v>0</v>
      </c>
      <c r="K372">
        <v>0</v>
      </c>
    </row>
    <row r="373" spans="1:11">
      <c r="A373" t="s">
        <v>656</v>
      </c>
      <c r="B373">
        <v>15</v>
      </c>
      <c r="C373">
        <v>0</v>
      </c>
      <c r="D373">
        <v>15</v>
      </c>
      <c r="E373">
        <v>0</v>
      </c>
      <c r="F373">
        <v>0</v>
      </c>
      <c r="G373">
        <v>0</v>
      </c>
      <c r="H373">
        <v>0</v>
      </c>
      <c r="I373">
        <v>0</v>
      </c>
      <c r="J373">
        <v>0</v>
      </c>
      <c r="K373">
        <v>0</v>
      </c>
    </row>
    <row r="374" spans="1:11">
      <c r="A374" t="s">
        <v>294</v>
      </c>
      <c r="B374">
        <v>71</v>
      </c>
      <c r="C374">
        <v>0</v>
      </c>
      <c r="D374">
        <v>24</v>
      </c>
      <c r="E374">
        <v>24</v>
      </c>
      <c r="F374">
        <v>0</v>
      </c>
      <c r="G374">
        <v>0</v>
      </c>
      <c r="H374">
        <v>23</v>
      </c>
      <c r="I374">
        <v>0</v>
      </c>
      <c r="J374">
        <v>0</v>
      </c>
      <c r="K374">
        <v>0</v>
      </c>
    </row>
    <row r="375" spans="1:11">
      <c r="A375" t="s">
        <v>295</v>
      </c>
      <c r="B375">
        <v>0</v>
      </c>
      <c r="C375">
        <v>0</v>
      </c>
      <c r="D375">
        <v>0</v>
      </c>
      <c r="E375">
        <v>0</v>
      </c>
      <c r="F375">
        <v>0</v>
      </c>
      <c r="G375">
        <v>0</v>
      </c>
      <c r="H375">
        <v>0</v>
      </c>
      <c r="I375">
        <v>0</v>
      </c>
      <c r="J375">
        <v>0</v>
      </c>
      <c r="K375">
        <v>0</v>
      </c>
    </row>
    <row r="376" spans="1:11">
      <c r="A376" t="s">
        <v>657</v>
      </c>
      <c r="B376">
        <v>5</v>
      </c>
      <c r="C376">
        <v>0</v>
      </c>
      <c r="D376">
        <v>0</v>
      </c>
      <c r="E376">
        <v>0</v>
      </c>
      <c r="F376">
        <v>0</v>
      </c>
      <c r="G376">
        <v>0</v>
      </c>
      <c r="H376">
        <v>0</v>
      </c>
      <c r="I376">
        <v>0</v>
      </c>
      <c r="J376">
        <v>0</v>
      </c>
      <c r="K376">
        <v>0</v>
      </c>
    </row>
    <row r="377" spans="1:11">
      <c r="A377" t="s">
        <v>296</v>
      </c>
      <c r="B377">
        <v>0</v>
      </c>
      <c r="C377">
        <v>0</v>
      </c>
      <c r="D377">
        <v>0</v>
      </c>
      <c r="E377">
        <v>0</v>
      </c>
      <c r="F377">
        <v>0</v>
      </c>
      <c r="G377">
        <v>0</v>
      </c>
      <c r="H377">
        <v>0</v>
      </c>
      <c r="I377">
        <v>0</v>
      </c>
      <c r="J377">
        <v>0</v>
      </c>
      <c r="K377">
        <v>0</v>
      </c>
    </row>
    <row r="378" spans="1:11">
      <c r="A378" t="s">
        <v>1458</v>
      </c>
      <c r="C378">
        <v>0</v>
      </c>
      <c r="D378">
        <v>0</v>
      </c>
      <c r="E378">
        <v>0</v>
      </c>
      <c r="F378">
        <v>0</v>
      </c>
      <c r="G378">
        <v>0</v>
      </c>
      <c r="H378">
        <v>0</v>
      </c>
      <c r="I378">
        <v>0</v>
      </c>
      <c r="J378">
        <v>0</v>
      </c>
      <c r="K378">
        <v>0</v>
      </c>
    </row>
    <row r="379" spans="1:11">
      <c r="A379" t="s">
        <v>1458</v>
      </c>
      <c r="B379">
        <v>0</v>
      </c>
      <c r="C379">
        <v>0</v>
      </c>
      <c r="D379">
        <v>0</v>
      </c>
      <c r="E379">
        <v>0</v>
      </c>
      <c r="F379">
        <v>0</v>
      </c>
      <c r="G379">
        <v>0</v>
      </c>
      <c r="H379">
        <v>0</v>
      </c>
      <c r="I379">
        <v>0</v>
      </c>
      <c r="J379">
        <v>0</v>
      </c>
      <c r="K379">
        <v>0</v>
      </c>
    </row>
    <row r="380" spans="1:11">
      <c r="A380" t="s">
        <v>297</v>
      </c>
      <c r="B380">
        <v>263</v>
      </c>
      <c r="C380">
        <v>0</v>
      </c>
      <c r="D380">
        <v>56</v>
      </c>
      <c r="E380">
        <v>55</v>
      </c>
      <c r="F380">
        <v>55</v>
      </c>
      <c r="G380">
        <v>0</v>
      </c>
      <c r="H380">
        <v>55</v>
      </c>
      <c r="I380">
        <v>42</v>
      </c>
      <c r="J380">
        <v>0</v>
      </c>
      <c r="K380">
        <v>0</v>
      </c>
    </row>
    <row r="381" spans="1:11">
      <c r="A381" t="s">
        <v>298</v>
      </c>
      <c r="B381">
        <v>0</v>
      </c>
      <c r="C381">
        <v>0</v>
      </c>
      <c r="D381">
        <v>0</v>
      </c>
      <c r="E381">
        <v>0</v>
      </c>
      <c r="F381">
        <v>0</v>
      </c>
      <c r="G381">
        <v>0</v>
      </c>
      <c r="H381">
        <v>0</v>
      </c>
      <c r="I381">
        <v>0</v>
      </c>
      <c r="J381">
        <v>0</v>
      </c>
      <c r="K381">
        <v>0</v>
      </c>
    </row>
    <row r="382" spans="1:11">
      <c r="A382" t="s">
        <v>299</v>
      </c>
      <c r="B382">
        <v>3</v>
      </c>
      <c r="C382">
        <v>0</v>
      </c>
      <c r="D382">
        <v>1</v>
      </c>
      <c r="E382">
        <v>1</v>
      </c>
      <c r="F382">
        <v>1</v>
      </c>
      <c r="G382">
        <v>0</v>
      </c>
      <c r="H382">
        <v>0</v>
      </c>
      <c r="I382">
        <v>0</v>
      </c>
      <c r="J382">
        <v>0</v>
      </c>
      <c r="K382">
        <v>0</v>
      </c>
    </row>
    <row r="383" spans="1:11">
      <c r="A383" t="s">
        <v>658</v>
      </c>
      <c r="B383">
        <v>3</v>
      </c>
      <c r="C383">
        <v>0</v>
      </c>
      <c r="D383">
        <v>0</v>
      </c>
      <c r="E383">
        <v>0</v>
      </c>
      <c r="F383">
        <v>0</v>
      </c>
      <c r="G383">
        <v>0</v>
      </c>
      <c r="H383">
        <v>2</v>
      </c>
      <c r="I383">
        <v>1</v>
      </c>
      <c r="J383">
        <v>0</v>
      </c>
      <c r="K383">
        <v>0</v>
      </c>
    </row>
    <row r="384" spans="1:11">
      <c r="A384" t="s">
        <v>300</v>
      </c>
      <c r="B384">
        <v>0</v>
      </c>
      <c r="C384">
        <v>0</v>
      </c>
      <c r="D384">
        <v>0</v>
      </c>
      <c r="E384">
        <v>0</v>
      </c>
      <c r="F384">
        <v>0</v>
      </c>
      <c r="G384">
        <v>0</v>
      </c>
      <c r="H384">
        <v>0</v>
      </c>
      <c r="I384">
        <v>0</v>
      </c>
      <c r="J384">
        <v>0</v>
      </c>
      <c r="K384">
        <v>0</v>
      </c>
    </row>
    <row r="385" spans="1:11">
      <c r="A385" t="s">
        <v>301</v>
      </c>
      <c r="B385">
        <v>83</v>
      </c>
      <c r="C385">
        <v>0</v>
      </c>
      <c r="D385">
        <v>21</v>
      </c>
      <c r="E385">
        <v>21</v>
      </c>
      <c r="F385">
        <v>21</v>
      </c>
      <c r="G385">
        <v>0</v>
      </c>
      <c r="H385">
        <v>20</v>
      </c>
      <c r="I385">
        <v>0</v>
      </c>
      <c r="J385">
        <v>0</v>
      </c>
      <c r="K385">
        <v>0</v>
      </c>
    </row>
    <row r="386" spans="1:11">
      <c r="A386" t="s">
        <v>302</v>
      </c>
      <c r="B386">
        <v>0</v>
      </c>
      <c r="C386">
        <v>0</v>
      </c>
      <c r="D386">
        <v>0</v>
      </c>
      <c r="E386">
        <v>0</v>
      </c>
      <c r="F386">
        <v>0</v>
      </c>
      <c r="G386">
        <v>0</v>
      </c>
      <c r="H386">
        <v>0</v>
      </c>
      <c r="I386">
        <v>0</v>
      </c>
      <c r="J386">
        <v>0</v>
      </c>
      <c r="K386">
        <v>0</v>
      </c>
    </row>
    <row r="387" spans="1:11">
      <c r="A387" t="s">
        <v>303</v>
      </c>
      <c r="B387">
        <v>54</v>
      </c>
      <c r="C387">
        <v>0</v>
      </c>
      <c r="D387">
        <v>12</v>
      </c>
      <c r="E387">
        <v>11</v>
      </c>
      <c r="F387">
        <v>11</v>
      </c>
      <c r="G387">
        <v>0</v>
      </c>
      <c r="H387">
        <v>11</v>
      </c>
      <c r="I387">
        <v>9</v>
      </c>
      <c r="J387">
        <v>0</v>
      </c>
      <c r="K387">
        <v>0</v>
      </c>
    </row>
    <row r="388" spans="1:11">
      <c r="A388" t="s">
        <v>304</v>
      </c>
      <c r="B388">
        <v>38</v>
      </c>
      <c r="C388">
        <v>0</v>
      </c>
      <c r="D388">
        <v>8</v>
      </c>
      <c r="E388">
        <v>8</v>
      </c>
      <c r="F388">
        <v>8</v>
      </c>
      <c r="G388">
        <v>0</v>
      </c>
      <c r="H388">
        <v>8</v>
      </c>
      <c r="I388">
        <v>6</v>
      </c>
      <c r="J388">
        <v>0</v>
      </c>
      <c r="K388">
        <v>0</v>
      </c>
    </row>
    <row r="389" spans="1:11">
      <c r="A389" t="s">
        <v>305</v>
      </c>
      <c r="B389">
        <v>66</v>
      </c>
      <c r="C389">
        <v>0</v>
      </c>
      <c r="D389">
        <v>18</v>
      </c>
      <c r="E389">
        <v>17</v>
      </c>
      <c r="F389">
        <v>0</v>
      </c>
      <c r="G389">
        <v>0</v>
      </c>
      <c r="H389">
        <v>17</v>
      </c>
      <c r="I389">
        <v>14</v>
      </c>
      <c r="J389">
        <v>0</v>
      </c>
      <c r="K389">
        <v>0</v>
      </c>
    </row>
    <row r="390" spans="1:11">
      <c r="A390" t="s">
        <v>306</v>
      </c>
      <c r="B390">
        <v>0</v>
      </c>
      <c r="C390">
        <v>0</v>
      </c>
      <c r="D390">
        <v>0</v>
      </c>
      <c r="E390">
        <v>0</v>
      </c>
      <c r="F390">
        <v>0</v>
      </c>
      <c r="G390">
        <v>0</v>
      </c>
      <c r="H390">
        <v>0</v>
      </c>
      <c r="I390">
        <v>0</v>
      </c>
      <c r="J390">
        <v>0</v>
      </c>
      <c r="K390">
        <v>0</v>
      </c>
    </row>
    <row r="391" spans="1:11">
      <c r="A391" t="s">
        <v>307</v>
      </c>
      <c r="B391">
        <v>101</v>
      </c>
      <c r="C391">
        <v>0</v>
      </c>
      <c r="D391">
        <v>27</v>
      </c>
      <c r="E391">
        <v>27</v>
      </c>
      <c r="F391">
        <v>0</v>
      </c>
      <c r="G391">
        <v>0</v>
      </c>
      <c r="H391">
        <v>26</v>
      </c>
      <c r="I391">
        <v>21</v>
      </c>
      <c r="J391">
        <v>0</v>
      </c>
      <c r="K391">
        <v>0</v>
      </c>
    </row>
    <row r="392" spans="1:11">
      <c r="A392" t="s">
        <v>308</v>
      </c>
      <c r="B392">
        <v>0</v>
      </c>
      <c r="C392">
        <v>0</v>
      </c>
      <c r="D392">
        <v>0</v>
      </c>
      <c r="E392">
        <v>0</v>
      </c>
      <c r="F392">
        <v>0</v>
      </c>
      <c r="G392">
        <v>0</v>
      </c>
      <c r="H392">
        <v>0</v>
      </c>
      <c r="I392">
        <v>0</v>
      </c>
      <c r="J392">
        <v>0</v>
      </c>
      <c r="K392">
        <v>0</v>
      </c>
    </row>
    <row r="393" spans="1:11">
      <c r="A393" t="s">
        <v>309</v>
      </c>
      <c r="B393">
        <v>65</v>
      </c>
      <c r="C393">
        <v>0</v>
      </c>
      <c r="D393">
        <v>14</v>
      </c>
      <c r="E393">
        <v>14</v>
      </c>
      <c r="F393">
        <v>14</v>
      </c>
      <c r="G393">
        <v>0</v>
      </c>
      <c r="H393">
        <v>13</v>
      </c>
      <c r="I393">
        <v>10</v>
      </c>
      <c r="J393">
        <v>0</v>
      </c>
      <c r="K393">
        <v>0</v>
      </c>
    </row>
    <row r="394" spans="1:11">
      <c r="A394" t="s">
        <v>310</v>
      </c>
      <c r="B394">
        <v>0</v>
      </c>
      <c r="C394">
        <v>0</v>
      </c>
      <c r="D394">
        <v>0</v>
      </c>
      <c r="E394">
        <v>0</v>
      </c>
      <c r="F394">
        <v>0</v>
      </c>
      <c r="G394">
        <v>0</v>
      </c>
      <c r="H394">
        <v>0</v>
      </c>
      <c r="I394">
        <v>0</v>
      </c>
      <c r="J394">
        <v>0</v>
      </c>
      <c r="K394">
        <v>0</v>
      </c>
    </row>
    <row r="395" spans="1:11">
      <c r="A395" t="s">
        <v>311</v>
      </c>
      <c r="B395">
        <v>134</v>
      </c>
      <c r="C395">
        <v>0</v>
      </c>
      <c r="D395">
        <v>29</v>
      </c>
      <c r="E395">
        <v>28</v>
      </c>
      <c r="F395">
        <v>28</v>
      </c>
      <c r="G395">
        <v>0</v>
      </c>
      <c r="H395">
        <v>28</v>
      </c>
      <c r="I395">
        <v>21</v>
      </c>
      <c r="J395">
        <v>0</v>
      </c>
      <c r="K395">
        <v>0</v>
      </c>
    </row>
    <row r="396" spans="1:11">
      <c r="A396" t="s">
        <v>312</v>
      </c>
      <c r="B396">
        <v>0</v>
      </c>
      <c r="C396">
        <v>0</v>
      </c>
      <c r="D396">
        <v>0</v>
      </c>
      <c r="E396">
        <v>0</v>
      </c>
      <c r="F396">
        <v>0</v>
      </c>
      <c r="G396">
        <v>0</v>
      </c>
      <c r="H396">
        <v>0</v>
      </c>
      <c r="I396">
        <v>0</v>
      </c>
      <c r="J396">
        <v>0</v>
      </c>
      <c r="K396">
        <v>0</v>
      </c>
    </row>
    <row r="397" spans="1:11">
      <c r="A397" t="s">
        <v>313</v>
      </c>
      <c r="B397">
        <v>6</v>
      </c>
      <c r="C397">
        <v>0</v>
      </c>
      <c r="D397">
        <v>2</v>
      </c>
      <c r="E397">
        <v>2</v>
      </c>
      <c r="F397">
        <v>1</v>
      </c>
      <c r="G397">
        <v>0</v>
      </c>
      <c r="H397">
        <v>0</v>
      </c>
      <c r="I397">
        <v>1</v>
      </c>
      <c r="J397">
        <v>0</v>
      </c>
      <c r="K397">
        <v>0</v>
      </c>
    </row>
    <row r="398" spans="1:11">
      <c r="A398" t="s">
        <v>314</v>
      </c>
      <c r="B398">
        <v>29</v>
      </c>
      <c r="C398">
        <v>0</v>
      </c>
      <c r="D398">
        <v>8</v>
      </c>
      <c r="E398">
        <v>8</v>
      </c>
      <c r="F398">
        <v>0</v>
      </c>
      <c r="G398">
        <v>0</v>
      </c>
      <c r="H398">
        <v>7</v>
      </c>
      <c r="I398">
        <v>6</v>
      </c>
      <c r="J398">
        <v>0</v>
      </c>
      <c r="K398">
        <v>0</v>
      </c>
    </row>
    <row r="399" spans="1:11">
      <c r="A399" t="s">
        <v>315</v>
      </c>
      <c r="B399">
        <v>0</v>
      </c>
      <c r="C399">
        <v>0</v>
      </c>
      <c r="D399">
        <v>0</v>
      </c>
      <c r="E399">
        <v>0</v>
      </c>
      <c r="F399">
        <v>0</v>
      </c>
      <c r="G399">
        <v>0</v>
      </c>
      <c r="H399">
        <v>0</v>
      </c>
      <c r="I399">
        <v>0</v>
      </c>
      <c r="J399">
        <v>0</v>
      </c>
      <c r="K399">
        <v>0</v>
      </c>
    </row>
    <row r="400" spans="1:11">
      <c r="A400" t="s">
        <v>316</v>
      </c>
      <c r="B400">
        <v>26</v>
      </c>
      <c r="C400">
        <v>0</v>
      </c>
      <c r="D400">
        <v>9</v>
      </c>
      <c r="E400">
        <v>9</v>
      </c>
      <c r="F400">
        <v>0</v>
      </c>
      <c r="G400">
        <v>0</v>
      </c>
      <c r="H400">
        <v>0</v>
      </c>
      <c r="I400">
        <v>8</v>
      </c>
      <c r="J400">
        <v>0</v>
      </c>
      <c r="K400">
        <v>0</v>
      </c>
    </row>
    <row r="401" spans="1:11">
      <c r="A401" t="s">
        <v>317</v>
      </c>
      <c r="B401">
        <v>10</v>
      </c>
      <c r="C401">
        <v>0</v>
      </c>
      <c r="D401">
        <v>0</v>
      </c>
      <c r="E401">
        <v>0</v>
      </c>
      <c r="F401">
        <v>0</v>
      </c>
      <c r="G401">
        <v>0</v>
      </c>
      <c r="H401">
        <v>0</v>
      </c>
      <c r="I401">
        <v>0</v>
      </c>
      <c r="J401">
        <v>0</v>
      </c>
      <c r="K401">
        <v>0</v>
      </c>
    </row>
    <row r="402" spans="1:11">
      <c r="A402" t="s">
        <v>318</v>
      </c>
      <c r="B402">
        <v>78</v>
      </c>
      <c r="C402">
        <v>0</v>
      </c>
      <c r="D402">
        <v>17</v>
      </c>
      <c r="E402">
        <v>17</v>
      </c>
      <c r="F402">
        <v>16</v>
      </c>
      <c r="G402">
        <v>0</v>
      </c>
      <c r="H402">
        <v>16</v>
      </c>
      <c r="I402">
        <v>12</v>
      </c>
      <c r="J402">
        <v>0</v>
      </c>
      <c r="K402">
        <v>0</v>
      </c>
    </row>
    <row r="403" spans="1:11">
      <c r="A403" t="s">
        <v>319</v>
      </c>
      <c r="B403">
        <v>61</v>
      </c>
      <c r="C403">
        <v>0</v>
      </c>
      <c r="D403">
        <v>21</v>
      </c>
      <c r="E403">
        <v>20</v>
      </c>
      <c r="F403">
        <v>0</v>
      </c>
      <c r="G403">
        <v>0</v>
      </c>
      <c r="H403">
        <v>20</v>
      </c>
      <c r="I403">
        <v>0</v>
      </c>
      <c r="J403">
        <v>0</v>
      </c>
      <c r="K403">
        <v>0</v>
      </c>
    </row>
    <row r="404" spans="1:11">
      <c r="A404" t="s">
        <v>320</v>
      </c>
      <c r="B404">
        <v>1</v>
      </c>
      <c r="C404">
        <v>0</v>
      </c>
      <c r="D404">
        <v>1</v>
      </c>
      <c r="E404">
        <v>0</v>
      </c>
      <c r="F404">
        <v>0</v>
      </c>
      <c r="G404">
        <v>0</v>
      </c>
      <c r="H404">
        <v>0</v>
      </c>
      <c r="I404">
        <v>0</v>
      </c>
      <c r="J404">
        <v>0</v>
      </c>
      <c r="K404">
        <v>0</v>
      </c>
    </row>
    <row r="405" spans="1:11">
      <c r="A405" t="s">
        <v>1293</v>
      </c>
      <c r="B405">
        <v>0</v>
      </c>
      <c r="C405">
        <v>0</v>
      </c>
      <c r="D405">
        <v>0</v>
      </c>
      <c r="E405">
        <v>0</v>
      </c>
      <c r="F405">
        <v>0</v>
      </c>
      <c r="G405">
        <v>0</v>
      </c>
      <c r="H405">
        <v>0</v>
      </c>
      <c r="I405">
        <v>0</v>
      </c>
      <c r="J405">
        <v>0</v>
      </c>
      <c r="K405">
        <v>0</v>
      </c>
    </row>
    <row r="406" spans="1:11">
      <c r="A406" t="s">
        <v>321</v>
      </c>
      <c r="B406">
        <v>0</v>
      </c>
      <c r="C406">
        <v>0</v>
      </c>
      <c r="D406">
        <v>0</v>
      </c>
      <c r="E406">
        <v>0</v>
      </c>
      <c r="F406">
        <v>0</v>
      </c>
      <c r="G406">
        <v>0</v>
      </c>
      <c r="H406">
        <v>0</v>
      </c>
      <c r="I406">
        <v>0</v>
      </c>
      <c r="J406">
        <v>0</v>
      </c>
      <c r="K406">
        <v>0</v>
      </c>
    </row>
    <row r="407" spans="1:11">
      <c r="A407" t="s">
        <v>322</v>
      </c>
      <c r="B407">
        <v>1</v>
      </c>
      <c r="C407">
        <v>0</v>
      </c>
      <c r="D407">
        <v>1</v>
      </c>
      <c r="E407">
        <v>0</v>
      </c>
      <c r="F407">
        <v>0</v>
      </c>
      <c r="G407">
        <v>0</v>
      </c>
      <c r="H407">
        <v>0</v>
      </c>
      <c r="I407">
        <v>0</v>
      </c>
      <c r="J407">
        <v>0</v>
      </c>
      <c r="K407">
        <v>0</v>
      </c>
    </row>
    <row r="408" spans="1:11">
      <c r="A408" t="s">
        <v>323</v>
      </c>
      <c r="B408">
        <v>30</v>
      </c>
      <c r="C408">
        <v>0</v>
      </c>
      <c r="D408">
        <v>7</v>
      </c>
      <c r="E408">
        <v>6</v>
      </c>
      <c r="F408">
        <v>6</v>
      </c>
      <c r="G408">
        <v>0</v>
      </c>
      <c r="H408">
        <v>6</v>
      </c>
      <c r="I408">
        <v>5</v>
      </c>
      <c r="J408">
        <v>0</v>
      </c>
      <c r="K408">
        <v>0</v>
      </c>
    </row>
    <row r="409" spans="1:11">
      <c r="A409" t="s">
        <v>324</v>
      </c>
      <c r="B409">
        <v>5</v>
      </c>
      <c r="C409">
        <v>0</v>
      </c>
      <c r="D409">
        <v>0</v>
      </c>
      <c r="E409">
        <v>2</v>
      </c>
      <c r="F409">
        <v>0</v>
      </c>
      <c r="G409">
        <v>0</v>
      </c>
      <c r="H409">
        <v>2</v>
      </c>
      <c r="I409">
        <v>1</v>
      </c>
      <c r="J409">
        <v>0</v>
      </c>
      <c r="K409">
        <v>0</v>
      </c>
    </row>
    <row r="410" spans="1:11">
      <c r="A410" t="s">
        <v>325</v>
      </c>
      <c r="B410">
        <v>73</v>
      </c>
      <c r="C410">
        <v>0</v>
      </c>
      <c r="D410">
        <v>16</v>
      </c>
      <c r="E410">
        <v>16</v>
      </c>
      <c r="F410">
        <v>15</v>
      </c>
      <c r="G410">
        <v>0</v>
      </c>
      <c r="H410">
        <v>15</v>
      </c>
      <c r="I410">
        <v>11</v>
      </c>
      <c r="J410">
        <v>0</v>
      </c>
      <c r="K410">
        <v>0</v>
      </c>
    </row>
    <row r="411" spans="1:11">
      <c r="A411" t="s">
        <v>326</v>
      </c>
      <c r="B411">
        <v>7</v>
      </c>
      <c r="C411">
        <v>0</v>
      </c>
      <c r="D411">
        <v>0</v>
      </c>
      <c r="E411">
        <v>0</v>
      </c>
      <c r="F411">
        <v>0</v>
      </c>
      <c r="G411">
        <v>0</v>
      </c>
      <c r="H411">
        <v>4</v>
      </c>
      <c r="I411">
        <v>3</v>
      </c>
      <c r="J411">
        <v>0</v>
      </c>
      <c r="K411">
        <v>0</v>
      </c>
    </row>
    <row r="412" spans="1:11">
      <c r="A412" t="s">
        <v>327</v>
      </c>
      <c r="B412">
        <v>55</v>
      </c>
      <c r="C412">
        <v>0</v>
      </c>
      <c r="D412">
        <v>12</v>
      </c>
      <c r="E412">
        <v>12</v>
      </c>
      <c r="F412">
        <v>11</v>
      </c>
      <c r="G412">
        <v>0</v>
      </c>
      <c r="H412">
        <v>11</v>
      </c>
      <c r="I412">
        <v>9</v>
      </c>
      <c r="J412">
        <v>0</v>
      </c>
      <c r="K412">
        <v>0</v>
      </c>
    </row>
    <row r="413" spans="1:11">
      <c r="A413" t="s">
        <v>328</v>
      </c>
      <c r="B413">
        <v>187</v>
      </c>
      <c r="C413">
        <v>0</v>
      </c>
      <c r="D413">
        <v>49</v>
      </c>
      <c r="E413">
        <v>49</v>
      </c>
      <c r="F413">
        <v>0</v>
      </c>
      <c r="G413">
        <v>0</v>
      </c>
      <c r="H413">
        <v>49</v>
      </c>
      <c r="I413">
        <v>40</v>
      </c>
      <c r="J413">
        <v>0</v>
      </c>
      <c r="K413">
        <v>0</v>
      </c>
    </row>
    <row r="414" spans="1:11">
      <c r="A414" t="s">
        <v>659</v>
      </c>
      <c r="B414">
        <v>3</v>
      </c>
      <c r="C414">
        <v>0</v>
      </c>
      <c r="D414">
        <v>0</v>
      </c>
      <c r="E414">
        <v>0</v>
      </c>
      <c r="F414">
        <v>0</v>
      </c>
      <c r="G414">
        <v>0</v>
      </c>
      <c r="H414">
        <v>2</v>
      </c>
      <c r="I414">
        <v>1</v>
      </c>
      <c r="J414">
        <v>0</v>
      </c>
      <c r="K414">
        <v>0</v>
      </c>
    </row>
    <row r="415" spans="1:11">
      <c r="A415" t="s">
        <v>329</v>
      </c>
      <c r="B415">
        <v>0</v>
      </c>
      <c r="C415">
        <v>0</v>
      </c>
      <c r="D415">
        <v>0</v>
      </c>
      <c r="E415">
        <v>0</v>
      </c>
      <c r="F415">
        <v>0</v>
      </c>
      <c r="G415">
        <v>0</v>
      </c>
      <c r="H415">
        <v>0</v>
      </c>
      <c r="I415">
        <v>0</v>
      </c>
      <c r="J415">
        <v>0</v>
      </c>
      <c r="K415">
        <v>0</v>
      </c>
    </row>
    <row r="416" spans="1:11">
      <c r="A416" t="s">
        <v>330</v>
      </c>
      <c r="B416">
        <v>11</v>
      </c>
      <c r="C416">
        <v>0</v>
      </c>
      <c r="D416">
        <v>11</v>
      </c>
      <c r="E416">
        <v>0</v>
      </c>
      <c r="F416">
        <v>0</v>
      </c>
      <c r="G416">
        <v>0</v>
      </c>
      <c r="H416">
        <v>0</v>
      </c>
      <c r="I416">
        <v>0</v>
      </c>
      <c r="J416">
        <v>0</v>
      </c>
      <c r="K416">
        <v>0</v>
      </c>
    </row>
    <row r="417" spans="1:11">
      <c r="A417" t="s">
        <v>331</v>
      </c>
      <c r="B417">
        <v>7</v>
      </c>
      <c r="C417">
        <v>0</v>
      </c>
      <c r="D417">
        <v>2</v>
      </c>
      <c r="E417">
        <v>0</v>
      </c>
      <c r="F417">
        <v>2</v>
      </c>
      <c r="G417">
        <v>0</v>
      </c>
      <c r="H417">
        <v>2</v>
      </c>
      <c r="I417">
        <v>1</v>
      </c>
      <c r="J417">
        <v>0</v>
      </c>
      <c r="K417">
        <v>0</v>
      </c>
    </row>
    <row r="418" spans="1:11">
      <c r="A418" t="s">
        <v>332</v>
      </c>
      <c r="B418">
        <v>3</v>
      </c>
      <c r="C418">
        <v>0</v>
      </c>
      <c r="D418">
        <v>0</v>
      </c>
      <c r="E418">
        <v>0</v>
      </c>
      <c r="F418">
        <v>0</v>
      </c>
      <c r="G418">
        <v>0</v>
      </c>
      <c r="H418">
        <v>2</v>
      </c>
      <c r="I418">
        <v>1</v>
      </c>
      <c r="J418">
        <v>0</v>
      </c>
      <c r="K418">
        <v>0</v>
      </c>
    </row>
    <row r="419" spans="1:11">
      <c r="A419" t="s">
        <v>333</v>
      </c>
      <c r="B419">
        <v>8</v>
      </c>
      <c r="C419">
        <v>0</v>
      </c>
      <c r="D419">
        <v>4</v>
      </c>
      <c r="E419">
        <v>4</v>
      </c>
      <c r="F419">
        <v>0</v>
      </c>
      <c r="G419">
        <v>0</v>
      </c>
      <c r="H419">
        <v>0</v>
      </c>
      <c r="I419">
        <v>0</v>
      </c>
      <c r="J419">
        <v>0</v>
      </c>
      <c r="K419">
        <v>0</v>
      </c>
    </row>
    <row r="420" spans="1:11">
      <c r="A420" t="s">
        <v>334</v>
      </c>
      <c r="B420">
        <v>4</v>
      </c>
      <c r="C420">
        <v>0</v>
      </c>
      <c r="D420">
        <v>1</v>
      </c>
      <c r="E420">
        <v>0</v>
      </c>
      <c r="F420">
        <v>1</v>
      </c>
      <c r="G420">
        <v>0</v>
      </c>
      <c r="H420">
        <v>1</v>
      </c>
      <c r="I420">
        <v>1</v>
      </c>
      <c r="J420">
        <v>0</v>
      </c>
      <c r="K420">
        <v>0</v>
      </c>
    </row>
    <row r="421" spans="1:11">
      <c r="A421" t="s">
        <v>335</v>
      </c>
      <c r="B421">
        <v>1</v>
      </c>
      <c r="C421">
        <v>0</v>
      </c>
      <c r="D421">
        <v>0</v>
      </c>
      <c r="E421">
        <v>0</v>
      </c>
      <c r="F421">
        <v>0</v>
      </c>
      <c r="G421">
        <v>0</v>
      </c>
      <c r="H421">
        <v>1</v>
      </c>
      <c r="I421">
        <v>0</v>
      </c>
      <c r="J421">
        <v>0</v>
      </c>
      <c r="K421">
        <v>0</v>
      </c>
    </row>
    <row r="422" spans="1:11">
      <c r="A422" t="s">
        <v>336</v>
      </c>
      <c r="B422">
        <v>0</v>
      </c>
      <c r="C422">
        <v>0</v>
      </c>
      <c r="D422">
        <v>0</v>
      </c>
      <c r="E422">
        <v>0</v>
      </c>
      <c r="F422">
        <v>0</v>
      </c>
      <c r="G422">
        <v>0</v>
      </c>
      <c r="H422">
        <v>0</v>
      </c>
      <c r="I422">
        <v>0</v>
      </c>
      <c r="J422">
        <v>0</v>
      </c>
      <c r="K422">
        <v>0</v>
      </c>
    </row>
    <row r="423" spans="1:11">
      <c r="A423" t="s">
        <v>337</v>
      </c>
      <c r="B423">
        <v>107</v>
      </c>
      <c r="C423">
        <v>0</v>
      </c>
      <c r="D423">
        <v>28</v>
      </c>
      <c r="E423">
        <v>28</v>
      </c>
      <c r="F423">
        <v>0</v>
      </c>
      <c r="G423">
        <v>0</v>
      </c>
      <c r="H423">
        <v>28</v>
      </c>
      <c r="I423">
        <v>23</v>
      </c>
      <c r="J423">
        <v>0</v>
      </c>
      <c r="K423">
        <v>0</v>
      </c>
    </row>
    <row r="424" spans="1:11">
      <c r="A424" t="s">
        <v>338</v>
      </c>
      <c r="B424">
        <v>131</v>
      </c>
      <c r="C424">
        <v>0</v>
      </c>
      <c r="D424">
        <v>28</v>
      </c>
      <c r="E424">
        <v>28</v>
      </c>
      <c r="F424">
        <v>27</v>
      </c>
      <c r="G424">
        <v>0</v>
      </c>
      <c r="H424">
        <v>27</v>
      </c>
      <c r="I424">
        <v>21</v>
      </c>
      <c r="J424">
        <v>0</v>
      </c>
      <c r="K424">
        <v>0</v>
      </c>
    </row>
    <row r="425" spans="1:11">
      <c r="A425" t="s">
        <v>339</v>
      </c>
      <c r="B425">
        <v>0</v>
      </c>
      <c r="C425">
        <v>0</v>
      </c>
      <c r="D425">
        <v>0</v>
      </c>
      <c r="E425">
        <v>0</v>
      </c>
      <c r="F425">
        <v>0</v>
      </c>
      <c r="G425">
        <v>0</v>
      </c>
      <c r="H425">
        <v>0</v>
      </c>
      <c r="I425">
        <v>0</v>
      </c>
      <c r="J425">
        <v>0</v>
      </c>
      <c r="K425">
        <v>0</v>
      </c>
    </row>
    <row r="426" spans="1:11">
      <c r="A426" t="s">
        <v>340</v>
      </c>
      <c r="B426">
        <v>1</v>
      </c>
      <c r="C426">
        <v>0</v>
      </c>
      <c r="D426">
        <v>0</v>
      </c>
      <c r="E426">
        <v>0</v>
      </c>
      <c r="F426">
        <v>0</v>
      </c>
      <c r="G426">
        <v>0</v>
      </c>
      <c r="H426">
        <v>1</v>
      </c>
      <c r="I426">
        <v>0</v>
      </c>
      <c r="J426">
        <v>0</v>
      </c>
      <c r="K426">
        <v>0</v>
      </c>
    </row>
    <row r="427" spans="1:11">
      <c r="A427" t="s">
        <v>341</v>
      </c>
      <c r="B427">
        <v>5</v>
      </c>
      <c r="C427">
        <v>0</v>
      </c>
      <c r="D427">
        <v>0</v>
      </c>
      <c r="E427">
        <v>0</v>
      </c>
      <c r="F427">
        <v>0</v>
      </c>
      <c r="G427">
        <v>0</v>
      </c>
      <c r="H427">
        <v>3</v>
      </c>
      <c r="I427">
        <v>2</v>
      </c>
      <c r="J427">
        <v>0</v>
      </c>
      <c r="K427">
        <v>0</v>
      </c>
    </row>
    <row r="428" spans="1:11">
      <c r="A428" t="s">
        <v>342</v>
      </c>
      <c r="B428">
        <v>61</v>
      </c>
      <c r="C428">
        <v>0</v>
      </c>
      <c r="D428">
        <v>13</v>
      </c>
      <c r="E428">
        <v>13</v>
      </c>
      <c r="F428">
        <v>13</v>
      </c>
      <c r="G428">
        <v>0</v>
      </c>
      <c r="H428">
        <v>13</v>
      </c>
      <c r="I428">
        <v>9</v>
      </c>
      <c r="J428">
        <v>0</v>
      </c>
      <c r="K428">
        <v>0</v>
      </c>
    </row>
    <row r="429" spans="1:11">
      <c r="A429" t="s">
        <v>343</v>
      </c>
      <c r="B429">
        <v>2</v>
      </c>
      <c r="C429">
        <v>0</v>
      </c>
      <c r="D429">
        <v>0</v>
      </c>
      <c r="E429">
        <v>0</v>
      </c>
      <c r="F429">
        <v>2</v>
      </c>
      <c r="G429">
        <v>0</v>
      </c>
      <c r="H429">
        <v>0</v>
      </c>
      <c r="I429">
        <v>0</v>
      </c>
      <c r="J429">
        <v>0</v>
      </c>
      <c r="K429">
        <v>0</v>
      </c>
    </row>
    <row r="430" spans="1:11">
      <c r="A430" t="s">
        <v>344</v>
      </c>
      <c r="B430">
        <v>0</v>
      </c>
      <c r="C430">
        <v>0</v>
      </c>
      <c r="D430">
        <v>0</v>
      </c>
      <c r="E430">
        <v>0</v>
      </c>
      <c r="F430">
        <v>0</v>
      </c>
      <c r="G430">
        <v>0</v>
      </c>
      <c r="H430">
        <v>0</v>
      </c>
      <c r="I430">
        <v>0</v>
      </c>
      <c r="J430">
        <v>0</v>
      </c>
      <c r="K430">
        <v>0</v>
      </c>
    </row>
    <row r="431" spans="1:11">
      <c r="A431" t="s">
        <v>345</v>
      </c>
      <c r="B431">
        <v>67</v>
      </c>
      <c r="C431">
        <v>0</v>
      </c>
      <c r="D431">
        <v>15</v>
      </c>
      <c r="E431">
        <v>14</v>
      </c>
      <c r="F431">
        <v>14</v>
      </c>
      <c r="G431">
        <v>0</v>
      </c>
      <c r="H431">
        <v>14</v>
      </c>
      <c r="I431">
        <v>10</v>
      </c>
      <c r="J431">
        <v>0</v>
      </c>
      <c r="K431">
        <v>0</v>
      </c>
    </row>
    <row r="432" spans="1:11">
      <c r="A432" t="s">
        <v>346</v>
      </c>
      <c r="B432">
        <v>102</v>
      </c>
      <c r="C432">
        <v>0</v>
      </c>
      <c r="D432">
        <v>22</v>
      </c>
      <c r="E432">
        <v>22</v>
      </c>
      <c r="F432">
        <v>21</v>
      </c>
      <c r="G432">
        <v>0</v>
      </c>
      <c r="H432">
        <v>21</v>
      </c>
      <c r="I432">
        <v>16</v>
      </c>
      <c r="J432">
        <v>0</v>
      </c>
      <c r="K432">
        <v>0</v>
      </c>
    </row>
    <row r="433" spans="1:11">
      <c r="A433" t="s">
        <v>347</v>
      </c>
      <c r="B433">
        <v>6</v>
      </c>
      <c r="C433">
        <v>0</v>
      </c>
      <c r="D433">
        <v>0</v>
      </c>
      <c r="E433">
        <v>0</v>
      </c>
      <c r="F433">
        <v>0</v>
      </c>
      <c r="G433">
        <v>0</v>
      </c>
      <c r="H433">
        <v>3</v>
      </c>
      <c r="I433">
        <v>3</v>
      </c>
      <c r="J433">
        <v>0</v>
      </c>
      <c r="K433">
        <v>0</v>
      </c>
    </row>
    <row r="434" spans="1:11">
      <c r="A434" t="s">
        <v>348</v>
      </c>
      <c r="B434">
        <v>0</v>
      </c>
      <c r="C434">
        <v>0</v>
      </c>
      <c r="D434">
        <v>0</v>
      </c>
      <c r="E434">
        <v>0</v>
      </c>
      <c r="F434">
        <v>0</v>
      </c>
      <c r="G434">
        <v>0</v>
      </c>
      <c r="H434">
        <v>0</v>
      </c>
      <c r="I434">
        <v>0</v>
      </c>
      <c r="J434">
        <v>0</v>
      </c>
      <c r="K434">
        <v>0</v>
      </c>
    </row>
    <row r="435" spans="1:11">
      <c r="A435" t="s">
        <v>349</v>
      </c>
      <c r="B435">
        <v>1</v>
      </c>
      <c r="C435">
        <v>0</v>
      </c>
      <c r="D435">
        <v>0</v>
      </c>
      <c r="E435">
        <v>0</v>
      </c>
      <c r="F435">
        <v>1</v>
      </c>
      <c r="G435">
        <v>0</v>
      </c>
      <c r="H435">
        <v>0</v>
      </c>
      <c r="I435">
        <v>0</v>
      </c>
      <c r="J435">
        <v>0</v>
      </c>
      <c r="K435">
        <v>0</v>
      </c>
    </row>
    <row r="436" spans="1:11">
      <c r="A436" t="s">
        <v>350</v>
      </c>
      <c r="B436">
        <v>36</v>
      </c>
      <c r="C436">
        <v>0</v>
      </c>
      <c r="D436">
        <v>8</v>
      </c>
      <c r="E436">
        <v>8</v>
      </c>
      <c r="F436">
        <v>8</v>
      </c>
      <c r="G436">
        <v>0</v>
      </c>
      <c r="H436">
        <v>7</v>
      </c>
      <c r="I436">
        <v>5</v>
      </c>
      <c r="J436">
        <v>0</v>
      </c>
      <c r="K436">
        <v>0</v>
      </c>
    </row>
    <row r="437" spans="1:11">
      <c r="A437" t="s">
        <v>351</v>
      </c>
      <c r="B437">
        <v>78</v>
      </c>
      <c r="C437">
        <v>0</v>
      </c>
      <c r="D437">
        <v>21</v>
      </c>
      <c r="E437">
        <v>21</v>
      </c>
      <c r="F437">
        <v>0</v>
      </c>
      <c r="G437">
        <v>0</v>
      </c>
      <c r="H437">
        <v>20</v>
      </c>
      <c r="I437">
        <v>16</v>
      </c>
      <c r="J437">
        <v>0</v>
      </c>
      <c r="K437">
        <v>0</v>
      </c>
    </row>
    <row r="438" spans="1:11">
      <c r="A438" t="s">
        <v>352</v>
      </c>
      <c r="B438">
        <v>38</v>
      </c>
      <c r="C438">
        <v>0</v>
      </c>
      <c r="D438">
        <v>8</v>
      </c>
      <c r="E438">
        <v>8</v>
      </c>
      <c r="F438">
        <v>8</v>
      </c>
      <c r="G438">
        <v>0</v>
      </c>
      <c r="H438">
        <v>8</v>
      </c>
      <c r="I438">
        <v>6</v>
      </c>
      <c r="J438">
        <v>0</v>
      </c>
      <c r="K438">
        <v>0</v>
      </c>
    </row>
    <row r="439" spans="1:11">
      <c r="A439" t="s">
        <v>353</v>
      </c>
      <c r="B439">
        <v>4</v>
      </c>
      <c r="C439">
        <v>0</v>
      </c>
      <c r="D439">
        <v>0</v>
      </c>
      <c r="E439">
        <v>0</v>
      </c>
      <c r="F439">
        <v>0</v>
      </c>
      <c r="G439">
        <v>0</v>
      </c>
      <c r="H439">
        <v>2</v>
      </c>
      <c r="I439">
        <v>2</v>
      </c>
      <c r="J439">
        <v>0</v>
      </c>
      <c r="K439">
        <v>0</v>
      </c>
    </row>
    <row r="440" spans="1:11">
      <c r="A440" t="s">
        <v>354</v>
      </c>
      <c r="B440">
        <v>47</v>
      </c>
      <c r="C440">
        <v>0</v>
      </c>
      <c r="D440">
        <v>10</v>
      </c>
      <c r="E440">
        <v>10</v>
      </c>
      <c r="F440">
        <v>10</v>
      </c>
      <c r="G440">
        <v>0</v>
      </c>
      <c r="H440">
        <v>10</v>
      </c>
      <c r="I440">
        <v>7</v>
      </c>
      <c r="J440">
        <v>0</v>
      </c>
      <c r="K440">
        <v>0</v>
      </c>
    </row>
    <row r="441" spans="1:11">
      <c r="A441" t="s">
        <v>355</v>
      </c>
      <c r="B441">
        <v>50</v>
      </c>
      <c r="C441">
        <v>0</v>
      </c>
      <c r="D441">
        <v>13</v>
      </c>
      <c r="E441">
        <v>13</v>
      </c>
      <c r="F441">
        <v>12</v>
      </c>
      <c r="G441">
        <v>0</v>
      </c>
      <c r="H441">
        <v>12</v>
      </c>
      <c r="I441">
        <v>0</v>
      </c>
      <c r="J441">
        <v>0</v>
      </c>
      <c r="K441">
        <v>0</v>
      </c>
    </row>
    <row r="442" spans="1:11">
      <c r="A442" t="s">
        <v>356</v>
      </c>
      <c r="B442">
        <v>5</v>
      </c>
      <c r="C442">
        <v>0</v>
      </c>
      <c r="D442">
        <v>3</v>
      </c>
      <c r="E442">
        <v>2</v>
      </c>
      <c r="F442">
        <v>0</v>
      </c>
      <c r="G442">
        <v>0</v>
      </c>
      <c r="H442">
        <v>0</v>
      </c>
      <c r="I442">
        <v>0</v>
      </c>
      <c r="J442">
        <v>0</v>
      </c>
      <c r="K442">
        <v>0</v>
      </c>
    </row>
    <row r="443" spans="1:11">
      <c r="A443" t="s">
        <v>357</v>
      </c>
      <c r="B443">
        <v>63</v>
      </c>
      <c r="C443">
        <v>0</v>
      </c>
      <c r="D443">
        <v>16</v>
      </c>
      <c r="E443">
        <v>16</v>
      </c>
      <c r="F443">
        <v>16</v>
      </c>
      <c r="G443">
        <v>0</v>
      </c>
      <c r="H443">
        <v>15</v>
      </c>
      <c r="I443">
        <v>0</v>
      </c>
      <c r="J443">
        <v>0</v>
      </c>
      <c r="K443">
        <v>0</v>
      </c>
    </row>
    <row r="444" spans="1:11">
      <c r="A444" t="s">
        <v>358</v>
      </c>
      <c r="B444">
        <v>1</v>
      </c>
      <c r="C444">
        <v>0</v>
      </c>
      <c r="D444">
        <v>1</v>
      </c>
      <c r="E444">
        <v>0</v>
      </c>
      <c r="F444">
        <v>0</v>
      </c>
      <c r="G444">
        <v>0</v>
      </c>
      <c r="H444">
        <v>0</v>
      </c>
      <c r="I444">
        <v>0</v>
      </c>
      <c r="J444">
        <v>0</v>
      </c>
      <c r="K444">
        <v>0</v>
      </c>
    </row>
    <row r="445" spans="1:11">
      <c r="A445" t="s">
        <v>359</v>
      </c>
      <c r="B445">
        <v>0</v>
      </c>
      <c r="C445">
        <v>0</v>
      </c>
      <c r="D445">
        <v>0</v>
      </c>
      <c r="E445">
        <v>0</v>
      </c>
      <c r="F445">
        <v>0</v>
      </c>
      <c r="G445">
        <v>0</v>
      </c>
      <c r="H445">
        <v>0</v>
      </c>
      <c r="I445">
        <v>0</v>
      </c>
      <c r="J445">
        <v>0</v>
      </c>
      <c r="K445">
        <v>0</v>
      </c>
    </row>
    <row r="446" spans="1:11">
      <c r="A446" t="s">
        <v>360</v>
      </c>
      <c r="B446">
        <v>0</v>
      </c>
      <c r="C446">
        <v>0</v>
      </c>
      <c r="D446">
        <v>0</v>
      </c>
      <c r="E446">
        <v>0</v>
      </c>
      <c r="F446">
        <v>0</v>
      </c>
      <c r="G446">
        <v>0</v>
      </c>
      <c r="H446">
        <v>0</v>
      </c>
      <c r="I446">
        <v>0</v>
      </c>
      <c r="J446">
        <v>0</v>
      </c>
      <c r="K446">
        <v>0</v>
      </c>
    </row>
    <row r="447" spans="1:11">
      <c r="A447" t="s">
        <v>361</v>
      </c>
      <c r="B447">
        <v>10</v>
      </c>
      <c r="C447">
        <v>0</v>
      </c>
      <c r="D447">
        <v>2</v>
      </c>
      <c r="E447">
        <v>2</v>
      </c>
      <c r="F447">
        <v>2</v>
      </c>
      <c r="G447">
        <v>0</v>
      </c>
      <c r="H447">
        <v>2</v>
      </c>
      <c r="I447">
        <v>2</v>
      </c>
      <c r="J447">
        <v>0</v>
      </c>
      <c r="K447">
        <v>0</v>
      </c>
    </row>
    <row r="448" spans="1:11">
      <c r="A448" t="s">
        <v>362</v>
      </c>
      <c r="B448">
        <v>57</v>
      </c>
      <c r="C448">
        <v>0</v>
      </c>
      <c r="D448">
        <v>12</v>
      </c>
      <c r="E448">
        <v>12</v>
      </c>
      <c r="F448">
        <v>12</v>
      </c>
      <c r="G448">
        <v>0</v>
      </c>
      <c r="H448">
        <v>12</v>
      </c>
      <c r="I448">
        <v>9</v>
      </c>
      <c r="J448">
        <v>0</v>
      </c>
      <c r="K448">
        <v>0</v>
      </c>
    </row>
    <row r="449" spans="1:11">
      <c r="A449" t="s">
        <v>363</v>
      </c>
      <c r="B449">
        <v>18</v>
      </c>
      <c r="C449">
        <v>0</v>
      </c>
      <c r="D449">
        <v>5</v>
      </c>
      <c r="E449">
        <v>5</v>
      </c>
      <c r="F449">
        <v>0</v>
      </c>
      <c r="G449">
        <v>0</v>
      </c>
      <c r="H449">
        <v>4</v>
      </c>
      <c r="I449">
        <v>4</v>
      </c>
      <c r="J449">
        <v>0</v>
      </c>
      <c r="K449">
        <v>0</v>
      </c>
    </row>
    <row r="450" spans="1:11">
      <c r="A450" t="s">
        <v>364</v>
      </c>
      <c r="B450">
        <v>0</v>
      </c>
      <c r="C450">
        <v>0</v>
      </c>
      <c r="D450">
        <v>0</v>
      </c>
      <c r="E450">
        <v>0</v>
      </c>
      <c r="F450">
        <v>0</v>
      </c>
      <c r="G450">
        <v>0</v>
      </c>
      <c r="H450">
        <v>0</v>
      </c>
      <c r="I450">
        <v>0</v>
      </c>
      <c r="J450">
        <v>0</v>
      </c>
      <c r="K450">
        <v>0</v>
      </c>
    </row>
    <row r="451" spans="1:11">
      <c r="A451" t="s">
        <v>365</v>
      </c>
      <c r="B451">
        <v>94</v>
      </c>
      <c r="C451">
        <v>0</v>
      </c>
      <c r="D451">
        <v>20</v>
      </c>
      <c r="E451">
        <v>20</v>
      </c>
      <c r="F451">
        <v>20</v>
      </c>
      <c r="G451">
        <v>0</v>
      </c>
      <c r="H451">
        <v>20</v>
      </c>
      <c r="I451">
        <v>14</v>
      </c>
      <c r="J451">
        <v>0</v>
      </c>
      <c r="K451">
        <v>0</v>
      </c>
    </row>
    <row r="452" spans="1:11">
      <c r="A452" t="s">
        <v>366</v>
      </c>
      <c r="B452">
        <v>2</v>
      </c>
      <c r="C452">
        <v>0</v>
      </c>
      <c r="D452">
        <v>0</v>
      </c>
      <c r="E452">
        <v>0</v>
      </c>
      <c r="F452">
        <v>0</v>
      </c>
      <c r="G452">
        <v>0</v>
      </c>
      <c r="H452">
        <v>1</v>
      </c>
      <c r="I452">
        <v>1</v>
      </c>
      <c r="J452">
        <v>0</v>
      </c>
      <c r="K452">
        <v>0</v>
      </c>
    </row>
    <row r="453" spans="1:11">
      <c r="A453" t="s">
        <v>660</v>
      </c>
      <c r="B453">
        <v>13</v>
      </c>
      <c r="C453">
        <v>0</v>
      </c>
      <c r="D453">
        <v>0</v>
      </c>
      <c r="E453">
        <v>0</v>
      </c>
      <c r="F453">
        <v>0</v>
      </c>
      <c r="G453">
        <v>0</v>
      </c>
      <c r="H453">
        <v>7</v>
      </c>
      <c r="I453">
        <v>6</v>
      </c>
      <c r="J453">
        <v>0</v>
      </c>
      <c r="K453">
        <v>0</v>
      </c>
    </row>
    <row r="454" spans="1:11">
      <c r="A454" t="s">
        <v>367</v>
      </c>
      <c r="B454">
        <v>0</v>
      </c>
      <c r="C454">
        <v>0</v>
      </c>
      <c r="D454">
        <v>0</v>
      </c>
      <c r="E454">
        <v>0</v>
      </c>
      <c r="F454">
        <v>0</v>
      </c>
      <c r="G454">
        <v>0</v>
      </c>
      <c r="H454">
        <v>0</v>
      </c>
      <c r="I454">
        <v>0</v>
      </c>
      <c r="J454">
        <v>0</v>
      </c>
      <c r="K454">
        <v>0</v>
      </c>
    </row>
    <row r="455" spans="1:11">
      <c r="A455" t="s">
        <v>368</v>
      </c>
      <c r="B455">
        <v>4</v>
      </c>
      <c r="C455">
        <v>0</v>
      </c>
      <c r="D455">
        <v>2</v>
      </c>
      <c r="E455">
        <v>0</v>
      </c>
      <c r="F455">
        <v>0</v>
      </c>
      <c r="G455">
        <v>0</v>
      </c>
      <c r="H455">
        <v>1</v>
      </c>
      <c r="I455">
        <v>1</v>
      </c>
      <c r="J455">
        <v>0</v>
      </c>
      <c r="K455">
        <v>0</v>
      </c>
    </row>
    <row r="456" spans="1:11">
      <c r="A456" t="s">
        <v>661</v>
      </c>
      <c r="B456">
        <v>7</v>
      </c>
      <c r="C456">
        <v>0</v>
      </c>
      <c r="D456">
        <v>3</v>
      </c>
      <c r="E456">
        <v>0</v>
      </c>
      <c r="F456">
        <v>0</v>
      </c>
      <c r="G456">
        <v>0</v>
      </c>
      <c r="H456">
        <v>2</v>
      </c>
      <c r="I456">
        <v>2</v>
      </c>
      <c r="J456">
        <v>0</v>
      </c>
      <c r="K456">
        <v>0</v>
      </c>
    </row>
    <row r="457" spans="1:11">
      <c r="A457" t="s">
        <v>369</v>
      </c>
      <c r="B457">
        <v>0</v>
      </c>
      <c r="C457">
        <v>0</v>
      </c>
      <c r="D457">
        <v>0</v>
      </c>
      <c r="E457">
        <v>0</v>
      </c>
      <c r="F457">
        <v>0</v>
      </c>
      <c r="G457">
        <v>0</v>
      </c>
      <c r="H457">
        <v>0</v>
      </c>
      <c r="I457">
        <v>0</v>
      </c>
      <c r="J457">
        <v>0</v>
      </c>
      <c r="K457">
        <v>0</v>
      </c>
    </row>
    <row r="458" spans="1:11">
      <c r="A458" t="s">
        <v>370</v>
      </c>
      <c r="B458">
        <v>1</v>
      </c>
      <c r="C458">
        <v>0</v>
      </c>
      <c r="D458">
        <v>0</v>
      </c>
      <c r="E458">
        <v>0</v>
      </c>
      <c r="F458">
        <v>0</v>
      </c>
      <c r="G458">
        <v>0</v>
      </c>
      <c r="H458">
        <v>0</v>
      </c>
      <c r="I458">
        <v>0</v>
      </c>
      <c r="J458">
        <v>0</v>
      </c>
      <c r="K458">
        <v>0</v>
      </c>
    </row>
    <row r="459" spans="1:11">
      <c r="A459" t="s">
        <v>371</v>
      </c>
      <c r="B459">
        <v>0</v>
      </c>
      <c r="C459">
        <v>0</v>
      </c>
      <c r="D459">
        <v>0</v>
      </c>
      <c r="E459">
        <v>0</v>
      </c>
      <c r="F459">
        <v>0</v>
      </c>
      <c r="G459">
        <v>0</v>
      </c>
      <c r="H459">
        <v>0</v>
      </c>
      <c r="I459">
        <v>0</v>
      </c>
      <c r="J459">
        <v>0</v>
      </c>
      <c r="K459">
        <v>0</v>
      </c>
    </row>
    <row r="460" spans="1:11">
      <c r="A460" t="s">
        <v>1294</v>
      </c>
      <c r="B460">
        <v>0</v>
      </c>
      <c r="C460">
        <v>0</v>
      </c>
      <c r="D460">
        <v>0</v>
      </c>
      <c r="E460">
        <v>0</v>
      </c>
      <c r="F460">
        <v>0</v>
      </c>
      <c r="G460">
        <v>0</v>
      </c>
      <c r="H460">
        <v>0</v>
      </c>
      <c r="I460">
        <v>0</v>
      </c>
      <c r="J460">
        <v>0</v>
      </c>
      <c r="K460">
        <v>0</v>
      </c>
    </row>
    <row r="461" spans="1:11">
      <c r="A461" t="s">
        <v>372</v>
      </c>
      <c r="B461">
        <v>83</v>
      </c>
      <c r="C461">
        <v>0</v>
      </c>
      <c r="D461">
        <v>18</v>
      </c>
      <c r="E461">
        <v>18</v>
      </c>
      <c r="F461">
        <v>17</v>
      </c>
      <c r="G461">
        <v>0</v>
      </c>
      <c r="H461">
        <v>17</v>
      </c>
      <c r="I461">
        <v>13</v>
      </c>
      <c r="J461">
        <v>0</v>
      </c>
      <c r="K461">
        <v>0</v>
      </c>
    </row>
    <row r="462" spans="1:11">
      <c r="A462" t="s">
        <v>373</v>
      </c>
      <c r="B462">
        <v>0</v>
      </c>
      <c r="C462">
        <v>0</v>
      </c>
      <c r="D462">
        <v>0</v>
      </c>
      <c r="E462">
        <v>0</v>
      </c>
      <c r="F462">
        <v>0</v>
      </c>
      <c r="G462">
        <v>0</v>
      </c>
      <c r="H462">
        <v>0</v>
      </c>
      <c r="I462">
        <v>0</v>
      </c>
      <c r="J462">
        <v>0</v>
      </c>
      <c r="K462">
        <v>0</v>
      </c>
    </row>
    <row r="463" spans="1:11">
      <c r="A463" t="s">
        <v>374</v>
      </c>
      <c r="B463">
        <v>24</v>
      </c>
      <c r="C463">
        <v>0</v>
      </c>
      <c r="D463">
        <v>5</v>
      </c>
      <c r="E463">
        <v>5</v>
      </c>
      <c r="F463">
        <v>5</v>
      </c>
      <c r="G463">
        <v>0</v>
      </c>
      <c r="H463">
        <v>5</v>
      </c>
      <c r="I463">
        <v>4</v>
      </c>
      <c r="J463">
        <v>0</v>
      </c>
      <c r="K463">
        <v>0</v>
      </c>
    </row>
    <row r="464" spans="1:11">
      <c r="A464" t="s">
        <v>375</v>
      </c>
      <c r="B464">
        <v>0</v>
      </c>
      <c r="C464">
        <v>0</v>
      </c>
      <c r="D464">
        <v>0</v>
      </c>
      <c r="E464">
        <v>0</v>
      </c>
      <c r="F464">
        <v>0</v>
      </c>
      <c r="G464">
        <v>0</v>
      </c>
      <c r="H464">
        <v>0</v>
      </c>
      <c r="I464">
        <v>0</v>
      </c>
      <c r="J464">
        <v>0</v>
      </c>
      <c r="K464">
        <v>0</v>
      </c>
    </row>
    <row r="465" spans="1:11">
      <c r="A465" t="s">
        <v>376</v>
      </c>
      <c r="B465">
        <v>6</v>
      </c>
      <c r="C465">
        <v>0</v>
      </c>
      <c r="D465">
        <v>2</v>
      </c>
      <c r="E465">
        <v>0</v>
      </c>
      <c r="F465">
        <v>0</v>
      </c>
      <c r="G465">
        <v>0</v>
      </c>
      <c r="H465">
        <v>2</v>
      </c>
      <c r="I465">
        <v>2</v>
      </c>
      <c r="J465">
        <v>0</v>
      </c>
      <c r="K465">
        <v>0</v>
      </c>
    </row>
    <row r="466" spans="1:11">
      <c r="A466" t="s">
        <v>377</v>
      </c>
      <c r="B466">
        <v>11</v>
      </c>
      <c r="C466">
        <v>0</v>
      </c>
      <c r="D466">
        <v>11</v>
      </c>
      <c r="E466">
        <v>0</v>
      </c>
      <c r="F466">
        <v>0</v>
      </c>
      <c r="G466">
        <v>0</v>
      </c>
      <c r="H466">
        <v>0</v>
      </c>
      <c r="I466">
        <v>0</v>
      </c>
      <c r="J466">
        <v>0</v>
      </c>
      <c r="K466">
        <v>0</v>
      </c>
    </row>
    <row r="467" spans="1:11">
      <c r="A467" t="s">
        <v>1295</v>
      </c>
      <c r="B467">
        <v>0</v>
      </c>
      <c r="C467">
        <v>0</v>
      </c>
      <c r="D467">
        <v>0</v>
      </c>
      <c r="E467">
        <v>0</v>
      </c>
      <c r="F467">
        <v>0</v>
      </c>
      <c r="G467">
        <v>0</v>
      </c>
      <c r="H467">
        <v>0</v>
      </c>
      <c r="I467">
        <v>0</v>
      </c>
      <c r="J467">
        <v>0</v>
      </c>
      <c r="K467">
        <v>0</v>
      </c>
    </row>
    <row r="468" spans="1:11">
      <c r="A468" t="s">
        <v>1296</v>
      </c>
      <c r="B468">
        <v>0</v>
      </c>
      <c r="C468">
        <v>0</v>
      </c>
      <c r="D468">
        <v>0</v>
      </c>
      <c r="E468">
        <v>0</v>
      </c>
      <c r="F468">
        <v>0</v>
      </c>
      <c r="G468">
        <v>0</v>
      </c>
      <c r="H468">
        <v>0</v>
      </c>
      <c r="I468">
        <v>0</v>
      </c>
      <c r="J468">
        <v>0</v>
      </c>
      <c r="K468">
        <v>0</v>
      </c>
    </row>
    <row r="469" spans="1:11">
      <c r="A469" t="s">
        <v>378</v>
      </c>
      <c r="B469">
        <v>3</v>
      </c>
      <c r="C469">
        <v>0</v>
      </c>
      <c r="D469">
        <v>3</v>
      </c>
      <c r="E469">
        <v>0</v>
      </c>
      <c r="F469">
        <v>0</v>
      </c>
      <c r="G469">
        <v>0</v>
      </c>
      <c r="H469">
        <v>0</v>
      </c>
      <c r="I469">
        <v>0</v>
      </c>
      <c r="J469">
        <v>0</v>
      </c>
      <c r="K469">
        <v>0</v>
      </c>
    </row>
    <row r="470" spans="1:11">
      <c r="A470" t="s">
        <v>379</v>
      </c>
      <c r="B470">
        <v>10</v>
      </c>
      <c r="C470">
        <v>0</v>
      </c>
      <c r="D470">
        <v>0</v>
      </c>
      <c r="E470">
        <v>0</v>
      </c>
      <c r="F470">
        <v>0</v>
      </c>
      <c r="G470">
        <v>0</v>
      </c>
      <c r="H470">
        <v>0</v>
      </c>
      <c r="I470">
        <v>10</v>
      </c>
      <c r="J470">
        <v>0</v>
      </c>
      <c r="K470">
        <v>0</v>
      </c>
    </row>
    <row r="471" spans="1:11">
      <c r="A471" t="s">
        <v>662</v>
      </c>
      <c r="B471">
        <v>9</v>
      </c>
      <c r="C471">
        <v>0</v>
      </c>
      <c r="D471">
        <v>0</v>
      </c>
      <c r="E471">
        <v>0</v>
      </c>
      <c r="F471">
        <v>0</v>
      </c>
      <c r="G471">
        <v>0</v>
      </c>
      <c r="H471">
        <v>0</v>
      </c>
      <c r="I471">
        <v>0</v>
      </c>
      <c r="J471">
        <v>0</v>
      </c>
      <c r="K471">
        <v>0</v>
      </c>
    </row>
    <row r="472" spans="1:11">
      <c r="A472" t="s">
        <v>380</v>
      </c>
      <c r="B472">
        <v>1</v>
      </c>
      <c r="C472">
        <v>0</v>
      </c>
      <c r="D472">
        <v>0</v>
      </c>
      <c r="E472">
        <v>0</v>
      </c>
      <c r="F472">
        <v>0</v>
      </c>
      <c r="G472">
        <v>0</v>
      </c>
      <c r="H472">
        <v>0</v>
      </c>
      <c r="I472">
        <v>0</v>
      </c>
      <c r="J472">
        <v>0</v>
      </c>
      <c r="K472">
        <v>0</v>
      </c>
    </row>
    <row r="473" spans="1:11">
      <c r="A473" t="s">
        <v>381</v>
      </c>
      <c r="B473">
        <v>12</v>
      </c>
      <c r="C473">
        <v>0</v>
      </c>
      <c r="D473">
        <v>0</v>
      </c>
      <c r="E473">
        <v>0</v>
      </c>
      <c r="F473">
        <v>0</v>
      </c>
      <c r="G473">
        <v>0</v>
      </c>
      <c r="H473">
        <v>0</v>
      </c>
      <c r="I473">
        <v>0</v>
      </c>
      <c r="J473">
        <v>0</v>
      </c>
      <c r="K473">
        <v>0</v>
      </c>
    </row>
    <row r="474" spans="1:11">
      <c r="A474" t="s">
        <v>382</v>
      </c>
      <c r="B474">
        <v>0</v>
      </c>
      <c r="C474">
        <v>0</v>
      </c>
      <c r="D474">
        <v>0</v>
      </c>
      <c r="E474">
        <v>0</v>
      </c>
      <c r="F474">
        <v>0</v>
      </c>
      <c r="G474">
        <v>0</v>
      </c>
      <c r="H474">
        <v>0</v>
      </c>
      <c r="I474">
        <v>0</v>
      </c>
      <c r="J474">
        <v>0</v>
      </c>
      <c r="K474">
        <v>0</v>
      </c>
    </row>
    <row r="475" spans="1:11">
      <c r="A475" t="s">
        <v>383</v>
      </c>
      <c r="B475">
        <v>0</v>
      </c>
      <c r="C475">
        <v>0</v>
      </c>
      <c r="D475">
        <v>0</v>
      </c>
      <c r="E475">
        <v>0</v>
      </c>
      <c r="F475">
        <v>0</v>
      </c>
      <c r="G475">
        <v>0</v>
      </c>
      <c r="H475">
        <v>0</v>
      </c>
      <c r="I475">
        <v>0</v>
      </c>
      <c r="J475">
        <v>0</v>
      </c>
      <c r="K475">
        <v>0</v>
      </c>
    </row>
    <row r="476" spans="1:11">
      <c r="A476" t="s">
        <v>384</v>
      </c>
      <c r="B476">
        <v>12</v>
      </c>
      <c r="C476">
        <v>0</v>
      </c>
      <c r="D476">
        <v>0</v>
      </c>
      <c r="E476">
        <v>0</v>
      </c>
      <c r="F476">
        <v>0</v>
      </c>
      <c r="G476">
        <v>0</v>
      </c>
      <c r="H476">
        <v>0</v>
      </c>
      <c r="I476">
        <v>0</v>
      </c>
      <c r="J476">
        <v>0</v>
      </c>
      <c r="K476">
        <v>0</v>
      </c>
    </row>
    <row r="477" spans="1:11">
      <c r="A477" t="s">
        <v>385</v>
      </c>
      <c r="B477">
        <v>108</v>
      </c>
      <c r="C477">
        <v>0</v>
      </c>
      <c r="D477">
        <v>27</v>
      </c>
      <c r="E477">
        <v>27</v>
      </c>
      <c r="F477">
        <v>27</v>
      </c>
      <c r="G477">
        <v>0</v>
      </c>
      <c r="H477">
        <v>27</v>
      </c>
      <c r="I477">
        <v>0</v>
      </c>
      <c r="J477">
        <v>0</v>
      </c>
      <c r="K477">
        <v>0</v>
      </c>
    </row>
    <row r="478" spans="1:11">
      <c r="A478" t="s">
        <v>663</v>
      </c>
      <c r="B478">
        <v>12</v>
      </c>
      <c r="C478">
        <v>0</v>
      </c>
      <c r="D478">
        <v>0</v>
      </c>
      <c r="E478">
        <v>0</v>
      </c>
      <c r="F478">
        <v>0</v>
      </c>
      <c r="G478">
        <v>0</v>
      </c>
      <c r="H478">
        <v>0</v>
      </c>
      <c r="I478">
        <v>0</v>
      </c>
      <c r="J478">
        <v>0</v>
      </c>
      <c r="K478">
        <v>0</v>
      </c>
    </row>
    <row r="479" spans="1:11">
      <c r="A479" t="s">
        <v>386</v>
      </c>
      <c r="B479">
        <v>81</v>
      </c>
      <c r="C479">
        <v>0</v>
      </c>
      <c r="D479">
        <v>22</v>
      </c>
      <c r="E479">
        <v>21</v>
      </c>
      <c r="F479">
        <v>0</v>
      </c>
      <c r="G479">
        <v>0</v>
      </c>
      <c r="H479">
        <v>21</v>
      </c>
      <c r="I479">
        <v>17</v>
      </c>
      <c r="J479">
        <v>0</v>
      </c>
      <c r="K479">
        <v>0</v>
      </c>
    </row>
    <row r="480" spans="1:11">
      <c r="A480" t="s">
        <v>387</v>
      </c>
      <c r="B480">
        <v>0</v>
      </c>
      <c r="C480">
        <v>0</v>
      </c>
      <c r="D480">
        <v>0</v>
      </c>
      <c r="E480">
        <v>0</v>
      </c>
      <c r="F480">
        <v>0</v>
      </c>
      <c r="G480">
        <v>0</v>
      </c>
      <c r="H480">
        <v>0</v>
      </c>
      <c r="I480">
        <v>0</v>
      </c>
      <c r="J480">
        <v>0</v>
      </c>
      <c r="K480">
        <v>0</v>
      </c>
    </row>
    <row r="481" spans="1:11">
      <c r="A481" t="s">
        <v>388</v>
      </c>
      <c r="B481">
        <v>105</v>
      </c>
      <c r="C481">
        <v>0</v>
      </c>
      <c r="D481">
        <v>22</v>
      </c>
      <c r="E481">
        <v>22</v>
      </c>
      <c r="F481">
        <v>22</v>
      </c>
      <c r="G481">
        <v>0</v>
      </c>
      <c r="H481">
        <v>22</v>
      </c>
      <c r="I481">
        <v>17</v>
      </c>
      <c r="J481">
        <v>0</v>
      </c>
      <c r="K481">
        <v>0</v>
      </c>
    </row>
    <row r="482" spans="1:11">
      <c r="A482" t="s">
        <v>389</v>
      </c>
      <c r="B482">
        <v>7</v>
      </c>
      <c r="C482">
        <v>0</v>
      </c>
      <c r="D482">
        <v>4</v>
      </c>
      <c r="E482">
        <v>0</v>
      </c>
      <c r="F482">
        <v>0</v>
      </c>
      <c r="G482">
        <v>0</v>
      </c>
      <c r="H482">
        <v>0</v>
      </c>
      <c r="I482">
        <v>3</v>
      </c>
      <c r="J482">
        <v>0</v>
      </c>
      <c r="K482">
        <v>0</v>
      </c>
    </row>
    <row r="483" spans="1:11">
      <c r="A483" t="s">
        <v>1297</v>
      </c>
      <c r="B483">
        <v>0</v>
      </c>
      <c r="C483">
        <v>0</v>
      </c>
      <c r="D483">
        <v>0</v>
      </c>
      <c r="E483">
        <v>0</v>
      </c>
      <c r="F483">
        <v>0</v>
      </c>
      <c r="G483">
        <v>0</v>
      </c>
      <c r="H483">
        <v>0</v>
      </c>
      <c r="I483">
        <v>0</v>
      </c>
      <c r="J483">
        <v>0</v>
      </c>
      <c r="K483">
        <v>0</v>
      </c>
    </row>
    <row r="484" spans="1:11">
      <c r="A484" t="s">
        <v>390</v>
      </c>
      <c r="B484">
        <v>13</v>
      </c>
      <c r="C484">
        <v>0</v>
      </c>
      <c r="D484">
        <v>5</v>
      </c>
      <c r="E484">
        <v>4</v>
      </c>
      <c r="F484">
        <v>4</v>
      </c>
      <c r="G484">
        <v>0</v>
      </c>
      <c r="H484">
        <v>0</v>
      </c>
      <c r="I484">
        <v>0</v>
      </c>
      <c r="J484">
        <v>0</v>
      </c>
      <c r="K484">
        <v>0</v>
      </c>
    </row>
    <row r="485" spans="1:11">
      <c r="A485" t="s">
        <v>391</v>
      </c>
      <c r="B485">
        <v>12</v>
      </c>
      <c r="C485">
        <v>0</v>
      </c>
      <c r="D485">
        <v>12</v>
      </c>
      <c r="E485">
        <v>0</v>
      </c>
      <c r="F485">
        <v>0</v>
      </c>
      <c r="G485">
        <v>0</v>
      </c>
      <c r="H485">
        <v>0</v>
      </c>
      <c r="I485">
        <v>0</v>
      </c>
      <c r="J485">
        <v>0</v>
      </c>
      <c r="K485">
        <v>0</v>
      </c>
    </row>
    <row r="486" spans="1:11">
      <c r="A486" t="s">
        <v>28</v>
      </c>
      <c r="B486">
        <v>0</v>
      </c>
      <c r="C486">
        <v>0</v>
      </c>
      <c r="D486">
        <v>0</v>
      </c>
      <c r="E486">
        <v>0</v>
      </c>
      <c r="F486">
        <v>0</v>
      </c>
      <c r="G486">
        <v>0</v>
      </c>
      <c r="H486">
        <v>0</v>
      </c>
      <c r="I486">
        <v>0</v>
      </c>
      <c r="J486">
        <v>0</v>
      </c>
      <c r="K486">
        <v>0</v>
      </c>
    </row>
    <row r="487" spans="1:11">
      <c r="A487" t="s">
        <v>24</v>
      </c>
      <c r="B487">
        <v>169</v>
      </c>
      <c r="C487">
        <v>114</v>
      </c>
      <c r="D487">
        <v>28</v>
      </c>
      <c r="E487">
        <v>0</v>
      </c>
      <c r="F487">
        <v>27</v>
      </c>
      <c r="G487">
        <v>0</v>
      </c>
      <c r="H487">
        <v>0</v>
      </c>
      <c r="I487">
        <v>0</v>
      </c>
      <c r="J487">
        <v>0</v>
      </c>
      <c r="K487">
        <v>0</v>
      </c>
    </row>
    <row r="488" spans="1:11">
      <c r="A488" t="s">
        <v>4</v>
      </c>
      <c r="B488">
        <v>46</v>
      </c>
      <c r="C488">
        <v>31</v>
      </c>
      <c r="D488">
        <v>8</v>
      </c>
      <c r="E488">
        <v>0</v>
      </c>
      <c r="F488">
        <v>7</v>
      </c>
      <c r="G488">
        <v>0</v>
      </c>
      <c r="H488">
        <v>0</v>
      </c>
      <c r="I488">
        <v>0</v>
      </c>
      <c r="J488">
        <v>0</v>
      </c>
      <c r="K488">
        <v>0</v>
      </c>
    </row>
    <row r="489" spans="1:11">
      <c r="A489" t="s">
        <v>58</v>
      </c>
      <c r="B489">
        <v>111</v>
      </c>
      <c r="C489">
        <v>75</v>
      </c>
      <c r="D489">
        <v>18</v>
      </c>
      <c r="E489">
        <v>0</v>
      </c>
      <c r="F489">
        <v>18</v>
      </c>
      <c r="G489">
        <v>0</v>
      </c>
      <c r="H489">
        <v>0</v>
      </c>
      <c r="I489">
        <v>0</v>
      </c>
      <c r="J489">
        <v>0</v>
      </c>
      <c r="K489">
        <v>0</v>
      </c>
    </row>
    <row r="490" spans="1:11">
      <c r="A490" t="s">
        <v>59</v>
      </c>
      <c r="B490">
        <v>129</v>
      </c>
      <c r="C490">
        <v>87</v>
      </c>
      <c r="D490">
        <v>21</v>
      </c>
      <c r="E490">
        <v>0</v>
      </c>
      <c r="F490">
        <v>21</v>
      </c>
      <c r="G490">
        <v>0</v>
      </c>
      <c r="H490">
        <v>0</v>
      </c>
      <c r="I490">
        <v>0</v>
      </c>
      <c r="J490">
        <v>0</v>
      </c>
      <c r="K490">
        <v>0</v>
      </c>
    </row>
    <row r="491" spans="1:11">
      <c r="A491" t="s">
        <v>23</v>
      </c>
      <c r="B491">
        <v>141</v>
      </c>
      <c r="C491">
        <v>95</v>
      </c>
      <c r="D491">
        <v>23</v>
      </c>
      <c r="E491">
        <v>0</v>
      </c>
      <c r="F491">
        <v>23</v>
      </c>
      <c r="G491">
        <v>0</v>
      </c>
      <c r="H491">
        <v>0</v>
      </c>
      <c r="I491">
        <v>0</v>
      </c>
      <c r="J491">
        <v>0</v>
      </c>
      <c r="K491">
        <v>0</v>
      </c>
    </row>
    <row r="492" spans="1:11">
      <c r="A492" t="s">
        <v>924</v>
      </c>
      <c r="C492">
        <v>0</v>
      </c>
      <c r="D492">
        <v>0</v>
      </c>
      <c r="E492">
        <v>0</v>
      </c>
      <c r="F492">
        <v>0</v>
      </c>
      <c r="G492">
        <v>0</v>
      </c>
      <c r="H492">
        <v>0</v>
      </c>
      <c r="I492">
        <v>0</v>
      </c>
      <c r="J492">
        <v>0</v>
      </c>
      <c r="K492">
        <v>0</v>
      </c>
    </row>
    <row r="493" spans="1:11">
      <c r="A493" t="s">
        <v>924</v>
      </c>
      <c r="B493">
        <v>0</v>
      </c>
      <c r="C493">
        <v>0</v>
      </c>
      <c r="D493">
        <v>0</v>
      </c>
      <c r="E493">
        <v>0</v>
      </c>
      <c r="F493">
        <v>0</v>
      </c>
      <c r="G493">
        <v>0</v>
      </c>
      <c r="H493">
        <v>0</v>
      </c>
      <c r="I493">
        <v>0</v>
      </c>
      <c r="J493">
        <v>0</v>
      </c>
      <c r="K493">
        <v>0</v>
      </c>
    </row>
    <row r="494" spans="1:11">
      <c r="A494" t="s">
        <v>60</v>
      </c>
      <c r="B494">
        <v>198</v>
      </c>
      <c r="C494">
        <v>134</v>
      </c>
      <c r="D494">
        <v>32</v>
      </c>
      <c r="E494">
        <v>0</v>
      </c>
      <c r="F494">
        <v>32</v>
      </c>
      <c r="G494">
        <v>0</v>
      </c>
      <c r="H494">
        <v>0</v>
      </c>
      <c r="I494">
        <v>0</v>
      </c>
      <c r="J494">
        <v>0</v>
      </c>
      <c r="K494">
        <v>0</v>
      </c>
    </row>
    <row r="495" spans="1:11">
      <c r="A495" t="s">
        <v>61</v>
      </c>
      <c r="B495">
        <v>98</v>
      </c>
      <c r="C495">
        <v>66</v>
      </c>
      <c r="D495">
        <v>16</v>
      </c>
      <c r="E495">
        <v>0</v>
      </c>
      <c r="F495">
        <v>16</v>
      </c>
      <c r="G495">
        <v>0</v>
      </c>
      <c r="H495">
        <v>0</v>
      </c>
      <c r="I495">
        <v>0</v>
      </c>
      <c r="J495">
        <v>0</v>
      </c>
      <c r="K495">
        <v>0</v>
      </c>
    </row>
    <row r="496" spans="1:11">
      <c r="A496" t="s">
        <v>925</v>
      </c>
      <c r="C496">
        <v>0</v>
      </c>
      <c r="D496">
        <v>0</v>
      </c>
      <c r="E496">
        <v>0</v>
      </c>
      <c r="F496">
        <v>0</v>
      </c>
      <c r="G496">
        <v>0</v>
      </c>
      <c r="H496">
        <v>0</v>
      </c>
      <c r="I496">
        <v>0</v>
      </c>
      <c r="J496">
        <v>0</v>
      </c>
      <c r="K496">
        <v>0</v>
      </c>
    </row>
    <row r="497" spans="1:11">
      <c r="A497" t="s">
        <v>925</v>
      </c>
      <c r="B497">
        <v>0</v>
      </c>
      <c r="C497">
        <v>0</v>
      </c>
      <c r="D497">
        <v>0</v>
      </c>
      <c r="E497">
        <v>0</v>
      </c>
      <c r="F497">
        <v>0</v>
      </c>
      <c r="G497">
        <v>0</v>
      </c>
      <c r="H497">
        <v>0</v>
      </c>
      <c r="I497">
        <v>0</v>
      </c>
      <c r="J497">
        <v>0</v>
      </c>
      <c r="K497">
        <v>0</v>
      </c>
    </row>
    <row r="498" spans="1:11">
      <c r="A498" t="s">
        <v>62</v>
      </c>
      <c r="B498">
        <v>0</v>
      </c>
      <c r="C498">
        <v>0</v>
      </c>
      <c r="D498">
        <v>0</v>
      </c>
      <c r="E498">
        <v>0</v>
      </c>
      <c r="F498">
        <v>0</v>
      </c>
      <c r="G498">
        <v>0</v>
      </c>
      <c r="H498">
        <v>0</v>
      </c>
      <c r="I498">
        <v>0</v>
      </c>
      <c r="J498">
        <v>0</v>
      </c>
      <c r="K498">
        <v>0</v>
      </c>
    </row>
    <row r="499" spans="1:11">
      <c r="A499" t="s">
        <v>63</v>
      </c>
      <c r="B499">
        <v>123</v>
      </c>
      <c r="C499">
        <v>83</v>
      </c>
      <c r="D499">
        <v>20</v>
      </c>
      <c r="E499">
        <v>0</v>
      </c>
      <c r="F499">
        <v>20</v>
      </c>
      <c r="G499">
        <v>0</v>
      </c>
      <c r="H499">
        <v>0</v>
      </c>
      <c r="I499">
        <v>0</v>
      </c>
      <c r="J499">
        <v>0</v>
      </c>
      <c r="K499">
        <v>0</v>
      </c>
    </row>
    <row r="500" spans="1:11">
      <c r="A500" t="s">
        <v>926</v>
      </c>
      <c r="C500">
        <v>0</v>
      </c>
      <c r="D500">
        <v>0</v>
      </c>
      <c r="E500">
        <v>0</v>
      </c>
      <c r="F500">
        <v>0</v>
      </c>
      <c r="G500">
        <v>0</v>
      </c>
      <c r="H500">
        <v>0</v>
      </c>
      <c r="I500">
        <v>0</v>
      </c>
      <c r="J500">
        <v>0</v>
      </c>
      <c r="K500">
        <v>0</v>
      </c>
    </row>
    <row r="501" spans="1:11">
      <c r="A501" t="s">
        <v>926</v>
      </c>
      <c r="B501">
        <v>0</v>
      </c>
      <c r="C501">
        <v>0</v>
      </c>
      <c r="D501">
        <v>0</v>
      </c>
      <c r="E501">
        <v>0</v>
      </c>
      <c r="F501">
        <v>0</v>
      </c>
      <c r="G501">
        <v>0</v>
      </c>
      <c r="H501">
        <v>0</v>
      </c>
      <c r="I501">
        <v>0</v>
      </c>
      <c r="J501">
        <v>0</v>
      </c>
      <c r="K501">
        <v>0</v>
      </c>
    </row>
    <row r="502" spans="1:11">
      <c r="A502" t="s">
        <v>64</v>
      </c>
      <c r="B502">
        <v>273</v>
      </c>
      <c r="C502">
        <v>184</v>
      </c>
      <c r="D502">
        <v>45</v>
      </c>
      <c r="E502">
        <v>0</v>
      </c>
      <c r="F502">
        <v>44</v>
      </c>
      <c r="G502">
        <v>0</v>
      </c>
      <c r="H502">
        <v>0</v>
      </c>
      <c r="I502">
        <v>0</v>
      </c>
      <c r="J502">
        <v>0</v>
      </c>
      <c r="K502">
        <v>0</v>
      </c>
    </row>
    <row r="503" spans="1:11">
      <c r="A503" t="s">
        <v>65</v>
      </c>
      <c r="B503">
        <v>163</v>
      </c>
      <c r="C503">
        <v>110</v>
      </c>
      <c r="D503">
        <v>27</v>
      </c>
      <c r="E503">
        <v>0</v>
      </c>
      <c r="F503">
        <v>26</v>
      </c>
      <c r="G503">
        <v>0</v>
      </c>
      <c r="H503">
        <v>0</v>
      </c>
      <c r="I503">
        <v>0</v>
      </c>
      <c r="J503">
        <v>0</v>
      </c>
      <c r="K503">
        <v>0</v>
      </c>
    </row>
    <row r="504" spans="1:11">
      <c r="A504" t="s">
        <v>66</v>
      </c>
      <c r="B504">
        <v>253</v>
      </c>
      <c r="C504">
        <v>171</v>
      </c>
      <c r="D504">
        <v>41</v>
      </c>
      <c r="E504">
        <v>0</v>
      </c>
      <c r="F504">
        <v>41</v>
      </c>
      <c r="G504">
        <v>0</v>
      </c>
      <c r="H504">
        <v>0</v>
      </c>
      <c r="I504">
        <v>0</v>
      </c>
      <c r="J504">
        <v>0</v>
      </c>
      <c r="K504">
        <v>0</v>
      </c>
    </row>
    <row r="505" spans="1:11">
      <c r="A505" t="s">
        <v>67</v>
      </c>
      <c r="B505">
        <v>83</v>
      </c>
      <c r="C505">
        <v>56</v>
      </c>
      <c r="D505">
        <v>14</v>
      </c>
      <c r="E505">
        <v>0</v>
      </c>
      <c r="F505">
        <v>13</v>
      </c>
      <c r="G505">
        <v>0</v>
      </c>
      <c r="H505">
        <v>0</v>
      </c>
      <c r="I505">
        <v>0</v>
      </c>
      <c r="J505">
        <v>0</v>
      </c>
      <c r="K505">
        <v>0</v>
      </c>
    </row>
    <row r="506" spans="1:11">
      <c r="A506" t="s">
        <v>68</v>
      </c>
      <c r="B506">
        <v>142</v>
      </c>
      <c r="C506">
        <v>96</v>
      </c>
      <c r="D506">
        <v>23</v>
      </c>
      <c r="E506">
        <v>0</v>
      </c>
      <c r="F506">
        <v>23</v>
      </c>
      <c r="G506">
        <v>0</v>
      </c>
      <c r="H506">
        <v>0</v>
      </c>
      <c r="I506">
        <v>0</v>
      </c>
      <c r="J506">
        <v>0</v>
      </c>
      <c r="K506">
        <v>0</v>
      </c>
    </row>
    <row r="507" spans="1:11">
      <c r="A507" t="s">
        <v>69</v>
      </c>
      <c r="B507">
        <v>214</v>
      </c>
      <c r="C507">
        <v>144</v>
      </c>
      <c r="D507">
        <v>35</v>
      </c>
      <c r="E507">
        <v>0</v>
      </c>
      <c r="F507">
        <v>35</v>
      </c>
      <c r="G507">
        <v>0</v>
      </c>
      <c r="H507">
        <v>0</v>
      </c>
      <c r="I507">
        <v>0</v>
      </c>
      <c r="J507">
        <v>0</v>
      </c>
      <c r="K507">
        <v>0</v>
      </c>
    </row>
    <row r="508" spans="1:11">
      <c r="A508" t="s">
        <v>70</v>
      </c>
      <c r="B508">
        <v>283</v>
      </c>
      <c r="C508">
        <v>191</v>
      </c>
      <c r="D508">
        <v>46</v>
      </c>
      <c r="E508">
        <v>0</v>
      </c>
      <c r="F508">
        <v>46</v>
      </c>
      <c r="G508">
        <v>0</v>
      </c>
      <c r="H508">
        <v>0</v>
      </c>
      <c r="I508">
        <v>0</v>
      </c>
      <c r="J508">
        <v>0</v>
      </c>
      <c r="K508">
        <v>0</v>
      </c>
    </row>
    <row r="509" spans="1:11">
      <c r="A509" t="s">
        <v>71</v>
      </c>
      <c r="B509">
        <v>279</v>
      </c>
      <c r="C509">
        <v>188</v>
      </c>
      <c r="D509">
        <v>46</v>
      </c>
      <c r="E509">
        <v>0</v>
      </c>
      <c r="F509">
        <v>45</v>
      </c>
      <c r="G509">
        <v>0</v>
      </c>
      <c r="H509">
        <v>0</v>
      </c>
      <c r="I509">
        <v>0</v>
      </c>
      <c r="J509">
        <v>0</v>
      </c>
      <c r="K509">
        <v>0</v>
      </c>
    </row>
    <row r="510" spans="1:11">
      <c r="A510" t="s">
        <v>15</v>
      </c>
      <c r="B510">
        <v>128</v>
      </c>
      <c r="C510">
        <v>86</v>
      </c>
      <c r="D510">
        <v>21</v>
      </c>
      <c r="E510">
        <v>0</v>
      </c>
      <c r="F510">
        <v>21</v>
      </c>
      <c r="G510">
        <v>0</v>
      </c>
      <c r="H510">
        <v>0</v>
      </c>
      <c r="I510">
        <v>0</v>
      </c>
      <c r="J510">
        <v>0</v>
      </c>
      <c r="K510">
        <v>0</v>
      </c>
    </row>
    <row r="511" spans="1:11">
      <c r="A511" t="s">
        <v>72</v>
      </c>
      <c r="B511">
        <v>173</v>
      </c>
      <c r="C511">
        <v>117</v>
      </c>
      <c r="D511">
        <v>28</v>
      </c>
      <c r="E511">
        <v>0</v>
      </c>
      <c r="F511">
        <v>28</v>
      </c>
      <c r="G511">
        <v>0</v>
      </c>
      <c r="H511">
        <v>0</v>
      </c>
      <c r="I511">
        <v>0</v>
      </c>
      <c r="J511">
        <v>0</v>
      </c>
      <c r="K511">
        <v>0</v>
      </c>
    </row>
    <row r="512" spans="1:11">
      <c r="A512" t="s">
        <v>17</v>
      </c>
      <c r="B512">
        <v>171</v>
      </c>
      <c r="C512">
        <v>115</v>
      </c>
      <c r="D512">
        <v>28</v>
      </c>
      <c r="E512">
        <v>0</v>
      </c>
      <c r="F512">
        <v>28</v>
      </c>
      <c r="G512">
        <v>0</v>
      </c>
      <c r="H512">
        <v>0</v>
      </c>
      <c r="I512">
        <v>0</v>
      </c>
      <c r="J512">
        <v>0</v>
      </c>
      <c r="K512">
        <v>0</v>
      </c>
    </row>
    <row r="513" spans="1:11">
      <c r="A513" t="s">
        <v>73</v>
      </c>
      <c r="B513">
        <v>255</v>
      </c>
      <c r="C513">
        <v>173</v>
      </c>
      <c r="D513">
        <v>41</v>
      </c>
      <c r="E513">
        <v>0</v>
      </c>
      <c r="F513">
        <v>41</v>
      </c>
      <c r="G513">
        <v>0</v>
      </c>
      <c r="H513">
        <v>0</v>
      </c>
      <c r="I513">
        <v>0</v>
      </c>
      <c r="J513">
        <v>0</v>
      </c>
      <c r="K513">
        <v>0</v>
      </c>
    </row>
    <row r="514" spans="1:11">
      <c r="A514" t="s">
        <v>5</v>
      </c>
      <c r="B514">
        <v>46</v>
      </c>
      <c r="C514">
        <v>31</v>
      </c>
      <c r="D514">
        <v>8</v>
      </c>
      <c r="E514">
        <v>0</v>
      </c>
      <c r="F514">
        <v>7</v>
      </c>
      <c r="G514">
        <v>0</v>
      </c>
      <c r="H514">
        <v>0</v>
      </c>
      <c r="I514">
        <v>0</v>
      </c>
      <c r="J514">
        <v>0</v>
      </c>
      <c r="K514">
        <v>0</v>
      </c>
    </row>
    <row r="515" spans="1:11">
      <c r="A515" t="s">
        <v>74</v>
      </c>
      <c r="B515">
        <v>112</v>
      </c>
      <c r="C515">
        <v>76</v>
      </c>
      <c r="D515">
        <v>18</v>
      </c>
      <c r="E515">
        <v>0</v>
      </c>
      <c r="F515">
        <v>18</v>
      </c>
      <c r="G515">
        <v>0</v>
      </c>
      <c r="H515">
        <v>0</v>
      </c>
      <c r="I515">
        <v>0</v>
      </c>
      <c r="J515">
        <v>0</v>
      </c>
      <c r="K515">
        <v>0</v>
      </c>
    </row>
    <row r="516" spans="1:11">
      <c r="A516" t="s">
        <v>75</v>
      </c>
      <c r="B516">
        <v>99</v>
      </c>
      <c r="C516">
        <v>67</v>
      </c>
      <c r="D516">
        <v>16</v>
      </c>
      <c r="E516">
        <v>0</v>
      </c>
      <c r="F516">
        <v>16</v>
      </c>
      <c r="G516">
        <v>0</v>
      </c>
      <c r="H516">
        <v>0</v>
      </c>
      <c r="I516">
        <v>0</v>
      </c>
      <c r="J516">
        <v>0</v>
      </c>
      <c r="K516">
        <v>0</v>
      </c>
    </row>
    <row r="517" spans="1:11">
      <c r="A517" t="s">
        <v>76</v>
      </c>
      <c r="B517">
        <v>257</v>
      </c>
      <c r="C517">
        <v>173</v>
      </c>
      <c r="D517">
        <v>42</v>
      </c>
      <c r="E517">
        <v>0</v>
      </c>
      <c r="F517">
        <v>42</v>
      </c>
      <c r="G517">
        <v>0</v>
      </c>
      <c r="H517">
        <v>0</v>
      </c>
      <c r="I517">
        <v>0</v>
      </c>
      <c r="J517">
        <v>0</v>
      </c>
      <c r="K517">
        <v>0</v>
      </c>
    </row>
    <row r="518" spans="1:11">
      <c r="A518" t="s">
        <v>927</v>
      </c>
      <c r="C518">
        <v>0</v>
      </c>
      <c r="D518">
        <v>0</v>
      </c>
      <c r="E518">
        <v>0</v>
      </c>
      <c r="F518">
        <v>0</v>
      </c>
      <c r="G518">
        <v>0</v>
      </c>
      <c r="H518">
        <v>0</v>
      </c>
      <c r="I518">
        <v>0</v>
      </c>
      <c r="J518">
        <v>0</v>
      </c>
      <c r="K518">
        <v>0</v>
      </c>
    </row>
    <row r="519" spans="1:11">
      <c r="A519" t="s">
        <v>927</v>
      </c>
      <c r="B519">
        <v>0</v>
      </c>
      <c r="C519">
        <v>0</v>
      </c>
      <c r="D519">
        <v>0</v>
      </c>
      <c r="E519">
        <v>0</v>
      </c>
      <c r="F519">
        <v>0</v>
      </c>
      <c r="G519">
        <v>0</v>
      </c>
      <c r="H519">
        <v>0</v>
      </c>
      <c r="I519">
        <v>0</v>
      </c>
      <c r="J519">
        <v>0</v>
      </c>
      <c r="K519">
        <v>0</v>
      </c>
    </row>
    <row r="520" spans="1:11">
      <c r="A520" t="s">
        <v>77</v>
      </c>
      <c r="B520">
        <v>174</v>
      </c>
      <c r="C520">
        <v>118</v>
      </c>
      <c r="D520">
        <v>28</v>
      </c>
      <c r="E520">
        <v>0</v>
      </c>
      <c r="F520">
        <v>28</v>
      </c>
      <c r="G520">
        <v>0</v>
      </c>
      <c r="H520">
        <v>0</v>
      </c>
      <c r="I520">
        <v>0</v>
      </c>
      <c r="J520">
        <v>0</v>
      </c>
      <c r="K520">
        <v>0</v>
      </c>
    </row>
    <row r="521" spans="1:11">
      <c r="A521" t="s">
        <v>78</v>
      </c>
      <c r="B521">
        <v>104</v>
      </c>
      <c r="C521">
        <v>70</v>
      </c>
      <c r="D521">
        <v>17</v>
      </c>
      <c r="E521">
        <v>0</v>
      </c>
      <c r="F521">
        <v>17</v>
      </c>
      <c r="G521">
        <v>0</v>
      </c>
      <c r="H521">
        <v>0</v>
      </c>
      <c r="I521">
        <v>0</v>
      </c>
      <c r="J521">
        <v>0</v>
      </c>
      <c r="K521">
        <v>0</v>
      </c>
    </row>
    <row r="522" spans="1:11">
      <c r="A522" t="s">
        <v>928</v>
      </c>
      <c r="C522">
        <v>0</v>
      </c>
      <c r="D522">
        <v>0</v>
      </c>
      <c r="E522">
        <v>0</v>
      </c>
      <c r="F522">
        <v>0</v>
      </c>
      <c r="G522">
        <v>0</v>
      </c>
      <c r="H522">
        <v>0</v>
      </c>
      <c r="I522">
        <v>0</v>
      </c>
      <c r="J522">
        <v>0</v>
      </c>
      <c r="K522">
        <v>0</v>
      </c>
    </row>
    <row r="523" spans="1:11">
      <c r="A523" t="s">
        <v>928</v>
      </c>
      <c r="B523">
        <v>3</v>
      </c>
      <c r="C523">
        <v>1</v>
      </c>
      <c r="D523">
        <v>1</v>
      </c>
      <c r="E523">
        <v>0</v>
      </c>
      <c r="F523">
        <v>1</v>
      </c>
      <c r="G523">
        <v>0</v>
      </c>
      <c r="H523">
        <v>0</v>
      </c>
      <c r="I523">
        <v>0</v>
      </c>
      <c r="J523">
        <v>0</v>
      </c>
      <c r="K523">
        <v>0</v>
      </c>
    </row>
    <row r="524" spans="1:11">
      <c r="A524" t="s">
        <v>14</v>
      </c>
      <c r="B524">
        <v>102</v>
      </c>
      <c r="C524">
        <v>69</v>
      </c>
      <c r="D524">
        <v>17</v>
      </c>
      <c r="E524">
        <v>0</v>
      </c>
      <c r="F524">
        <v>16</v>
      </c>
      <c r="G524">
        <v>0</v>
      </c>
      <c r="H524">
        <v>0</v>
      </c>
      <c r="I524">
        <v>0</v>
      </c>
      <c r="J524">
        <v>0</v>
      </c>
      <c r="K524">
        <v>0</v>
      </c>
    </row>
    <row r="525" spans="1:11">
      <c r="A525" t="s">
        <v>79</v>
      </c>
      <c r="B525">
        <v>11</v>
      </c>
      <c r="C525">
        <v>7</v>
      </c>
      <c r="D525">
        <v>2</v>
      </c>
      <c r="E525">
        <v>0</v>
      </c>
      <c r="F525">
        <v>2</v>
      </c>
      <c r="G525">
        <v>0</v>
      </c>
      <c r="H525">
        <v>0</v>
      </c>
      <c r="I525">
        <v>0</v>
      </c>
      <c r="J525">
        <v>0</v>
      </c>
      <c r="K525">
        <v>0</v>
      </c>
    </row>
    <row r="526" spans="1:11">
      <c r="A526" t="s">
        <v>80</v>
      </c>
      <c r="B526">
        <v>155</v>
      </c>
      <c r="C526">
        <v>105</v>
      </c>
      <c r="D526">
        <v>25</v>
      </c>
      <c r="E526">
        <v>0</v>
      </c>
      <c r="F526">
        <v>25</v>
      </c>
      <c r="G526">
        <v>0</v>
      </c>
      <c r="H526">
        <v>0</v>
      </c>
      <c r="I526">
        <v>0</v>
      </c>
      <c r="J526">
        <v>0</v>
      </c>
      <c r="K526">
        <v>0</v>
      </c>
    </row>
    <row r="527" spans="1:11">
      <c r="A527" t="s">
        <v>81</v>
      </c>
      <c r="B527">
        <v>90</v>
      </c>
      <c r="C527">
        <v>61</v>
      </c>
      <c r="D527">
        <v>15</v>
      </c>
      <c r="E527">
        <v>0</v>
      </c>
      <c r="F527">
        <v>14</v>
      </c>
      <c r="G527">
        <v>0</v>
      </c>
      <c r="H527">
        <v>0</v>
      </c>
      <c r="I527">
        <v>0</v>
      </c>
      <c r="J527">
        <v>0</v>
      </c>
      <c r="K527">
        <v>0</v>
      </c>
    </row>
    <row r="528" spans="1:11">
      <c r="A528" t="s">
        <v>41</v>
      </c>
      <c r="B528">
        <v>253</v>
      </c>
      <c r="C528">
        <v>171</v>
      </c>
      <c r="D528">
        <v>41</v>
      </c>
      <c r="E528">
        <v>0</v>
      </c>
      <c r="F528">
        <v>41</v>
      </c>
      <c r="G528">
        <v>0</v>
      </c>
      <c r="H528">
        <v>0</v>
      </c>
      <c r="I528">
        <v>0</v>
      </c>
      <c r="J528">
        <v>0</v>
      </c>
      <c r="K528">
        <v>0</v>
      </c>
    </row>
    <row r="529" spans="1:11">
      <c r="A529" t="s">
        <v>82</v>
      </c>
      <c r="B529">
        <v>48</v>
      </c>
      <c r="C529">
        <v>32</v>
      </c>
      <c r="D529">
        <v>8</v>
      </c>
      <c r="E529">
        <v>0</v>
      </c>
      <c r="F529">
        <v>8</v>
      </c>
      <c r="G529">
        <v>0</v>
      </c>
      <c r="H529">
        <v>0</v>
      </c>
      <c r="I529">
        <v>0</v>
      </c>
      <c r="J529">
        <v>0</v>
      </c>
      <c r="K529">
        <v>0</v>
      </c>
    </row>
    <row r="530" spans="1:11">
      <c r="A530" t="s">
        <v>83</v>
      </c>
      <c r="B530">
        <v>137</v>
      </c>
      <c r="C530">
        <v>93</v>
      </c>
      <c r="D530">
        <v>22</v>
      </c>
      <c r="E530">
        <v>0</v>
      </c>
      <c r="F530">
        <v>22</v>
      </c>
      <c r="G530">
        <v>0</v>
      </c>
      <c r="H530">
        <v>0</v>
      </c>
      <c r="I530">
        <v>0</v>
      </c>
      <c r="J530">
        <v>0</v>
      </c>
      <c r="K530">
        <v>0</v>
      </c>
    </row>
    <row r="531" spans="1:11">
      <c r="A531" t="s">
        <v>22</v>
      </c>
      <c r="B531">
        <v>189</v>
      </c>
      <c r="C531">
        <v>127</v>
      </c>
      <c r="D531">
        <v>31</v>
      </c>
      <c r="E531">
        <v>0</v>
      </c>
      <c r="F531">
        <v>31</v>
      </c>
      <c r="G531">
        <v>0</v>
      </c>
      <c r="H531">
        <v>0</v>
      </c>
      <c r="I531">
        <v>0</v>
      </c>
      <c r="J531">
        <v>0</v>
      </c>
      <c r="K531">
        <v>0</v>
      </c>
    </row>
    <row r="532" spans="1:11">
      <c r="A532" t="s">
        <v>84</v>
      </c>
      <c r="B532">
        <v>148</v>
      </c>
      <c r="C532">
        <v>100</v>
      </c>
      <c r="D532">
        <v>24</v>
      </c>
      <c r="E532">
        <v>0</v>
      </c>
      <c r="F532">
        <v>24</v>
      </c>
      <c r="G532">
        <v>0</v>
      </c>
      <c r="H532">
        <v>0</v>
      </c>
      <c r="I532">
        <v>0</v>
      </c>
      <c r="J532">
        <v>0</v>
      </c>
      <c r="K532">
        <v>0</v>
      </c>
    </row>
    <row r="533" spans="1:11">
      <c r="A533" t="s">
        <v>85</v>
      </c>
      <c r="B533">
        <v>271</v>
      </c>
      <c r="C533">
        <v>183</v>
      </c>
      <c r="D533">
        <v>44</v>
      </c>
      <c r="E533">
        <v>0</v>
      </c>
      <c r="F533">
        <v>44</v>
      </c>
      <c r="G533">
        <v>0</v>
      </c>
      <c r="H533">
        <v>0</v>
      </c>
      <c r="I533">
        <v>0</v>
      </c>
      <c r="J533">
        <v>0</v>
      </c>
      <c r="K533">
        <v>0</v>
      </c>
    </row>
    <row r="534" spans="1:11">
      <c r="A534" t="s">
        <v>86</v>
      </c>
      <c r="B534">
        <v>161</v>
      </c>
      <c r="C534">
        <v>109</v>
      </c>
      <c r="D534">
        <v>26</v>
      </c>
      <c r="E534">
        <v>0</v>
      </c>
      <c r="F534">
        <v>26</v>
      </c>
      <c r="G534">
        <v>0</v>
      </c>
      <c r="H534">
        <v>0</v>
      </c>
      <c r="I534">
        <v>0</v>
      </c>
      <c r="J534">
        <v>0</v>
      </c>
      <c r="K534">
        <v>0</v>
      </c>
    </row>
    <row r="535" spans="1:11">
      <c r="A535" t="s">
        <v>87</v>
      </c>
      <c r="B535">
        <v>143</v>
      </c>
      <c r="C535">
        <v>97</v>
      </c>
      <c r="D535">
        <v>23</v>
      </c>
      <c r="E535">
        <v>0</v>
      </c>
      <c r="F535">
        <v>23</v>
      </c>
      <c r="G535">
        <v>0</v>
      </c>
      <c r="H535">
        <v>0</v>
      </c>
      <c r="I535">
        <v>0</v>
      </c>
      <c r="J535">
        <v>0</v>
      </c>
      <c r="K535">
        <v>0</v>
      </c>
    </row>
    <row r="536" spans="1:11">
      <c r="A536" t="s">
        <v>16</v>
      </c>
      <c r="B536">
        <v>136</v>
      </c>
      <c r="C536">
        <v>92</v>
      </c>
      <c r="D536">
        <v>22</v>
      </c>
      <c r="E536">
        <v>0</v>
      </c>
      <c r="F536">
        <v>22</v>
      </c>
      <c r="G536">
        <v>0</v>
      </c>
      <c r="H536">
        <v>0</v>
      </c>
      <c r="I536">
        <v>0</v>
      </c>
      <c r="J536">
        <v>0</v>
      </c>
      <c r="K536">
        <v>0</v>
      </c>
    </row>
    <row r="537" spans="1:11">
      <c r="A537" t="s">
        <v>480</v>
      </c>
      <c r="B537">
        <v>26</v>
      </c>
      <c r="C537">
        <v>26</v>
      </c>
      <c r="D537">
        <v>0</v>
      </c>
      <c r="E537">
        <v>0</v>
      </c>
      <c r="F537">
        <v>0</v>
      </c>
      <c r="G537">
        <v>0</v>
      </c>
      <c r="H537">
        <v>0</v>
      </c>
      <c r="I537">
        <v>0</v>
      </c>
      <c r="J537">
        <v>0</v>
      </c>
      <c r="K537">
        <v>0</v>
      </c>
    </row>
    <row r="538" spans="1:11">
      <c r="A538" t="s">
        <v>482</v>
      </c>
      <c r="B538">
        <v>112</v>
      </c>
      <c r="C538">
        <v>112</v>
      </c>
      <c r="D538">
        <v>0</v>
      </c>
      <c r="E538">
        <v>0</v>
      </c>
      <c r="F538">
        <v>0</v>
      </c>
      <c r="G538">
        <v>0</v>
      </c>
      <c r="H538">
        <v>0</v>
      </c>
      <c r="I538">
        <v>0</v>
      </c>
      <c r="J538">
        <v>0</v>
      </c>
      <c r="K538">
        <v>0</v>
      </c>
    </row>
    <row r="539" spans="1:11">
      <c r="A539" t="s">
        <v>481</v>
      </c>
      <c r="B539">
        <v>150</v>
      </c>
      <c r="C539">
        <v>150</v>
      </c>
      <c r="D539">
        <v>0</v>
      </c>
      <c r="E539">
        <v>0</v>
      </c>
      <c r="F539">
        <v>0</v>
      </c>
      <c r="G539">
        <v>0</v>
      </c>
      <c r="H539">
        <v>0</v>
      </c>
      <c r="I539">
        <v>0</v>
      </c>
      <c r="J539">
        <v>0</v>
      </c>
      <c r="K539">
        <v>0</v>
      </c>
    </row>
    <row r="540" spans="1:11">
      <c r="A540" t="s">
        <v>484</v>
      </c>
      <c r="B540">
        <v>157</v>
      </c>
      <c r="C540">
        <v>157</v>
      </c>
      <c r="D540">
        <v>0</v>
      </c>
      <c r="E540">
        <v>0</v>
      </c>
      <c r="F540">
        <v>0</v>
      </c>
      <c r="G540">
        <v>0</v>
      </c>
      <c r="H540">
        <v>0</v>
      </c>
      <c r="I540">
        <v>0</v>
      </c>
      <c r="J540">
        <v>0</v>
      </c>
      <c r="K540">
        <v>0</v>
      </c>
    </row>
    <row r="541" spans="1:11">
      <c r="A541" t="s">
        <v>483</v>
      </c>
      <c r="B541">
        <v>110</v>
      </c>
      <c r="C541">
        <v>110</v>
      </c>
      <c r="D541">
        <v>0</v>
      </c>
      <c r="E541">
        <v>0</v>
      </c>
      <c r="F541">
        <v>0</v>
      </c>
      <c r="G541">
        <v>0</v>
      </c>
      <c r="H541">
        <v>0</v>
      </c>
      <c r="I541">
        <v>0</v>
      </c>
      <c r="J541">
        <v>0</v>
      </c>
      <c r="K541">
        <v>0</v>
      </c>
    </row>
    <row r="542" spans="1:11">
      <c r="A542" t="s">
        <v>528</v>
      </c>
      <c r="B542">
        <v>0</v>
      </c>
      <c r="C542">
        <v>0</v>
      </c>
      <c r="D542">
        <v>0</v>
      </c>
      <c r="E542">
        <v>0</v>
      </c>
      <c r="F542">
        <v>0</v>
      </c>
      <c r="G542">
        <v>0</v>
      </c>
      <c r="H542">
        <v>0</v>
      </c>
      <c r="I542">
        <v>0</v>
      </c>
      <c r="J542">
        <v>0</v>
      </c>
      <c r="K542">
        <v>0</v>
      </c>
    </row>
    <row r="543" spans="1:11">
      <c r="A543" t="s">
        <v>529</v>
      </c>
      <c r="B543">
        <v>3</v>
      </c>
      <c r="C543">
        <v>0</v>
      </c>
      <c r="D543">
        <v>0</v>
      </c>
      <c r="E543">
        <v>0</v>
      </c>
      <c r="F543">
        <v>3</v>
      </c>
      <c r="G543">
        <v>0</v>
      </c>
      <c r="H543">
        <v>0</v>
      </c>
      <c r="I543">
        <v>0</v>
      </c>
      <c r="J543">
        <v>0</v>
      </c>
      <c r="K543">
        <v>0</v>
      </c>
    </row>
    <row r="544" spans="1:11">
      <c r="A544" t="s">
        <v>530</v>
      </c>
      <c r="B544">
        <v>5</v>
      </c>
      <c r="C544">
        <v>0</v>
      </c>
      <c r="D544">
        <v>0</v>
      </c>
      <c r="E544">
        <v>0</v>
      </c>
      <c r="F544">
        <v>5</v>
      </c>
      <c r="G544">
        <v>0</v>
      </c>
      <c r="H544">
        <v>0</v>
      </c>
      <c r="I544">
        <v>0</v>
      </c>
      <c r="J544">
        <v>0</v>
      </c>
      <c r="K544">
        <v>0</v>
      </c>
    </row>
    <row r="545" spans="1:11">
      <c r="A545" t="s">
        <v>531</v>
      </c>
      <c r="B545">
        <v>5</v>
      </c>
      <c r="C545">
        <v>0</v>
      </c>
      <c r="D545">
        <v>0</v>
      </c>
      <c r="E545">
        <v>0</v>
      </c>
      <c r="F545">
        <v>5</v>
      </c>
      <c r="G545">
        <v>0</v>
      </c>
      <c r="H545">
        <v>0</v>
      </c>
      <c r="I545">
        <v>0</v>
      </c>
      <c r="J545">
        <v>0</v>
      </c>
      <c r="K545">
        <v>0</v>
      </c>
    </row>
    <row r="546" spans="1:11">
      <c r="A546" t="s">
        <v>532</v>
      </c>
      <c r="B546">
        <v>5</v>
      </c>
      <c r="C546">
        <v>0</v>
      </c>
      <c r="D546">
        <v>0</v>
      </c>
      <c r="E546">
        <v>0</v>
      </c>
      <c r="F546">
        <v>5</v>
      </c>
      <c r="G546">
        <v>0</v>
      </c>
      <c r="H546">
        <v>0</v>
      </c>
      <c r="I546">
        <v>0</v>
      </c>
      <c r="J546">
        <v>0</v>
      </c>
      <c r="K546">
        <v>0</v>
      </c>
    </row>
    <row r="547" spans="1:11">
      <c r="A547" t="s">
        <v>88</v>
      </c>
      <c r="B547">
        <v>0</v>
      </c>
      <c r="C547">
        <v>0</v>
      </c>
      <c r="D547">
        <v>0</v>
      </c>
      <c r="E547">
        <v>0</v>
      </c>
      <c r="F547">
        <v>0</v>
      </c>
      <c r="G547">
        <v>0</v>
      </c>
      <c r="H547">
        <v>0</v>
      </c>
      <c r="I547">
        <v>0</v>
      </c>
      <c r="J547">
        <v>0</v>
      </c>
      <c r="K547">
        <v>0</v>
      </c>
    </row>
    <row r="548" spans="1:11">
      <c r="A548" t="s">
        <v>32</v>
      </c>
      <c r="B548">
        <v>89</v>
      </c>
      <c r="C548">
        <v>60</v>
      </c>
      <c r="D548">
        <v>15</v>
      </c>
      <c r="E548">
        <v>0</v>
      </c>
      <c r="F548">
        <v>14</v>
      </c>
      <c r="G548">
        <v>0</v>
      </c>
      <c r="H548">
        <v>0</v>
      </c>
      <c r="I548">
        <v>0</v>
      </c>
      <c r="J548">
        <v>0</v>
      </c>
      <c r="K548">
        <v>0</v>
      </c>
    </row>
    <row r="549" spans="1:11">
      <c r="A549" t="s">
        <v>38</v>
      </c>
      <c r="B549">
        <v>21</v>
      </c>
      <c r="C549">
        <v>15</v>
      </c>
      <c r="D549">
        <v>3</v>
      </c>
      <c r="E549">
        <v>0</v>
      </c>
      <c r="F549">
        <v>3</v>
      </c>
      <c r="G549">
        <v>0</v>
      </c>
      <c r="H549">
        <v>0</v>
      </c>
      <c r="I549">
        <v>0</v>
      </c>
      <c r="J549">
        <v>0</v>
      </c>
      <c r="K549">
        <v>0</v>
      </c>
    </row>
    <row r="550" spans="1:11">
      <c r="A550" t="s">
        <v>3</v>
      </c>
      <c r="B550">
        <v>7</v>
      </c>
      <c r="C550">
        <v>5</v>
      </c>
      <c r="D550">
        <v>1</v>
      </c>
      <c r="E550">
        <v>0</v>
      </c>
      <c r="F550">
        <v>1</v>
      </c>
      <c r="G550">
        <v>0</v>
      </c>
      <c r="H550">
        <v>0</v>
      </c>
      <c r="I550">
        <v>0</v>
      </c>
      <c r="J550">
        <v>0</v>
      </c>
      <c r="K550">
        <v>0</v>
      </c>
    </row>
    <row r="551" spans="1:11">
      <c r="A551" t="s">
        <v>20</v>
      </c>
      <c r="B551">
        <v>70</v>
      </c>
      <c r="C551">
        <v>48</v>
      </c>
      <c r="D551">
        <v>11</v>
      </c>
      <c r="E551">
        <v>0</v>
      </c>
      <c r="F551">
        <v>11</v>
      </c>
      <c r="G551">
        <v>0</v>
      </c>
      <c r="H551">
        <v>0</v>
      </c>
      <c r="I551">
        <v>0</v>
      </c>
      <c r="J551">
        <v>0</v>
      </c>
      <c r="K551">
        <v>0</v>
      </c>
    </row>
    <row r="552" spans="1:11">
      <c r="A552" t="s">
        <v>89</v>
      </c>
      <c r="B552">
        <v>122</v>
      </c>
      <c r="C552">
        <v>83</v>
      </c>
      <c r="D552">
        <v>20</v>
      </c>
      <c r="E552">
        <v>0</v>
      </c>
      <c r="F552">
        <v>19</v>
      </c>
      <c r="G552">
        <v>0</v>
      </c>
      <c r="H552">
        <v>0</v>
      </c>
      <c r="I552">
        <v>0</v>
      </c>
      <c r="J552">
        <v>0</v>
      </c>
      <c r="K552">
        <v>0</v>
      </c>
    </row>
    <row r="553" spans="1:11">
      <c r="A553" t="s">
        <v>8</v>
      </c>
      <c r="B553">
        <v>109</v>
      </c>
      <c r="C553">
        <v>74</v>
      </c>
      <c r="D553">
        <v>18</v>
      </c>
      <c r="E553">
        <v>0</v>
      </c>
      <c r="F553">
        <v>17</v>
      </c>
      <c r="G553">
        <v>0</v>
      </c>
      <c r="H553">
        <v>0</v>
      </c>
      <c r="I553">
        <v>0</v>
      </c>
      <c r="J553">
        <v>0</v>
      </c>
      <c r="K553">
        <v>0</v>
      </c>
    </row>
    <row r="554" spans="1:11">
      <c r="A554" t="s">
        <v>90</v>
      </c>
      <c r="B554">
        <v>181</v>
      </c>
      <c r="C554">
        <v>122</v>
      </c>
      <c r="D554">
        <v>30</v>
      </c>
      <c r="E554">
        <v>0</v>
      </c>
      <c r="F554">
        <v>29</v>
      </c>
      <c r="G554">
        <v>0</v>
      </c>
      <c r="H554">
        <v>0</v>
      </c>
      <c r="I554">
        <v>0</v>
      </c>
      <c r="J554">
        <v>0</v>
      </c>
      <c r="K554">
        <v>0</v>
      </c>
    </row>
    <row r="555" spans="1:11">
      <c r="A555" t="s">
        <v>91</v>
      </c>
      <c r="B555">
        <v>0</v>
      </c>
      <c r="C555">
        <v>0</v>
      </c>
      <c r="D555">
        <v>0</v>
      </c>
      <c r="E555">
        <v>0</v>
      </c>
      <c r="F555">
        <v>0</v>
      </c>
      <c r="G555">
        <v>0</v>
      </c>
      <c r="H555">
        <v>0</v>
      </c>
      <c r="I555">
        <v>0</v>
      </c>
      <c r="J555">
        <v>0</v>
      </c>
      <c r="K555">
        <v>0</v>
      </c>
    </row>
    <row r="556" spans="1:11">
      <c r="A556" t="s">
        <v>92</v>
      </c>
      <c r="B556">
        <v>105</v>
      </c>
      <c r="C556">
        <v>71</v>
      </c>
      <c r="D556">
        <v>17</v>
      </c>
      <c r="E556">
        <v>0</v>
      </c>
      <c r="F556">
        <v>17</v>
      </c>
      <c r="G556">
        <v>0</v>
      </c>
      <c r="H556">
        <v>0</v>
      </c>
      <c r="I556">
        <v>0</v>
      </c>
      <c r="J556">
        <v>0</v>
      </c>
      <c r="K556">
        <v>0</v>
      </c>
    </row>
    <row r="557" spans="1:11">
      <c r="A557" t="s">
        <v>930</v>
      </c>
      <c r="B557">
        <v>48</v>
      </c>
      <c r="C557">
        <v>32</v>
      </c>
      <c r="D557">
        <v>8</v>
      </c>
      <c r="E557">
        <v>0</v>
      </c>
      <c r="F557">
        <v>8</v>
      </c>
      <c r="G557">
        <v>0</v>
      </c>
      <c r="H557">
        <v>0</v>
      </c>
      <c r="I557">
        <v>0</v>
      </c>
      <c r="J557">
        <v>0</v>
      </c>
      <c r="K557">
        <v>0</v>
      </c>
    </row>
    <row r="558" spans="1:11">
      <c r="A558" t="s">
        <v>13</v>
      </c>
      <c r="B558">
        <v>146</v>
      </c>
      <c r="C558">
        <v>98</v>
      </c>
      <c r="D558">
        <v>24</v>
      </c>
      <c r="E558">
        <v>0</v>
      </c>
      <c r="F558">
        <v>24</v>
      </c>
      <c r="G558">
        <v>0</v>
      </c>
      <c r="H558">
        <v>0</v>
      </c>
      <c r="I558">
        <v>0</v>
      </c>
      <c r="J558">
        <v>0</v>
      </c>
      <c r="K558">
        <v>0</v>
      </c>
    </row>
    <row r="559" spans="1:11">
      <c r="A559" t="s">
        <v>12</v>
      </c>
      <c r="B559">
        <v>16</v>
      </c>
      <c r="C559">
        <v>11</v>
      </c>
      <c r="D559">
        <v>3</v>
      </c>
      <c r="E559">
        <v>0</v>
      </c>
      <c r="F559">
        <v>2</v>
      </c>
      <c r="G559">
        <v>0</v>
      </c>
      <c r="H559">
        <v>0</v>
      </c>
      <c r="I559">
        <v>0</v>
      </c>
      <c r="J559">
        <v>0</v>
      </c>
      <c r="K559">
        <v>0</v>
      </c>
    </row>
    <row r="560" spans="1:11">
      <c r="A560" t="s">
        <v>931</v>
      </c>
      <c r="B560">
        <v>0</v>
      </c>
      <c r="C560">
        <v>0</v>
      </c>
      <c r="D560">
        <v>0</v>
      </c>
      <c r="E560">
        <v>0</v>
      </c>
      <c r="F560">
        <v>0</v>
      </c>
      <c r="G560">
        <v>0</v>
      </c>
      <c r="H560">
        <v>0</v>
      </c>
      <c r="I560">
        <v>0</v>
      </c>
      <c r="J560">
        <v>0</v>
      </c>
      <c r="K560">
        <v>0</v>
      </c>
    </row>
    <row r="561" spans="1:11">
      <c r="A561" t="s">
        <v>21</v>
      </c>
      <c r="B561">
        <v>224</v>
      </c>
      <c r="C561">
        <v>151</v>
      </c>
      <c r="D561">
        <v>37</v>
      </c>
      <c r="E561">
        <v>0</v>
      </c>
      <c r="F561">
        <v>36</v>
      </c>
      <c r="G561">
        <v>0</v>
      </c>
      <c r="H561">
        <v>0</v>
      </c>
      <c r="I561">
        <v>0</v>
      </c>
      <c r="J561">
        <v>0</v>
      </c>
      <c r="K561">
        <v>0</v>
      </c>
    </row>
    <row r="562" spans="1:11">
      <c r="A562" t="s">
        <v>93</v>
      </c>
      <c r="B562">
        <v>133</v>
      </c>
      <c r="C562">
        <v>90</v>
      </c>
      <c r="D562">
        <v>22</v>
      </c>
      <c r="E562">
        <v>0</v>
      </c>
      <c r="F562">
        <v>21</v>
      </c>
      <c r="G562">
        <v>0</v>
      </c>
      <c r="H562">
        <v>0</v>
      </c>
      <c r="I562">
        <v>0</v>
      </c>
      <c r="J562">
        <v>0</v>
      </c>
      <c r="K562">
        <v>0</v>
      </c>
    </row>
    <row r="563" spans="1:11">
      <c r="A563" t="s">
        <v>932</v>
      </c>
      <c r="C563">
        <v>0</v>
      </c>
      <c r="D563">
        <v>0</v>
      </c>
      <c r="E563">
        <v>0</v>
      </c>
      <c r="F563">
        <v>0</v>
      </c>
      <c r="G563">
        <v>0</v>
      </c>
      <c r="H563">
        <v>0</v>
      </c>
      <c r="I563">
        <v>0</v>
      </c>
      <c r="J563">
        <v>0</v>
      </c>
      <c r="K563">
        <v>0</v>
      </c>
    </row>
    <row r="564" spans="1:11">
      <c r="A564" t="s">
        <v>932</v>
      </c>
      <c r="B564">
        <v>0</v>
      </c>
      <c r="C564">
        <v>0</v>
      </c>
      <c r="D564">
        <v>0</v>
      </c>
      <c r="E564">
        <v>0</v>
      </c>
      <c r="F564">
        <v>0</v>
      </c>
      <c r="G564">
        <v>0</v>
      </c>
      <c r="H564">
        <v>0</v>
      </c>
      <c r="I564">
        <v>0</v>
      </c>
      <c r="J564">
        <v>0</v>
      </c>
      <c r="K564">
        <v>0</v>
      </c>
    </row>
    <row r="565" spans="1:11">
      <c r="A565" t="s">
        <v>94</v>
      </c>
      <c r="B565">
        <v>0</v>
      </c>
      <c r="C565">
        <v>0</v>
      </c>
      <c r="D565">
        <v>0</v>
      </c>
      <c r="E565">
        <v>0</v>
      </c>
      <c r="F565">
        <v>0</v>
      </c>
      <c r="G565">
        <v>0</v>
      </c>
      <c r="H565">
        <v>0</v>
      </c>
      <c r="I565">
        <v>0</v>
      </c>
      <c r="J565">
        <v>0</v>
      </c>
      <c r="K565">
        <v>0</v>
      </c>
    </row>
    <row r="566" spans="1:11">
      <c r="A566" t="s">
        <v>933</v>
      </c>
      <c r="C566">
        <v>0</v>
      </c>
      <c r="D566">
        <v>0</v>
      </c>
      <c r="E566">
        <v>0</v>
      </c>
      <c r="F566">
        <v>0</v>
      </c>
      <c r="G566">
        <v>0</v>
      </c>
      <c r="H566">
        <v>0</v>
      </c>
      <c r="I566">
        <v>0</v>
      </c>
      <c r="J566">
        <v>0</v>
      </c>
      <c r="K566">
        <v>0</v>
      </c>
    </row>
    <row r="567" spans="1:11">
      <c r="A567" t="s">
        <v>933</v>
      </c>
      <c r="B567">
        <v>0</v>
      </c>
      <c r="C567">
        <v>0</v>
      </c>
      <c r="D567">
        <v>0</v>
      </c>
      <c r="E567">
        <v>0</v>
      </c>
      <c r="F567">
        <v>0</v>
      </c>
      <c r="G567">
        <v>0</v>
      </c>
      <c r="H567">
        <v>0</v>
      </c>
      <c r="I567">
        <v>0</v>
      </c>
      <c r="J567">
        <v>0</v>
      </c>
      <c r="K567">
        <v>0</v>
      </c>
    </row>
    <row r="568" spans="1:11">
      <c r="A568" t="s">
        <v>934</v>
      </c>
      <c r="C568">
        <v>0</v>
      </c>
      <c r="D568">
        <v>0</v>
      </c>
      <c r="E568">
        <v>0</v>
      </c>
      <c r="F568">
        <v>0</v>
      </c>
      <c r="G568">
        <v>0</v>
      </c>
      <c r="H568">
        <v>0</v>
      </c>
      <c r="I568">
        <v>0</v>
      </c>
      <c r="J568">
        <v>0</v>
      </c>
      <c r="K568">
        <v>0</v>
      </c>
    </row>
    <row r="569" spans="1:11">
      <c r="A569" t="s">
        <v>934</v>
      </c>
      <c r="B569">
        <v>0</v>
      </c>
      <c r="C569">
        <v>0</v>
      </c>
      <c r="D569">
        <v>0</v>
      </c>
      <c r="E569">
        <v>0</v>
      </c>
      <c r="F569">
        <v>0</v>
      </c>
      <c r="G569">
        <v>0</v>
      </c>
      <c r="H569">
        <v>0</v>
      </c>
      <c r="I569">
        <v>0</v>
      </c>
      <c r="J569">
        <v>0</v>
      </c>
      <c r="K569">
        <v>0</v>
      </c>
    </row>
    <row r="570" spans="1:11">
      <c r="A570" t="s">
        <v>11</v>
      </c>
      <c r="B570">
        <v>88</v>
      </c>
      <c r="C570">
        <v>60</v>
      </c>
      <c r="D570">
        <v>14</v>
      </c>
      <c r="E570">
        <v>0</v>
      </c>
      <c r="F570">
        <v>14</v>
      </c>
      <c r="G570">
        <v>0</v>
      </c>
      <c r="H570">
        <v>0</v>
      </c>
      <c r="I570">
        <v>0</v>
      </c>
      <c r="J570">
        <v>0</v>
      </c>
      <c r="K570">
        <v>0</v>
      </c>
    </row>
    <row r="571" spans="1:11">
      <c r="A571" t="s">
        <v>36</v>
      </c>
      <c r="B571">
        <v>24</v>
      </c>
      <c r="C571">
        <v>16</v>
      </c>
      <c r="D571">
        <v>4</v>
      </c>
      <c r="E571">
        <v>0</v>
      </c>
      <c r="F571">
        <v>4</v>
      </c>
      <c r="G571">
        <v>0</v>
      </c>
      <c r="H571">
        <v>0</v>
      </c>
      <c r="I571">
        <v>0</v>
      </c>
      <c r="J571">
        <v>0</v>
      </c>
      <c r="K571">
        <v>0</v>
      </c>
    </row>
    <row r="572" spans="1:11">
      <c r="A572" t="s">
        <v>7</v>
      </c>
      <c r="B572">
        <v>0</v>
      </c>
      <c r="C572">
        <v>0</v>
      </c>
      <c r="D572">
        <v>0</v>
      </c>
      <c r="E572">
        <v>0</v>
      </c>
      <c r="F572">
        <v>0</v>
      </c>
      <c r="G572">
        <v>0</v>
      </c>
      <c r="H572">
        <v>0</v>
      </c>
      <c r="I572">
        <v>0</v>
      </c>
      <c r="J572">
        <v>0</v>
      </c>
      <c r="K572">
        <v>0</v>
      </c>
    </row>
    <row r="573" spans="1:11">
      <c r="A573" t="s">
        <v>30</v>
      </c>
      <c r="B573">
        <v>0</v>
      </c>
      <c r="C573">
        <v>0</v>
      </c>
      <c r="D573">
        <v>0</v>
      </c>
      <c r="E573">
        <v>0</v>
      </c>
      <c r="F573">
        <v>0</v>
      </c>
      <c r="G573">
        <v>0</v>
      </c>
      <c r="H573">
        <v>0</v>
      </c>
      <c r="I573">
        <v>0</v>
      </c>
      <c r="J573">
        <v>0</v>
      </c>
      <c r="K573">
        <v>0</v>
      </c>
    </row>
    <row r="574" spans="1:11">
      <c r="A574" t="s">
        <v>33</v>
      </c>
      <c r="B574">
        <v>0</v>
      </c>
      <c r="C574">
        <v>0</v>
      </c>
      <c r="D574">
        <v>0</v>
      </c>
      <c r="E574">
        <v>0</v>
      </c>
      <c r="F574">
        <v>0</v>
      </c>
      <c r="G574">
        <v>0</v>
      </c>
      <c r="H574">
        <v>0</v>
      </c>
      <c r="I574">
        <v>0</v>
      </c>
      <c r="J574">
        <v>0</v>
      </c>
      <c r="K574">
        <v>0</v>
      </c>
    </row>
    <row r="575" spans="1:11">
      <c r="A575" t="s">
        <v>95</v>
      </c>
      <c r="B575">
        <v>7</v>
      </c>
      <c r="C575">
        <v>5</v>
      </c>
      <c r="D575">
        <v>1</v>
      </c>
      <c r="E575">
        <v>0</v>
      </c>
      <c r="F575">
        <v>1</v>
      </c>
      <c r="G575">
        <v>0</v>
      </c>
      <c r="H575">
        <v>0</v>
      </c>
      <c r="I575">
        <v>0</v>
      </c>
      <c r="J575">
        <v>0</v>
      </c>
      <c r="K575">
        <v>0</v>
      </c>
    </row>
    <row r="576" spans="1:11">
      <c r="A576" t="s">
        <v>18</v>
      </c>
      <c r="B576">
        <v>120</v>
      </c>
      <c r="C576">
        <v>82</v>
      </c>
      <c r="D576">
        <v>19</v>
      </c>
      <c r="E576">
        <v>0</v>
      </c>
      <c r="F576">
        <v>19</v>
      </c>
      <c r="G576">
        <v>0</v>
      </c>
      <c r="H576">
        <v>0</v>
      </c>
      <c r="I576">
        <v>0</v>
      </c>
      <c r="J576">
        <v>0</v>
      </c>
      <c r="K576">
        <v>0</v>
      </c>
    </row>
    <row r="577" spans="1:11">
      <c r="A577" t="s">
        <v>35</v>
      </c>
      <c r="B577">
        <v>81</v>
      </c>
      <c r="C577">
        <v>55</v>
      </c>
      <c r="D577">
        <v>13</v>
      </c>
      <c r="E577">
        <v>0</v>
      </c>
      <c r="F577">
        <v>13</v>
      </c>
      <c r="G577">
        <v>0</v>
      </c>
      <c r="H577">
        <v>0</v>
      </c>
      <c r="I577">
        <v>0</v>
      </c>
      <c r="J577">
        <v>0</v>
      </c>
      <c r="K577">
        <v>0</v>
      </c>
    </row>
    <row r="578" spans="1:11">
      <c r="A578" t="s">
        <v>19</v>
      </c>
      <c r="B578">
        <v>124</v>
      </c>
      <c r="C578">
        <v>84</v>
      </c>
      <c r="D578">
        <v>20</v>
      </c>
      <c r="E578">
        <v>0</v>
      </c>
      <c r="F578">
        <v>20</v>
      </c>
      <c r="G578">
        <v>0</v>
      </c>
      <c r="H578">
        <v>0</v>
      </c>
      <c r="I578">
        <v>0</v>
      </c>
      <c r="J578">
        <v>0</v>
      </c>
      <c r="K578">
        <v>0</v>
      </c>
    </row>
    <row r="579" spans="1:11">
      <c r="A579" t="s">
        <v>96</v>
      </c>
      <c r="B579">
        <v>91</v>
      </c>
      <c r="C579">
        <v>61</v>
      </c>
      <c r="D579">
        <v>15</v>
      </c>
      <c r="E579">
        <v>0</v>
      </c>
      <c r="F579">
        <v>15</v>
      </c>
      <c r="G579">
        <v>0</v>
      </c>
      <c r="H579">
        <v>0</v>
      </c>
      <c r="I579">
        <v>0</v>
      </c>
      <c r="J579">
        <v>0</v>
      </c>
      <c r="K579">
        <v>0</v>
      </c>
    </row>
    <row r="580" spans="1:11">
      <c r="A580" t="s">
        <v>485</v>
      </c>
      <c r="B580">
        <v>1</v>
      </c>
      <c r="C580">
        <v>0</v>
      </c>
      <c r="D580">
        <v>0</v>
      </c>
      <c r="E580">
        <v>0</v>
      </c>
      <c r="F580">
        <v>0</v>
      </c>
      <c r="G580">
        <v>0</v>
      </c>
      <c r="H580">
        <v>0</v>
      </c>
      <c r="I580">
        <v>0</v>
      </c>
      <c r="J580">
        <v>0</v>
      </c>
      <c r="K580">
        <v>0</v>
      </c>
    </row>
    <row r="581" spans="1:11">
      <c r="A581" t="s">
        <v>486</v>
      </c>
      <c r="B581">
        <v>0</v>
      </c>
      <c r="C581">
        <v>0</v>
      </c>
      <c r="D581">
        <v>0</v>
      </c>
      <c r="E581">
        <v>0</v>
      </c>
      <c r="F581">
        <v>0</v>
      </c>
      <c r="G581">
        <v>0</v>
      </c>
      <c r="H581">
        <v>0</v>
      </c>
      <c r="I581">
        <v>0</v>
      </c>
      <c r="J581">
        <v>0</v>
      </c>
      <c r="K581">
        <v>0</v>
      </c>
    </row>
    <row r="582" spans="1:11">
      <c r="A582" t="s">
        <v>151</v>
      </c>
      <c r="B582">
        <v>0</v>
      </c>
      <c r="C582">
        <v>0</v>
      </c>
      <c r="D582">
        <v>0</v>
      </c>
      <c r="E582">
        <v>0</v>
      </c>
      <c r="F582">
        <v>0</v>
      </c>
      <c r="G582">
        <v>0</v>
      </c>
      <c r="H582">
        <v>0</v>
      </c>
      <c r="I582">
        <v>0</v>
      </c>
      <c r="J582">
        <v>0</v>
      </c>
      <c r="K582">
        <v>0</v>
      </c>
    </row>
    <row r="583" spans="1:11">
      <c r="A583" t="s">
        <v>487</v>
      </c>
      <c r="B583">
        <v>0</v>
      </c>
      <c r="C583">
        <v>0</v>
      </c>
      <c r="D583">
        <v>0</v>
      </c>
      <c r="E583">
        <v>0</v>
      </c>
      <c r="F583">
        <v>0</v>
      </c>
      <c r="G583">
        <v>0</v>
      </c>
      <c r="H583">
        <v>0</v>
      </c>
      <c r="I583">
        <v>0</v>
      </c>
      <c r="J583">
        <v>0</v>
      </c>
      <c r="K583">
        <v>0</v>
      </c>
    </row>
    <row r="584" spans="1:11">
      <c r="A584" t="s">
        <v>150</v>
      </c>
      <c r="B584">
        <v>1</v>
      </c>
      <c r="C584">
        <v>0</v>
      </c>
      <c r="D584">
        <v>0</v>
      </c>
      <c r="E584">
        <v>0</v>
      </c>
      <c r="F584">
        <v>0</v>
      </c>
      <c r="G584">
        <v>0</v>
      </c>
      <c r="H584">
        <v>0</v>
      </c>
      <c r="I584">
        <v>0</v>
      </c>
      <c r="J584">
        <v>0</v>
      </c>
      <c r="K584">
        <v>0</v>
      </c>
    </row>
    <row r="585" spans="1:11">
      <c r="A585" t="s">
        <v>488</v>
      </c>
      <c r="B585">
        <v>5</v>
      </c>
      <c r="C585">
        <v>0</v>
      </c>
      <c r="D585">
        <v>0</v>
      </c>
      <c r="E585">
        <v>0</v>
      </c>
      <c r="F585">
        <v>0</v>
      </c>
      <c r="G585">
        <v>0</v>
      </c>
      <c r="H585">
        <v>0</v>
      </c>
      <c r="I585">
        <v>0</v>
      </c>
      <c r="J585">
        <v>0</v>
      </c>
      <c r="K585">
        <v>0</v>
      </c>
    </row>
    <row r="586" spans="1:11">
      <c r="A586" t="s">
        <v>489</v>
      </c>
      <c r="B586">
        <v>16</v>
      </c>
      <c r="C586">
        <v>0</v>
      </c>
      <c r="D586">
        <v>0</v>
      </c>
      <c r="E586">
        <v>0</v>
      </c>
      <c r="F586">
        <v>0</v>
      </c>
      <c r="G586">
        <v>0</v>
      </c>
      <c r="H586">
        <v>0</v>
      </c>
      <c r="I586">
        <v>0</v>
      </c>
      <c r="J586">
        <v>0</v>
      </c>
      <c r="K586">
        <v>0</v>
      </c>
    </row>
    <row r="587" spans="1:11">
      <c r="A587" t="s">
        <v>490</v>
      </c>
      <c r="B587">
        <v>0</v>
      </c>
      <c r="C587">
        <v>0</v>
      </c>
      <c r="D587">
        <v>0</v>
      </c>
      <c r="E587">
        <v>0</v>
      </c>
      <c r="F587">
        <v>0</v>
      </c>
      <c r="G587">
        <v>0</v>
      </c>
      <c r="H587">
        <v>0</v>
      </c>
      <c r="I587">
        <v>0</v>
      </c>
      <c r="J587">
        <v>0</v>
      </c>
      <c r="K587">
        <v>0</v>
      </c>
    </row>
    <row r="588" spans="1:11">
      <c r="A588" t="s">
        <v>491</v>
      </c>
      <c r="B588">
        <v>0</v>
      </c>
      <c r="C588">
        <v>0</v>
      </c>
      <c r="D588">
        <v>0</v>
      </c>
      <c r="E588">
        <v>0</v>
      </c>
      <c r="F588">
        <v>0</v>
      </c>
      <c r="G588">
        <v>0</v>
      </c>
      <c r="H588">
        <v>0</v>
      </c>
      <c r="I588">
        <v>0</v>
      </c>
      <c r="J588">
        <v>0</v>
      </c>
      <c r="K588">
        <v>0</v>
      </c>
    </row>
    <row r="589" spans="1:11">
      <c r="A589" t="s">
        <v>153</v>
      </c>
      <c r="B589">
        <v>200</v>
      </c>
      <c r="C589">
        <v>0</v>
      </c>
      <c r="D589">
        <v>0</v>
      </c>
      <c r="E589">
        <v>0</v>
      </c>
      <c r="F589">
        <v>0</v>
      </c>
      <c r="G589">
        <v>0</v>
      </c>
      <c r="H589">
        <v>0</v>
      </c>
      <c r="I589">
        <v>0</v>
      </c>
      <c r="J589">
        <v>0</v>
      </c>
      <c r="K589">
        <v>0</v>
      </c>
    </row>
    <row r="590" spans="1:11">
      <c r="A590" t="s">
        <v>492</v>
      </c>
      <c r="B590">
        <v>13</v>
      </c>
      <c r="C590">
        <v>0</v>
      </c>
      <c r="D590">
        <v>0</v>
      </c>
      <c r="E590">
        <v>0</v>
      </c>
      <c r="F590">
        <v>0</v>
      </c>
      <c r="G590">
        <v>0</v>
      </c>
      <c r="H590">
        <v>0</v>
      </c>
      <c r="I590">
        <v>0</v>
      </c>
      <c r="J590">
        <v>0</v>
      </c>
      <c r="K590">
        <v>0</v>
      </c>
    </row>
    <row r="591" spans="1:11">
      <c r="A591" t="s">
        <v>493</v>
      </c>
      <c r="B591">
        <v>0</v>
      </c>
      <c r="C591">
        <v>0</v>
      </c>
      <c r="D591">
        <v>0</v>
      </c>
      <c r="E591">
        <v>0</v>
      </c>
      <c r="F591">
        <v>0</v>
      </c>
      <c r="G591">
        <v>0</v>
      </c>
      <c r="H591">
        <v>0</v>
      </c>
      <c r="I591">
        <v>0</v>
      </c>
      <c r="J591">
        <v>0</v>
      </c>
      <c r="K591">
        <v>0</v>
      </c>
    </row>
    <row r="592" spans="1:11">
      <c r="A592" t="s">
        <v>154</v>
      </c>
      <c r="B592">
        <v>2</v>
      </c>
      <c r="C592">
        <v>0</v>
      </c>
      <c r="D592">
        <v>0</v>
      </c>
      <c r="E592">
        <v>0</v>
      </c>
      <c r="F592">
        <v>0</v>
      </c>
      <c r="G592">
        <v>0</v>
      </c>
      <c r="H592">
        <v>0</v>
      </c>
      <c r="I592">
        <v>0</v>
      </c>
      <c r="J592">
        <v>0</v>
      </c>
      <c r="K592">
        <v>0</v>
      </c>
    </row>
    <row r="593" spans="1:11">
      <c r="A593" t="s">
        <v>152</v>
      </c>
      <c r="B593">
        <v>86</v>
      </c>
      <c r="C593">
        <v>0</v>
      </c>
      <c r="D593">
        <v>0</v>
      </c>
      <c r="E593">
        <v>0</v>
      </c>
      <c r="F593">
        <v>0</v>
      </c>
      <c r="G593">
        <v>0</v>
      </c>
      <c r="H593">
        <v>0</v>
      </c>
      <c r="I593">
        <v>0</v>
      </c>
      <c r="J593">
        <v>0</v>
      </c>
      <c r="K593">
        <v>0</v>
      </c>
    </row>
    <row r="594" spans="1:11">
      <c r="A594" t="s">
        <v>494</v>
      </c>
      <c r="B594">
        <v>0</v>
      </c>
      <c r="C594">
        <v>0</v>
      </c>
      <c r="D594">
        <v>0</v>
      </c>
      <c r="E594">
        <v>0</v>
      </c>
      <c r="F594">
        <v>0</v>
      </c>
      <c r="G594">
        <v>0</v>
      </c>
      <c r="H594">
        <v>0</v>
      </c>
      <c r="I594">
        <v>0</v>
      </c>
      <c r="J594">
        <v>0</v>
      </c>
      <c r="K594">
        <v>0</v>
      </c>
    </row>
    <row r="595" spans="1:11">
      <c r="A595" t="s">
        <v>495</v>
      </c>
      <c r="B595">
        <v>12</v>
      </c>
      <c r="C595">
        <v>0</v>
      </c>
      <c r="D595">
        <v>0</v>
      </c>
      <c r="E595">
        <v>0</v>
      </c>
      <c r="F595">
        <v>0</v>
      </c>
      <c r="G595">
        <v>0</v>
      </c>
      <c r="H595">
        <v>0</v>
      </c>
      <c r="I595">
        <v>0</v>
      </c>
      <c r="J595">
        <v>0</v>
      </c>
      <c r="K595">
        <v>0</v>
      </c>
    </row>
    <row r="596" spans="1:11">
      <c r="A596" t="s">
        <v>97</v>
      </c>
      <c r="B596">
        <v>71</v>
      </c>
      <c r="C596">
        <v>48</v>
      </c>
      <c r="D596">
        <v>12</v>
      </c>
      <c r="E596">
        <v>0</v>
      </c>
      <c r="F596">
        <v>11</v>
      </c>
      <c r="G596">
        <v>0</v>
      </c>
      <c r="H596">
        <v>0</v>
      </c>
      <c r="I596">
        <v>0</v>
      </c>
      <c r="J596">
        <v>0</v>
      </c>
      <c r="K596">
        <v>0</v>
      </c>
    </row>
    <row r="597" spans="1:11">
      <c r="A597" t="s">
        <v>98</v>
      </c>
      <c r="B597">
        <v>97</v>
      </c>
      <c r="C597">
        <v>66</v>
      </c>
      <c r="D597">
        <v>16</v>
      </c>
      <c r="E597">
        <v>0</v>
      </c>
      <c r="F597">
        <v>15</v>
      </c>
      <c r="G597">
        <v>0</v>
      </c>
      <c r="H597">
        <v>0</v>
      </c>
      <c r="I597">
        <v>0</v>
      </c>
      <c r="J597">
        <v>0</v>
      </c>
      <c r="K597">
        <v>0</v>
      </c>
    </row>
    <row r="598" spans="1:11">
      <c r="A598" t="s">
        <v>99</v>
      </c>
      <c r="B598">
        <v>31</v>
      </c>
      <c r="C598">
        <v>21</v>
      </c>
      <c r="D598">
        <v>5</v>
      </c>
      <c r="E598">
        <v>0</v>
      </c>
      <c r="F598">
        <v>5</v>
      </c>
      <c r="G598">
        <v>0</v>
      </c>
      <c r="H598">
        <v>0</v>
      </c>
      <c r="I598">
        <v>0</v>
      </c>
      <c r="J598">
        <v>0</v>
      </c>
      <c r="K598">
        <v>0</v>
      </c>
    </row>
    <row r="599" spans="1:11">
      <c r="A599" t="s">
        <v>39</v>
      </c>
      <c r="B599">
        <v>163</v>
      </c>
      <c r="C599">
        <v>110</v>
      </c>
      <c r="D599">
        <v>27</v>
      </c>
      <c r="E599">
        <v>0</v>
      </c>
      <c r="F599">
        <v>26</v>
      </c>
      <c r="G599">
        <v>0</v>
      </c>
      <c r="H599">
        <v>0</v>
      </c>
      <c r="I599">
        <v>0</v>
      </c>
      <c r="J599">
        <v>0</v>
      </c>
      <c r="K599">
        <v>0</v>
      </c>
    </row>
    <row r="600" spans="1:11">
      <c r="A600" t="s">
        <v>146</v>
      </c>
      <c r="B600">
        <v>0</v>
      </c>
      <c r="C600">
        <v>0</v>
      </c>
      <c r="D600">
        <v>0</v>
      </c>
      <c r="E600">
        <v>0</v>
      </c>
      <c r="F600">
        <v>0</v>
      </c>
      <c r="G600">
        <v>0</v>
      </c>
      <c r="H600">
        <v>0</v>
      </c>
      <c r="I600">
        <v>0</v>
      </c>
      <c r="J600">
        <v>0</v>
      </c>
      <c r="K600">
        <v>0</v>
      </c>
    </row>
    <row r="601" spans="1:11">
      <c r="A601" t="s">
        <v>37</v>
      </c>
      <c r="B601">
        <v>114</v>
      </c>
      <c r="C601">
        <v>77</v>
      </c>
      <c r="D601">
        <v>19</v>
      </c>
      <c r="E601">
        <v>0</v>
      </c>
      <c r="F601">
        <v>18</v>
      </c>
      <c r="G601">
        <v>0</v>
      </c>
      <c r="H601">
        <v>0</v>
      </c>
      <c r="I601">
        <v>0</v>
      </c>
      <c r="J601">
        <v>0</v>
      </c>
      <c r="K601">
        <v>0</v>
      </c>
    </row>
    <row r="602" spans="1:11">
      <c r="A602" t="s">
        <v>6</v>
      </c>
      <c r="B602">
        <v>0</v>
      </c>
      <c r="C602">
        <v>0</v>
      </c>
      <c r="D602">
        <v>0</v>
      </c>
      <c r="E602">
        <v>0</v>
      </c>
      <c r="F602">
        <v>0</v>
      </c>
      <c r="G602">
        <v>0</v>
      </c>
      <c r="H602">
        <v>0</v>
      </c>
      <c r="I602">
        <v>0</v>
      </c>
      <c r="J602">
        <v>0</v>
      </c>
      <c r="K602">
        <v>0</v>
      </c>
    </row>
    <row r="603" spans="1:11">
      <c r="A603" t="s">
        <v>100</v>
      </c>
      <c r="B603">
        <v>216</v>
      </c>
      <c r="C603">
        <v>146</v>
      </c>
      <c r="D603">
        <v>35</v>
      </c>
      <c r="E603">
        <v>0</v>
      </c>
      <c r="F603">
        <v>35</v>
      </c>
      <c r="G603">
        <v>0</v>
      </c>
      <c r="H603">
        <v>0</v>
      </c>
      <c r="I603">
        <v>0</v>
      </c>
      <c r="J603">
        <v>0</v>
      </c>
      <c r="K603">
        <v>0</v>
      </c>
    </row>
    <row r="604" spans="1:11">
      <c r="A604" t="s">
        <v>34</v>
      </c>
      <c r="B604">
        <v>151</v>
      </c>
      <c r="C604">
        <v>102</v>
      </c>
      <c r="D604">
        <v>25</v>
      </c>
      <c r="E604">
        <v>0</v>
      </c>
      <c r="F604">
        <v>24</v>
      </c>
      <c r="G604">
        <v>0</v>
      </c>
      <c r="H604">
        <v>0</v>
      </c>
      <c r="I604">
        <v>0</v>
      </c>
      <c r="J604">
        <v>0</v>
      </c>
      <c r="K604">
        <v>0</v>
      </c>
    </row>
    <row r="605" spans="1:11">
      <c r="A605" t="s">
        <v>40</v>
      </c>
      <c r="B605">
        <v>226</v>
      </c>
      <c r="C605">
        <v>152</v>
      </c>
      <c r="D605">
        <v>37</v>
      </c>
      <c r="E605">
        <v>0</v>
      </c>
      <c r="F605">
        <v>37</v>
      </c>
      <c r="G605">
        <v>0</v>
      </c>
      <c r="H605">
        <v>0</v>
      </c>
      <c r="I605">
        <v>0</v>
      </c>
      <c r="J605">
        <v>0</v>
      </c>
      <c r="K605">
        <v>0</v>
      </c>
    </row>
    <row r="606" spans="1:11">
      <c r="A606" t="s">
        <v>27</v>
      </c>
      <c r="B606">
        <v>0</v>
      </c>
      <c r="C606">
        <v>0</v>
      </c>
      <c r="D606">
        <v>0</v>
      </c>
      <c r="E606">
        <v>0</v>
      </c>
      <c r="F606">
        <v>0</v>
      </c>
      <c r="G606">
        <v>0</v>
      </c>
      <c r="H606">
        <v>0</v>
      </c>
      <c r="I606">
        <v>0</v>
      </c>
      <c r="J606">
        <v>0</v>
      </c>
      <c r="K606">
        <v>0</v>
      </c>
    </row>
    <row r="607" spans="1:11">
      <c r="A607" t="s">
        <v>10</v>
      </c>
      <c r="B607">
        <v>90</v>
      </c>
      <c r="C607">
        <v>61</v>
      </c>
      <c r="D607">
        <v>15</v>
      </c>
      <c r="E607">
        <v>0</v>
      </c>
      <c r="F607">
        <v>14</v>
      </c>
      <c r="G607">
        <v>0</v>
      </c>
      <c r="H607">
        <v>0</v>
      </c>
      <c r="I607">
        <v>0</v>
      </c>
      <c r="J607">
        <v>0</v>
      </c>
      <c r="K607">
        <v>0</v>
      </c>
    </row>
    <row r="608" spans="1:11">
      <c r="A608" t="s">
        <v>101</v>
      </c>
      <c r="B608">
        <v>205</v>
      </c>
      <c r="C608">
        <v>139</v>
      </c>
      <c r="D608">
        <v>33</v>
      </c>
      <c r="E608">
        <v>0</v>
      </c>
      <c r="F608">
        <v>33</v>
      </c>
      <c r="G608">
        <v>0</v>
      </c>
      <c r="H608">
        <v>0</v>
      </c>
      <c r="I608">
        <v>0</v>
      </c>
      <c r="J608">
        <v>0</v>
      </c>
      <c r="K608">
        <v>0</v>
      </c>
    </row>
    <row r="609" spans="1:11">
      <c r="A609" t="s">
        <v>25</v>
      </c>
      <c r="B609">
        <v>121</v>
      </c>
      <c r="C609">
        <v>82</v>
      </c>
      <c r="D609">
        <v>20</v>
      </c>
      <c r="E609">
        <v>0</v>
      </c>
      <c r="F609">
        <v>19</v>
      </c>
      <c r="G609">
        <v>0</v>
      </c>
      <c r="H609">
        <v>0</v>
      </c>
      <c r="I609">
        <v>0</v>
      </c>
      <c r="J609">
        <v>0</v>
      </c>
      <c r="K609">
        <v>0</v>
      </c>
    </row>
    <row r="610" spans="1:11">
      <c r="A610" t="s">
        <v>102</v>
      </c>
      <c r="B610">
        <v>64</v>
      </c>
      <c r="C610">
        <v>44</v>
      </c>
      <c r="D610">
        <v>10</v>
      </c>
      <c r="E610">
        <v>0</v>
      </c>
      <c r="F610">
        <v>10</v>
      </c>
      <c r="G610">
        <v>0</v>
      </c>
      <c r="H610">
        <v>0</v>
      </c>
      <c r="I610">
        <v>0</v>
      </c>
      <c r="J610">
        <v>0</v>
      </c>
      <c r="K610">
        <v>0</v>
      </c>
    </row>
    <row r="611" spans="1:11">
      <c r="A611" t="s">
        <v>103</v>
      </c>
      <c r="B611">
        <v>0</v>
      </c>
      <c r="C611">
        <v>0</v>
      </c>
      <c r="D611">
        <v>0</v>
      </c>
      <c r="E611">
        <v>0</v>
      </c>
      <c r="F611">
        <v>0</v>
      </c>
      <c r="G611">
        <v>0</v>
      </c>
      <c r="H611">
        <v>0</v>
      </c>
      <c r="I611">
        <v>0</v>
      </c>
      <c r="J611">
        <v>0</v>
      </c>
      <c r="K611">
        <v>0</v>
      </c>
    </row>
    <row r="612" spans="1:11">
      <c r="A612" t="s">
        <v>499</v>
      </c>
      <c r="B612">
        <v>4</v>
      </c>
      <c r="C612">
        <v>0</v>
      </c>
      <c r="D612">
        <v>2</v>
      </c>
      <c r="E612">
        <v>0</v>
      </c>
      <c r="F612">
        <v>2</v>
      </c>
      <c r="G612">
        <v>0</v>
      </c>
      <c r="H612">
        <v>0</v>
      </c>
      <c r="I612">
        <v>0</v>
      </c>
      <c r="J612">
        <v>0</v>
      </c>
      <c r="K612">
        <v>0</v>
      </c>
    </row>
    <row r="613" spans="1:11">
      <c r="A613" t="s">
        <v>501</v>
      </c>
      <c r="B613">
        <v>5</v>
      </c>
      <c r="C613">
        <v>0</v>
      </c>
      <c r="D613">
        <v>3</v>
      </c>
      <c r="E613">
        <v>0</v>
      </c>
      <c r="F613">
        <v>2</v>
      </c>
      <c r="G613">
        <v>0</v>
      </c>
      <c r="H613">
        <v>0</v>
      </c>
      <c r="I613">
        <v>0</v>
      </c>
      <c r="J613">
        <v>0</v>
      </c>
      <c r="K613">
        <v>0</v>
      </c>
    </row>
    <row r="614" spans="1:11">
      <c r="A614" t="s">
        <v>500</v>
      </c>
      <c r="B614">
        <v>0</v>
      </c>
      <c r="C614">
        <v>0</v>
      </c>
      <c r="D614">
        <v>0</v>
      </c>
      <c r="E614">
        <v>0</v>
      </c>
      <c r="F614">
        <v>0</v>
      </c>
      <c r="G614">
        <v>0</v>
      </c>
      <c r="H614">
        <v>0</v>
      </c>
      <c r="I614">
        <v>0</v>
      </c>
      <c r="J614">
        <v>0</v>
      </c>
      <c r="K614">
        <v>0</v>
      </c>
    </row>
    <row r="615" spans="1:11">
      <c r="A615" t="s">
        <v>504</v>
      </c>
      <c r="B615">
        <v>10</v>
      </c>
      <c r="C615">
        <v>0</v>
      </c>
      <c r="D615">
        <v>5</v>
      </c>
      <c r="E615">
        <v>0</v>
      </c>
      <c r="F615">
        <v>5</v>
      </c>
      <c r="G615">
        <v>0</v>
      </c>
      <c r="H615">
        <v>0</v>
      </c>
      <c r="I615">
        <v>0</v>
      </c>
      <c r="J615">
        <v>0</v>
      </c>
      <c r="K615">
        <v>0</v>
      </c>
    </row>
    <row r="616" spans="1:11">
      <c r="A616" t="s">
        <v>508</v>
      </c>
      <c r="B616">
        <v>0</v>
      </c>
      <c r="C616">
        <v>0</v>
      </c>
      <c r="D616">
        <v>0</v>
      </c>
      <c r="E616">
        <v>0</v>
      </c>
      <c r="F616">
        <v>0</v>
      </c>
      <c r="G616">
        <v>0</v>
      </c>
      <c r="H616">
        <v>0</v>
      </c>
      <c r="I616">
        <v>0</v>
      </c>
      <c r="J616">
        <v>0</v>
      </c>
      <c r="K616">
        <v>0</v>
      </c>
    </row>
    <row r="617" spans="1:11">
      <c r="A617" t="s">
        <v>496</v>
      </c>
      <c r="B617">
        <v>11</v>
      </c>
      <c r="C617">
        <v>0</v>
      </c>
      <c r="D617">
        <v>6</v>
      </c>
      <c r="E617">
        <v>0</v>
      </c>
      <c r="F617">
        <v>5</v>
      </c>
      <c r="G617">
        <v>0</v>
      </c>
      <c r="H617">
        <v>0</v>
      </c>
      <c r="I617">
        <v>0</v>
      </c>
      <c r="J617">
        <v>0</v>
      </c>
      <c r="K617">
        <v>0</v>
      </c>
    </row>
    <row r="618" spans="1:11">
      <c r="A618" t="s">
        <v>510</v>
      </c>
      <c r="B618">
        <v>0</v>
      </c>
      <c r="C618">
        <v>0</v>
      </c>
      <c r="D618">
        <v>0</v>
      </c>
      <c r="E618">
        <v>0</v>
      </c>
      <c r="F618">
        <v>0</v>
      </c>
      <c r="G618">
        <v>0</v>
      </c>
      <c r="H618">
        <v>0</v>
      </c>
      <c r="I618">
        <v>0</v>
      </c>
      <c r="J618">
        <v>0</v>
      </c>
      <c r="K618">
        <v>0</v>
      </c>
    </row>
    <row r="619" spans="1:11">
      <c r="A619" t="s">
        <v>506</v>
      </c>
      <c r="B619">
        <v>12</v>
      </c>
      <c r="C619">
        <v>0</v>
      </c>
      <c r="D619">
        <v>6</v>
      </c>
      <c r="E619">
        <v>0</v>
      </c>
      <c r="F619">
        <v>6</v>
      </c>
      <c r="G619">
        <v>0</v>
      </c>
      <c r="H619">
        <v>0</v>
      </c>
      <c r="I619">
        <v>0</v>
      </c>
      <c r="J619">
        <v>0</v>
      </c>
      <c r="K619">
        <v>0</v>
      </c>
    </row>
    <row r="620" spans="1:11">
      <c r="A620" t="s">
        <v>502</v>
      </c>
      <c r="B620">
        <v>7</v>
      </c>
      <c r="C620">
        <v>0</v>
      </c>
      <c r="D620">
        <v>4</v>
      </c>
      <c r="E620">
        <v>0</v>
      </c>
      <c r="F620">
        <v>3</v>
      </c>
      <c r="G620">
        <v>0</v>
      </c>
      <c r="H620">
        <v>0</v>
      </c>
      <c r="I620">
        <v>0</v>
      </c>
      <c r="J620">
        <v>0</v>
      </c>
      <c r="K620">
        <v>0</v>
      </c>
    </row>
    <row r="621" spans="1:11">
      <c r="A621" t="s">
        <v>505</v>
      </c>
      <c r="B621">
        <v>4</v>
      </c>
      <c r="C621">
        <v>0</v>
      </c>
      <c r="D621">
        <v>2</v>
      </c>
      <c r="E621">
        <v>0</v>
      </c>
      <c r="F621">
        <v>2</v>
      </c>
      <c r="G621">
        <v>0</v>
      </c>
      <c r="H621">
        <v>0</v>
      </c>
      <c r="I621">
        <v>0</v>
      </c>
      <c r="J621">
        <v>0</v>
      </c>
      <c r="K621">
        <v>0</v>
      </c>
    </row>
    <row r="622" spans="1:11">
      <c r="A622" t="s">
        <v>507</v>
      </c>
      <c r="B622">
        <v>0</v>
      </c>
      <c r="C622">
        <v>0</v>
      </c>
      <c r="D622">
        <v>0</v>
      </c>
      <c r="E622">
        <v>0</v>
      </c>
      <c r="F622">
        <v>0</v>
      </c>
      <c r="G622">
        <v>0</v>
      </c>
      <c r="H622">
        <v>0</v>
      </c>
      <c r="I622">
        <v>0</v>
      </c>
      <c r="J622">
        <v>0</v>
      </c>
      <c r="K622">
        <v>0</v>
      </c>
    </row>
    <row r="623" spans="1:11">
      <c r="A623" t="s">
        <v>503</v>
      </c>
      <c r="B623">
        <v>0</v>
      </c>
      <c r="C623">
        <v>0</v>
      </c>
      <c r="D623">
        <v>0</v>
      </c>
      <c r="E623">
        <v>0</v>
      </c>
      <c r="F623">
        <v>0</v>
      </c>
      <c r="G623">
        <v>0</v>
      </c>
      <c r="H623">
        <v>0</v>
      </c>
      <c r="I623">
        <v>0</v>
      </c>
      <c r="J623">
        <v>0</v>
      </c>
      <c r="K623">
        <v>0</v>
      </c>
    </row>
    <row r="624" spans="1:11">
      <c r="A624" t="s">
        <v>511</v>
      </c>
      <c r="B624">
        <v>8</v>
      </c>
      <c r="C624">
        <v>0</v>
      </c>
      <c r="D624">
        <v>4</v>
      </c>
      <c r="E624">
        <v>0</v>
      </c>
      <c r="F624">
        <v>4</v>
      </c>
      <c r="G624">
        <v>0</v>
      </c>
      <c r="H624">
        <v>0</v>
      </c>
      <c r="I624">
        <v>0</v>
      </c>
      <c r="J624">
        <v>0</v>
      </c>
      <c r="K624">
        <v>0</v>
      </c>
    </row>
    <row r="625" spans="1:11">
      <c r="A625" t="s">
        <v>509</v>
      </c>
      <c r="B625">
        <v>5</v>
      </c>
      <c r="C625">
        <v>0</v>
      </c>
      <c r="D625">
        <v>3</v>
      </c>
      <c r="E625">
        <v>0</v>
      </c>
      <c r="F625">
        <v>2</v>
      </c>
      <c r="G625">
        <v>0</v>
      </c>
      <c r="H625">
        <v>0</v>
      </c>
      <c r="I625">
        <v>0</v>
      </c>
      <c r="J625">
        <v>0</v>
      </c>
      <c r="K625">
        <v>0</v>
      </c>
    </row>
    <row r="626" spans="1:11">
      <c r="A626" t="s">
        <v>498</v>
      </c>
      <c r="B626">
        <v>14</v>
      </c>
      <c r="C626">
        <v>0</v>
      </c>
      <c r="D626">
        <v>7</v>
      </c>
      <c r="E626">
        <v>0</v>
      </c>
      <c r="F626">
        <v>7</v>
      </c>
      <c r="G626">
        <v>0</v>
      </c>
      <c r="H626">
        <v>0</v>
      </c>
      <c r="I626">
        <v>0</v>
      </c>
      <c r="J626">
        <v>0</v>
      </c>
      <c r="K626">
        <v>0</v>
      </c>
    </row>
    <row r="627" spans="1:11">
      <c r="A627" t="s">
        <v>497</v>
      </c>
      <c r="B627">
        <v>0</v>
      </c>
      <c r="C627">
        <v>0</v>
      </c>
      <c r="D627">
        <v>0</v>
      </c>
      <c r="E627">
        <v>0</v>
      </c>
      <c r="F627">
        <v>0</v>
      </c>
      <c r="G627">
        <v>0</v>
      </c>
      <c r="H627">
        <v>0</v>
      </c>
      <c r="I627">
        <v>0</v>
      </c>
      <c r="J627">
        <v>0</v>
      </c>
      <c r="K627">
        <v>0</v>
      </c>
    </row>
    <row r="628" spans="1:11">
      <c r="A628" t="s">
        <v>104</v>
      </c>
      <c r="B628">
        <v>3</v>
      </c>
      <c r="C628">
        <v>0</v>
      </c>
      <c r="D628">
        <v>0</v>
      </c>
      <c r="E628">
        <v>0</v>
      </c>
      <c r="F628">
        <v>0</v>
      </c>
      <c r="G628">
        <v>0</v>
      </c>
      <c r="H628">
        <v>0</v>
      </c>
      <c r="I628">
        <v>0</v>
      </c>
      <c r="J628">
        <v>0</v>
      </c>
      <c r="K628">
        <v>0</v>
      </c>
    </row>
    <row r="629" spans="1:11">
      <c r="A629" t="s">
        <v>105</v>
      </c>
      <c r="B629">
        <v>3</v>
      </c>
      <c r="C629">
        <v>0</v>
      </c>
      <c r="D629">
        <v>0</v>
      </c>
      <c r="E629">
        <v>0</v>
      </c>
      <c r="F629">
        <v>0</v>
      </c>
      <c r="G629">
        <v>0</v>
      </c>
      <c r="H629">
        <v>0</v>
      </c>
      <c r="I629">
        <v>0</v>
      </c>
      <c r="J629">
        <v>0</v>
      </c>
      <c r="K629">
        <v>0</v>
      </c>
    </row>
    <row r="630" spans="1:11">
      <c r="A630" t="s">
        <v>1460</v>
      </c>
      <c r="C630">
        <v>0</v>
      </c>
      <c r="D630">
        <v>0</v>
      </c>
      <c r="E630">
        <v>0</v>
      </c>
      <c r="F630">
        <v>0</v>
      </c>
      <c r="G630">
        <v>0</v>
      </c>
      <c r="H630">
        <v>0</v>
      </c>
      <c r="I630">
        <v>0</v>
      </c>
      <c r="J630">
        <v>0</v>
      </c>
      <c r="K630">
        <v>0</v>
      </c>
    </row>
    <row r="631" spans="1:11">
      <c r="A631" t="s">
        <v>1460</v>
      </c>
      <c r="B631">
        <v>3</v>
      </c>
      <c r="C631">
        <v>0</v>
      </c>
      <c r="D631">
        <v>0</v>
      </c>
      <c r="E631">
        <v>0</v>
      </c>
      <c r="F631">
        <v>0</v>
      </c>
      <c r="G631">
        <v>0</v>
      </c>
      <c r="H631">
        <v>0</v>
      </c>
      <c r="I631">
        <v>0</v>
      </c>
      <c r="J631">
        <v>0</v>
      </c>
      <c r="K631">
        <v>0</v>
      </c>
    </row>
    <row r="632" spans="1:11">
      <c r="A632" t="s">
        <v>1459</v>
      </c>
      <c r="C632">
        <v>0</v>
      </c>
      <c r="D632">
        <v>0</v>
      </c>
      <c r="E632">
        <v>0</v>
      </c>
      <c r="F632">
        <v>0</v>
      </c>
      <c r="G632">
        <v>0</v>
      </c>
      <c r="H632">
        <v>0</v>
      </c>
      <c r="I632">
        <v>0</v>
      </c>
      <c r="J632">
        <v>0</v>
      </c>
      <c r="K632">
        <v>0</v>
      </c>
    </row>
    <row r="633" spans="1:11">
      <c r="A633" t="s">
        <v>1459</v>
      </c>
      <c r="B633">
        <v>3</v>
      </c>
      <c r="C633">
        <v>0</v>
      </c>
      <c r="D633">
        <v>0</v>
      </c>
      <c r="E633">
        <v>0</v>
      </c>
      <c r="F633">
        <v>0</v>
      </c>
      <c r="G633">
        <v>0</v>
      </c>
      <c r="H633">
        <v>0</v>
      </c>
      <c r="I633">
        <v>0</v>
      </c>
      <c r="J633">
        <v>0</v>
      </c>
      <c r="K633">
        <v>0</v>
      </c>
    </row>
    <row r="634" spans="1:11">
      <c r="A634" t="s">
        <v>106</v>
      </c>
      <c r="B634">
        <v>3</v>
      </c>
      <c r="C634">
        <v>0</v>
      </c>
      <c r="D634">
        <v>0</v>
      </c>
      <c r="E634">
        <v>0</v>
      </c>
      <c r="F634">
        <v>0</v>
      </c>
      <c r="G634">
        <v>0</v>
      </c>
      <c r="H634">
        <v>0</v>
      </c>
      <c r="I634">
        <v>0</v>
      </c>
      <c r="J634">
        <v>0</v>
      </c>
      <c r="K634">
        <v>0</v>
      </c>
    </row>
    <row r="635" spans="1:11">
      <c r="A635" t="s">
        <v>107</v>
      </c>
      <c r="B635">
        <v>1</v>
      </c>
      <c r="C635">
        <v>0</v>
      </c>
      <c r="D635">
        <v>0</v>
      </c>
      <c r="E635">
        <v>0</v>
      </c>
      <c r="F635">
        <v>0</v>
      </c>
      <c r="G635">
        <v>0</v>
      </c>
      <c r="H635">
        <v>0</v>
      </c>
      <c r="I635">
        <v>0</v>
      </c>
      <c r="J635">
        <v>0</v>
      </c>
      <c r="K635">
        <v>0</v>
      </c>
    </row>
    <row r="636" spans="1:11">
      <c r="A636" t="s">
        <v>108</v>
      </c>
      <c r="B636">
        <v>0</v>
      </c>
      <c r="C636">
        <v>0</v>
      </c>
      <c r="D636">
        <v>0</v>
      </c>
      <c r="E636">
        <v>0</v>
      </c>
      <c r="F636">
        <v>0</v>
      </c>
      <c r="G636">
        <v>0</v>
      </c>
      <c r="H636">
        <v>0</v>
      </c>
      <c r="I636">
        <v>0</v>
      </c>
      <c r="J636">
        <v>0</v>
      </c>
      <c r="K636">
        <v>0</v>
      </c>
    </row>
    <row r="637" spans="1:11">
      <c r="A637" t="s">
        <v>109</v>
      </c>
      <c r="B637">
        <v>1</v>
      </c>
      <c r="C637">
        <v>0</v>
      </c>
      <c r="D637">
        <v>0</v>
      </c>
      <c r="E637">
        <v>0</v>
      </c>
      <c r="F637">
        <v>0</v>
      </c>
      <c r="G637">
        <v>0</v>
      </c>
      <c r="H637">
        <v>0</v>
      </c>
      <c r="I637">
        <v>0</v>
      </c>
      <c r="J637">
        <v>0</v>
      </c>
      <c r="K637">
        <v>0</v>
      </c>
    </row>
    <row r="638" spans="1:11">
      <c r="A638" t="s">
        <v>110</v>
      </c>
      <c r="B638">
        <v>2</v>
      </c>
      <c r="C638">
        <v>0</v>
      </c>
      <c r="D638">
        <v>0</v>
      </c>
      <c r="E638">
        <v>0</v>
      </c>
      <c r="F638">
        <v>0</v>
      </c>
      <c r="G638">
        <v>0</v>
      </c>
      <c r="H638">
        <v>0</v>
      </c>
      <c r="I638">
        <v>0</v>
      </c>
      <c r="J638">
        <v>0</v>
      </c>
      <c r="K638">
        <v>0</v>
      </c>
    </row>
    <row r="639" spans="1:11">
      <c r="A639" t="s">
        <v>111</v>
      </c>
      <c r="B639">
        <v>5</v>
      </c>
      <c r="C639">
        <v>0</v>
      </c>
      <c r="D639">
        <v>0</v>
      </c>
      <c r="E639">
        <v>0</v>
      </c>
      <c r="F639">
        <v>0</v>
      </c>
      <c r="G639">
        <v>0</v>
      </c>
      <c r="H639">
        <v>0</v>
      </c>
      <c r="I639">
        <v>0</v>
      </c>
      <c r="J639">
        <v>0</v>
      </c>
      <c r="K639">
        <v>0</v>
      </c>
    </row>
    <row r="640" spans="1:11">
      <c r="A640" t="s">
        <v>112</v>
      </c>
      <c r="B640">
        <v>3</v>
      </c>
      <c r="C640">
        <v>0</v>
      </c>
      <c r="D640">
        <v>0</v>
      </c>
      <c r="E640">
        <v>0</v>
      </c>
      <c r="F640">
        <v>0</v>
      </c>
      <c r="G640">
        <v>0</v>
      </c>
      <c r="H640">
        <v>0</v>
      </c>
      <c r="I640">
        <v>0</v>
      </c>
      <c r="J640">
        <v>0</v>
      </c>
      <c r="K640">
        <v>0</v>
      </c>
    </row>
    <row r="641" spans="1:11">
      <c r="A641" t="s">
        <v>113</v>
      </c>
      <c r="B641">
        <v>1</v>
      </c>
      <c r="C641">
        <v>0</v>
      </c>
      <c r="D641">
        <v>0</v>
      </c>
      <c r="E641">
        <v>0</v>
      </c>
      <c r="F641">
        <v>0</v>
      </c>
      <c r="G641">
        <v>0</v>
      </c>
      <c r="H641">
        <v>0</v>
      </c>
      <c r="I641">
        <v>0</v>
      </c>
      <c r="J641">
        <v>0</v>
      </c>
      <c r="K641">
        <v>0</v>
      </c>
    </row>
    <row r="642" spans="1:11">
      <c r="A642" t="s">
        <v>114</v>
      </c>
      <c r="B642">
        <v>3</v>
      </c>
      <c r="C642">
        <v>0</v>
      </c>
      <c r="D642">
        <v>0</v>
      </c>
      <c r="E642">
        <v>0</v>
      </c>
      <c r="F642">
        <v>0</v>
      </c>
      <c r="G642">
        <v>0</v>
      </c>
      <c r="H642">
        <v>0</v>
      </c>
      <c r="I642">
        <v>0</v>
      </c>
      <c r="J642">
        <v>0</v>
      </c>
      <c r="K642">
        <v>0</v>
      </c>
    </row>
    <row r="643" spans="1:11">
      <c r="A643" t="s">
        <v>115</v>
      </c>
      <c r="B643">
        <v>4</v>
      </c>
      <c r="C643">
        <v>0</v>
      </c>
      <c r="D643">
        <v>0</v>
      </c>
      <c r="E643">
        <v>0</v>
      </c>
      <c r="F643">
        <v>0</v>
      </c>
      <c r="G643">
        <v>0</v>
      </c>
      <c r="H643">
        <v>0</v>
      </c>
      <c r="I643">
        <v>0</v>
      </c>
      <c r="J643">
        <v>0</v>
      </c>
      <c r="K643">
        <v>0</v>
      </c>
    </row>
    <row r="644" spans="1:11">
      <c r="A644" t="s">
        <v>1452</v>
      </c>
      <c r="C644">
        <v>0</v>
      </c>
      <c r="D644">
        <v>0</v>
      </c>
      <c r="E644">
        <v>0</v>
      </c>
      <c r="F644">
        <v>0</v>
      </c>
      <c r="G644">
        <v>0</v>
      </c>
      <c r="H644">
        <v>0</v>
      </c>
      <c r="I644">
        <v>0</v>
      </c>
      <c r="J644">
        <v>0</v>
      </c>
      <c r="K644">
        <v>0</v>
      </c>
    </row>
    <row r="645" spans="1:11">
      <c r="A645" t="s">
        <v>1452</v>
      </c>
      <c r="B645">
        <v>0</v>
      </c>
      <c r="C645">
        <v>0</v>
      </c>
      <c r="D645">
        <v>0</v>
      </c>
      <c r="E645">
        <v>0</v>
      </c>
      <c r="F645">
        <v>0</v>
      </c>
      <c r="G645">
        <v>0</v>
      </c>
      <c r="H645">
        <v>0</v>
      </c>
      <c r="I645">
        <v>0</v>
      </c>
      <c r="J645">
        <v>0</v>
      </c>
      <c r="K645">
        <v>0</v>
      </c>
    </row>
    <row r="646" spans="1:11">
      <c r="A646" t="s">
        <v>116</v>
      </c>
      <c r="B646">
        <v>3</v>
      </c>
      <c r="C646">
        <v>0</v>
      </c>
      <c r="D646">
        <v>0</v>
      </c>
      <c r="E646">
        <v>0</v>
      </c>
      <c r="F646">
        <v>0</v>
      </c>
      <c r="G646">
        <v>0</v>
      </c>
      <c r="H646">
        <v>0</v>
      </c>
      <c r="I646">
        <v>0</v>
      </c>
      <c r="J646">
        <v>0</v>
      </c>
      <c r="K646">
        <v>0</v>
      </c>
    </row>
    <row r="647" spans="1:11">
      <c r="A647" t="s">
        <v>117</v>
      </c>
      <c r="B647">
        <v>7</v>
      </c>
      <c r="C647">
        <v>0</v>
      </c>
      <c r="D647">
        <v>0</v>
      </c>
      <c r="E647">
        <v>0</v>
      </c>
      <c r="F647">
        <v>0</v>
      </c>
      <c r="G647">
        <v>0</v>
      </c>
      <c r="H647">
        <v>0</v>
      </c>
      <c r="I647">
        <v>0</v>
      </c>
      <c r="J647">
        <v>0</v>
      </c>
      <c r="K647">
        <v>0</v>
      </c>
    </row>
    <row r="648" spans="1:11">
      <c r="A648" t="s">
        <v>118</v>
      </c>
      <c r="B648">
        <v>8</v>
      </c>
      <c r="C648">
        <v>0</v>
      </c>
      <c r="D648">
        <v>0</v>
      </c>
      <c r="E648">
        <v>0</v>
      </c>
      <c r="F648">
        <v>0</v>
      </c>
      <c r="G648">
        <v>0</v>
      </c>
      <c r="H648">
        <v>0</v>
      </c>
      <c r="I648">
        <v>0</v>
      </c>
      <c r="J648">
        <v>0</v>
      </c>
      <c r="K648">
        <v>0</v>
      </c>
    </row>
    <row r="649" spans="1:11">
      <c r="A649" t="s">
        <v>119</v>
      </c>
      <c r="B649">
        <v>7</v>
      </c>
      <c r="C649">
        <v>0</v>
      </c>
      <c r="D649">
        <v>0</v>
      </c>
      <c r="E649">
        <v>0</v>
      </c>
      <c r="F649">
        <v>0</v>
      </c>
      <c r="G649">
        <v>0</v>
      </c>
      <c r="H649">
        <v>0</v>
      </c>
      <c r="I649">
        <v>0</v>
      </c>
      <c r="J649">
        <v>0</v>
      </c>
      <c r="K649">
        <v>0</v>
      </c>
    </row>
    <row r="650" spans="1:11">
      <c r="A650" t="s">
        <v>120</v>
      </c>
      <c r="B650">
        <v>1</v>
      </c>
      <c r="C650">
        <v>0</v>
      </c>
      <c r="D650">
        <v>0</v>
      </c>
      <c r="E650">
        <v>0</v>
      </c>
      <c r="F650">
        <v>0</v>
      </c>
      <c r="G650">
        <v>0</v>
      </c>
      <c r="H650">
        <v>0</v>
      </c>
      <c r="I650">
        <v>0</v>
      </c>
      <c r="J650">
        <v>0</v>
      </c>
      <c r="K650">
        <v>0</v>
      </c>
    </row>
    <row r="651" spans="1:11">
      <c r="A651" t="s">
        <v>121</v>
      </c>
      <c r="B651">
        <v>118</v>
      </c>
      <c r="C651">
        <v>80</v>
      </c>
      <c r="D651">
        <v>19</v>
      </c>
      <c r="E651">
        <v>0</v>
      </c>
      <c r="F651">
        <v>19</v>
      </c>
      <c r="G651">
        <v>0</v>
      </c>
      <c r="H651">
        <v>0</v>
      </c>
      <c r="I651">
        <v>0</v>
      </c>
      <c r="J651">
        <v>0</v>
      </c>
      <c r="K651">
        <v>0</v>
      </c>
    </row>
    <row r="652" spans="1:11">
      <c r="A652" t="s">
        <v>122</v>
      </c>
      <c r="B652">
        <v>26</v>
      </c>
      <c r="C652">
        <v>18</v>
      </c>
      <c r="D652">
        <v>4</v>
      </c>
      <c r="E652">
        <v>0</v>
      </c>
      <c r="F652">
        <v>4</v>
      </c>
      <c r="G652">
        <v>0</v>
      </c>
      <c r="H652">
        <v>0</v>
      </c>
      <c r="I652">
        <v>0</v>
      </c>
      <c r="J652">
        <v>0</v>
      </c>
      <c r="K652">
        <v>0</v>
      </c>
    </row>
    <row r="653" spans="1:11">
      <c r="A653" t="s">
        <v>1</v>
      </c>
      <c r="B653">
        <v>142</v>
      </c>
      <c r="C653">
        <v>96</v>
      </c>
      <c r="D653">
        <v>23</v>
      </c>
      <c r="E653">
        <v>0</v>
      </c>
      <c r="F653">
        <v>23</v>
      </c>
      <c r="G653">
        <v>0</v>
      </c>
      <c r="H653">
        <v>0</v>
      </c>
      <c r="I653">
        <v>0</v>
      </c>
      <c r="J653">
        <v>0</v>
      </c>
      <c r="K653">
        <v>0</v>
      </c>
    </row>
    <row r="654" spans="1:11">
      <c r="A654" t="s">
        <v>123</v>
      </c>
      <c r="B654">
        <v>90</v>
      </c>
      <c r="C654">
        <v>61</v>
      </c>
      <c r="D654">
        <v>15</v>
      </c>
      <c r="E654">
        <v>0</v>
      </c>
      <c r="F654">
        <v>14</v>
      </c>
      <c r="G654">
        <v>0</v>
      </c>
      <c r="H654">
        <v>0</v>
      </c>
      <c r="I654">
        <v>0</v>
      </c>
      <c r="J654">
        <v>0</v>
      </c>
      <c r="K654">
        <v>0</v>
      </c>
    </row>
    <row r="655" spans="1:11">
      <c r="A655" t="s">
        <v>124</v>
      </c>
      <c r="B655">
        <v>0</v>
      </c>
      <c r="C655">
        <v>0</v>
      </c>
      <c r="D655">
        <v>0</v>
      </c>
      <c r="E655">
        <v>0</v>
      </c>
      <c r="F655">
        <v>0</v>
      </c>
      <c r="G655">
        <v>0</v>
      </c>
      <c r="H655">
        <v>0</v>
      </c>
      <c r="I655">
        <v>0</v>
      </c>
      <c r="J655">
        <v>0</v>
      </c>
      <c r="K655">
        <v>0</v>
      </c>
    </row>
    <row r="656" spans="1:11">
      <c r="A656" t="s">
        <v>125</v>
      </c>
      <c r="B656">
        <v>186</v>
      </c>
      <c r="C656">
        <v>126</v>
      </c>
      <c r="D656">
        <v>30</v>
      </c>
      <c r="E656">
        <v>0</v>
      </c>
      <c r="F656">
        <v>30</v>
      </c>
      <c r="G656">
        <v>0</v>
      </c>
      <c r="H656">
        <v>0</v>
      </c>
      <c r="I656">
        <v>0</v>
      </c>
      <c r="J656">
        <v>0</v>
      </c>
      <c r="K656">
        <v>0</v>
      </c>
    </row>
    <row r="657" spans="1:11">
      <c r="A657" t="s">
        <v>9</v>
      </c>
      <c r="B657">
        <v>94</v>
      </c>
      <c r="C657">
        <v>64</v>
      </c>
      <c r="D657">
        <v>15</v>
      </c>
      <c r="E657">
        <v>0</v>
      </c>
      <c r="F657">
        <v>15</v>
      </c>
      <c r="G657">
        <v>0</v>
      </c>
      <c r="H657">
        <v>0</v>
      </c>
      <c r="I657">
        <v>0</v>
      </c>
      <c r="J657">
        <v>0</v>
      </c>
      <c r="K657">
        <v>0</v>
      </c>
    </row>
    <row r="658" spans="1:11">
      <c r="A658" t="s">
        <v>126</v>
      </c>
      <c r="B658">
        <v>148</v>
      </c>
      <c r="C658">
        <v>100</v>
      </c>
      <c r="D658">
        <v>24</v>
      </c>
      <c r="E658">
        <v>0</v>
      </c>
      <c r="F658">
        <v>24</v>
      </c>
      <c r="G658">
        <v>0</v>
      </c>
      <c r="H658">
        <v>0</v>
      </c>
      <c r="I658">
        <v>0</v>
      </c>
      <c r="J658">
        <v>0</v>
      </c>
      <c r="K658">
        <v>0</v>
      </c>
    </row>
    <row r="659" spans="1:11">
      <c r="A659" t="s">
        <v>29</v>
      </c>
      <c r="B659">
        <v>283</v>
      </c>
      <c r="C659">
        <v>191</v>
      </c>
      <c r="D659">
        <v>46</v>
      </c>
      <c r="E659">
        <v>0</v>
      </c>
      <c r="F659">
        <v>46</v>
      </c>
      <c r="G659">
        <v>0</v>
      </c>
      <c r="H659">
        <v>0</v>
      </c>
      <c r="I659">
        <v>0</v>
      </c>
      <c r="J659">
        <v>0</v>
      </c>
      <c r="K659">
        <v>0</v>
      </c>
    </row>
    <row r="660" spans="1:11">
      <c r="A660" t="s">
        <v>26</v>
      </c>
      <c r="B660">
        <v>210</v>
      </c>
      <c r="C660">
        <v>142</v>
      </c>
      <c r="D660">
        <v>34</v>
      </c>
      <c r="E660">
        <v>0</v>
      </c>
      <c r="F660">
        <v>34</v>
      </c>
      <c r="G660">
        <v>0</v>
      </c>
      <c r="H660">
        <v>0</v>
      </c>
      <c r="I660">
        <v>0</v>
      </c>
      <c r="J660">
        <v>0</v>
      </c>
      <c r="K660">
        <v>0</v>
      </c>
    </row>
    <row r="661" spans="1:11">
      <c r="A661" t="s">
        <v>2</v>
      </c>
      <c r="B661">
        <v>89</v>
      </c>
      <c r="C661">
        <v>60</v>
      </c>
      <c r="D661">
        <v>15</v>
      </c>
      <c r="E661">
        <v>0</v>
      </c>
      <c r="F661">
        <v>14</v>
      </c>
      <c r="G661">
        <v>0</v>
      </c>
      <c r="H661">
        <v>0</v>
      </c>
      <c r="I661">
        <v>0</v>
      </c>
      <c r="J661">
        <v>0</v>
      </c>
      <c r="K661">
        <v>0</v>
      </c>
    </row>
    <row r="662" spans="1:11">
      <c r="A662" t="s">
        <v>127</v>
      </c>
      <c r="B662">
        <v>45</v>
      </c>
      <c r="C662">
        <v>31</v>
      </c>
      <c r="D662">
        <v>7</v>
      </c>
      <c r="E662">
        <v>0</v>
      </c>
      <c r="F662">
        <v>7</v>
      </c>
      <c r="G662">
        <v>0</v>
      </c>
      <c r="H662">
        <v>0</v>
      </c>
      <c r="I662">
        <v>0</v>
      </c>
      <c r="J662">
        <v>0</v>
      </c>
      <c r="K662">
        <v>0</v>
      </c>
    </row>
    <row r="663" spans="1:11">
      <c r="A663" t="s">
        <v>147</v>
      </c>
      <c r="B663">
        <v>18</v>
      </c>
      <c r="C663">
        <v>12</v>
      </c>
      <c r="D663">
        <v>3</v>
      </c>
      <c r="E663">
        <v>0</v>
      </c>
      <c r="F663">
        <v>3</v>
      </c>
      <c r="G663">
        <v>0</v>
      </c>
      <c r="H663">
        <v>0</v>
      </c>
      <c r="I663">
        <v>0</v>
      </c>
      <c r="J663">
        <v>0</v>
      </c>
      <c r="K663">
        <v>0</v>
      </c>
    </row>
    <row r="664" spans="1:11">
      <c r="A664" t="s">
        <v>148</v>
      </c>
      <c r="B664">
        <v>93</v>
      </c>
      <c r="C664">
        <v>63</v>
      </c>
      <c r="D664">
        <v>15</v>
      </c>
      <c r="E664">
        <v>0</v>
      </c>
      <c r="F664">
        <v>15</v>
      </c>
      <c r="G664">
        <v>0</v>
      </c>
      <c r="H664">
        <v>0</v>
      </c>
      <c r="I664">
        <v>0</v>
      </c>
      <c r="J664">
        <v>0</v>
      </c>
      <c r="K664">
        <v>0</v>
      </c>
    </row>
    <row r="665" spans="1:11">
      <c r="A665" t="s">
        <v>31</v>
      </c>
      <c r="B665">
        <v>18</v>
      </c>
      <c r="C665">
        <v>12</v>
      </c>
      <c r="D665">
        <v>3</v>
      </c>
      <c r="E665">
        <v>0</v>
      </c>
      <c r="F665">
        <v>3</v>
      </c>
      <c r="G665">
        <v>0</v>
      </c>
      <c r="H665">
        <v>0</v>
      </c>
      <c r="I665">
        <v>0</v>
      </c>
      <c r="J665">
        <v>0</v>
      </c>
      <c r="K665">
        <v>0</v>
      </c>
    </row>
    <row r="666" spans="1:11">
      <c r="A666" t="s">
        <v>128</v>
      </c>
      <c r="B666">
        <v>0</v>
      </c>
      <c r="C666">
        <v>0</v>
      </c>
      <c r="D666">
        <v>0</v>
      </c>
      <c r="E666">
        <v>0</v>
      </c>
      <c r="F666">
        <v>0</v>
      </c>
      <c r="G666">
        <v>0</v>
      </c>
      <c r="H666">
        <v>0</v>
      </c>
      <c r="I666">
        <v>0</v>
      </c>
      <c r="J666">
        <v>0</v>
      </c>
      <c r="K666">
        <v>0</v>
      </c>
    </row>
    <row r="667" spans="1:11">
      <c r="A667" t="s">
        <v>515</v>
      </c>
      <c r="B667">
        <v>11</v>
      </c>
      <c r="C667">
        <v>0</v>
      </c>
      <c r="D667">
        <v>6</v>
      </c>
      <c r="E667">
        <v>0</v>
      </c>
      <c r="F667">
        <v>5</v>
      </c>
      <c r="G667">
        <v>0</v>
      </c>
      <c r="H667">
        <v>0</v>
      </c>
      <c r="I667">
        <v>0</v>
      </c>
      <c r="J667">
        <v>0</v>
      </c>
      <c r="K667">
        <v>0</v>
      </c>
    </row>
    <row r="668" spans="1:11">
      <c r="A668" t="s">
        <v>517</v>
      </c>
      <c r="B668">
        <v>11</v>
      </c>
      <c r="C668">
        <v>0</v>
      </c>
      <c r="D668">
        <v>6</v>
      </c>
      <c r="E668">
        <v>0</v>
      </c>
      <c r="F668">
        <v>5</v>
      </c>
      <c r="G668">
        <v>0</v>
      </c>
      <c r="H668">
        <v>0</v>
      </c>
      <c r="I668">
        <v>0</v>
      </c>
      <c r="J668">
        <v>0</v>
      </c>
      <c r="K668">
        <v>0</v>
      </c>
    </row>
    <row r="669" spans="1:11">
      <c r="A669" t="s">
        <v>516</v>
      </c>
      <c r="B669">
        <v>4</v>
      </c>
      <c r="C669">
        <v>0</v>
      </c>
      <c r="D669">
        <v>2</v>
      </c>
      <c r="E669">
        <v>0</v>
      </c>
      <c r="F669">
        <v>2</v>
      </c>
      <c r="G669">
        <v>0</v>
      </c>
      <c r="H669">
        <v>0</v>
      </c>
      <c r="I669">
        <v>0</v>
      </c>
      <c r="J669">
        <v>0</v>
      </c>
      <c r="K669">
        <v>0</v>
      </c>
    </row>
    <row r="670" spans="1:11">
      <c r="A670" t="s">
        <v>520</v>
      </c>
      <c r="B670">
        <v>12</v>
      </c>
      <c r="C670">
        <v>0</v>
      </c>
      <c r="D670">
        <v>6</v>
      </c>
      <c r="E670">
        <v>0</v>
      </c>
      <c r="F670">
        <v>6</v>
      </c>
      <c r="G670">
        <v>0</v>
      </c>
      <c r="H670">
        <v>0</v>
      </c>
      <c r="I670">
        <v>0</v>
      </c>
      <c r="J670">
        <v>0</v>
      </c>
      <c r="K670">
        <v>0</v>
      </c>
    </row>
    <row r="671" spans="1:11">
      <c r="A671" t="s">
        <v>524</v>
      </c>
      <c r="B671">
        <v>0</v>
      </c>
      <c r="C671">
        <v>0</v>
      </c>
      <c r="D671">
        <v>0</v>
      </c>
      <c r="E671">
        <v>0</v>
      </c>
      <c r="F671">
        <v>0</v>
      </c>
      <c r="G671">
        <v>0</v>
      </c>
      <c r="H671">
        <v>0</v>
      </c>
      <c r="I671">
        <v>0</v>
      </c>
      <c r="J671">
        <v>0</v>
      </c>
      <c r="K671">
        <v>0</v>
      </c>
    </row>
    <row r="672" spans="1:11">
      <c r="A672" t="s">
        <v>512</v>
      </c>
      <c r="B672">
        <v>12</v>
      </c>
      <c r="C672">
        <v>0</v>
      </c>
      <c r="D672">
        <v>6</v>
      </c>
      <c r="E672">
        <v>0</v>
      </c>
      <c r="F672">
        <v>6</v>
      </c>
      <c r="G672">
        <v>0</v>
      </c>
      <c r="H672">
        <v>0</v>
      </c>
      <c r="I672">
        <v>0</v>
      </c>
      <c r="J672">
        <v>0</v>
      </c>
      <c r="K672">
        <v>0</v>
      </c>
    </row>
    <row r="673" spans="1:11">
      <c r="A673" t="s">
        <v>526</v>
      </c>
      <c r="B673">
        <v>0</v>
      </c>
      <c r="C673">
        <v>0</v>
      </c>
      <c r="D673">
        <v>0</v>
      </c>
      <c r="E673">
        <v>0</v>
      </c>
      <c r="F673">
        <v>0</v>
      </c>
      <c r="G673">
        <v>0</v>
      </c>
      <c r="H673">
        <v>0</v>
      </c>
      <c r="I673">
        <v>0</v>
      </c>
      <c r="J673">
        <v>0</v>
      </c>
      <c r="K673">
        <v>0</v>
      </c>
    </row>
    <row r="674" spans="1:11">
      <c r="A674" t="s">
        <v>522</v>
      </c>
      <c r="B674">
        <v>13</v>
      </c>
      <c r="C674">
        <v>0</v>
      </c>
      <c r="D674">
        <v>7</v>
      </c>
      <c r="E674">
        <v>0</v>
      </c>
      <c r="F674">
        <v>6</v>
      </c>
      <c r="G674">
        <v>0</v>
      </c>
      <c r="H674">
        <v>0</v>
      </c>
      <c r="I674">
        <v>0</v>
      </c>
      <c r="J674">
        <v>0</v>
      </c>
      <c r="K674">
        <v>0</v>
      </c>
    </row>
    <row r="675" spans="1:11">
      <c r="A675" t="s">
        <v>518</v>
      </c>
      <c r="B675">
        <v>3</v>
      </c>
      <c r="C675">
        <v>0</v>
      </c>
      <c r="D675">
        <v>2</v>
      </c>
      <c r="E675">
        <v>0</v>
      </c>
      <c r="F675">
        <v>1</v>
      </c>
      <c r="G675">
        <v>0</v>
      </c>
      <c r="H675">
        <v>0</v>
      </c>
      <c r="I675">
        <v>0</v>
      </c>
      <c r="J675">
        <v>0</v>
      </c>
      <c r="K675">
        <v>0</v>
      </c>
    </row>
    <row r="676" spans="1:11">
      <c r="A676" t="s">
        <v>521</v>
      </c>
      <c r="B676">
        <v>8</v>
      </c>
      <c r="C676">
        <v>0</v>
      </c>
      <c r="D676">
        <v>4</v>
      </c>
      <c r="E676">
        <v>0</v>
      </c>
      <c r="F676">
        <v>4</v>
      </c>
      <c r="G676">
        <v>0</v>
      </c>
      <c r="H676">
        <v>0</v>
      </c>
      <c r="I676">
        <v>0</v>
      </c>
      <c r="J676">
        <v>0</v>
      </c>
      <c r="K676">
        <v>0</v>
      </c>
    </row>
    <row r="677" spans="1:11">
      <c r="A677" t="s">
        <v>523</v>
      </c>
      <c r="B677">
        <v>0</v>
      </c>
      <c r="C677">
        <v>0</v>
      </c>
      <c r="D677">
        <v>0</v>
      </c>
      <c r="E677">
        <v>0</v>
      </c>
      <c r="F677">
        <v>0</v>
      </c>
      <c r="G677">
        <v>0</v>
      </c>
      <c r="H677">
        <v>0</v>
      </c>
      <c r="I677">
        <v>0</v>
      </c>
      <c r="J677">
        <v>0</v>
      </c>
      <c r="K677">
        <v>0</v>
      </c>
    </row>
    <row r="678" spans="1:11">
      <c r="A678" t="s">
        <v>519</v>
      </c>
      <c r="B678">
        <v>0</v>
      </c>
      <c r="C678">
        <v>0</v>
      </c>
      <c r="D678">
        <v>0</v>
      </c>
      <c r="E678">
        <v>0</v>
      </c>
      <c r="F678">
        <v>0</v>
      </c>
      <c r="G678">
        <v>0</v>
      </c>
      <c r="H678">
        <v>0</v>
      </c>
      <c r="I678">
        <v>0</v>
      </c>
      <c r="J678">
        <v>0</v>
      </c>
      <c r="K678">
        <v>0</v>
      </c>
    </row>
    <row r="679" spans="1:11">
      <c r="A679" t="s">
        <v>527</v>
      </c>
      <c r="B679">
        <v>3</v>
      </c>
      <c r="C679">
        <v>0</v>
      </c>
      <c r="D679">
        <v>2</v>
      </c>
      <c r="E679">
        <v>0</v>
      </c>
      <c r="F679">
        <v>1</v>
      </c>
      <c r="G679">
        <v>0</v>
      </c>
      <c r="H679">
        <v>0</v>
      </c>
      <c r="I679">
        <v>0</v>
      </c>
      <c r="J679">
        <v>0</v>
      </c>
      <c r="K679">
        <v>0</v>
      </c>
    </row>
    <row r="680" spans="1:11">
      <c r="A680" t="s">
        <v>525</v>
      </c>
      <c r="B680">
        <v>4</v>
      </c>
      <c r="C680">
        <v>0</v>
      </c>
      <c r="D680">
        <v>2</v>
      </c>
      <c r="E680">
        <v>0</v>
      </c>
      <c r="F680">
        <v>2</v>
      </c>
      <c r="G680">
        <v>0</v>
      </c>
      <c r="H680">
        <v>0</v>
      </c>
      <c r="I680">
        <v>0</v>
      </c>
      <c r="J680">
        <v>0</v>
      </c>
      <c r="K680">
        <v>0</v>
      </c>
    </row>
    <row r="681" spans="1:11">
      <c r="A681" t="s">
        <v>514</v>
      </c>
      <c r="B681">
        <v>0</v>
      </c>
      <c r="C681">
        <v>0</v>
      </c>
      <c r="D681">
        <v>0</v>
      </c>
      <c r="E681">
        <v>0</v>
      </c>
      <c r="F681">
        <v>0</v>
      </c>
      <c r="G681">
        <v>0</v>
      </c>
      <c r="H681">
        <v>0</v>
      </c>
      <c r="I681">
        <v>0</v>
      </c>
      <c r="J681">
        <v>0</v>
      </c>
      <c r="K681">
        <v>0</v>
      </c>
    </row>
    <row r="682" spans="1:11">
      <c r="A682" t="s">
        <v>513</v>
      </c>
      <c r="B682">
        <v>0</v>
      </c>
      <c r="C682">
        <v>0</v>
      </c>
      <c r="D682">
        <v>0</v>
      </c>
      <c r="E682">
        <v>0</v>
      </c>
      <c r="F682">
        <v>0</v>
      </c>
      <c r="G682">
        <v>0</v>
      </c>
      <c r="H682">
        <v>0</v>
      </c>
      <c r="I682">
        <v>0</v>
      </c>
      <c r="J682">
        <v>0</v>
      </c>
      <c r="K682">
        <v>0</v>
      </c>
    </row>
    <row r="683" spans="1:11">
      <c r="A683" t="s">
        <v>129</v>
      </c>
      <c r="B683">
        <v>0</v>
      </c>
      <c r="C683">
        <v>0</v>
      </c>
      <c r="D683">
        <v>0</v>
      </c>
      <c r="E683">
        <v>0</v>
      </c>
      <c r="F683">
        <v>0</v>
      </c>
      <c r="G683">
        <v>0</v>
      </c>
      <c r="H683">
        <v>0</v>
      </c>
      <c r="I683">
        <v>0</v>
      </c>
      <c r="J683">
        <v>0</v>
      </c>
      <c r="K683">
        <v>0</v>
      </c>
    </row>
    <row r="684" spans="1:11">
      <c r="A684" t="s">
        <v>130</v>
      </c>
      <c r="B684">
        <v>41</v>
      </c>
      <c r="C684">
        <v>41</v>
      </c>
      <c r="D684">
        <v>0</v>
      </c>
      <c r="E684">
        <v>0</v>
      </c>
      <c r="F684">
        <v>0</v>
      </c>
      <c r="G684">
        <v>0</v>
      </c>
      <c r="H684">
        <v>0</v>
      </c>
      <c r="I684">
        <v>0</v>
      </c>
      <c r="J684">
        <v>0</v>
      </c>
      <c r="K684">
        <v>0</v>
      </c>
    </row>
    <row r="685" spans="1:11">
      <c r="A685" t="s">
        <v>131</v>
      </c>
      <c r="B685">
        <v>133</v>
      </c>
      <c r="C685">
        <v>133</v>
      </c>
      <c r="D685">
        <v>0</v>
      </c>
      <c r="E685">
        <v>0</v>
      </c>
      <c r="F685">
        <v>0</v>
      </c>
      <c r="G685">
        <v>0</v>
      </c>
      <c r="H685">
        <v>0</v>
      </c>
      <c r="I685">
        <v>0</v>
      </c>
      <c r="J685">
        <v>0</v>
      </c>
      <c r="K685">
        <v>0</v>
      </c>
    </row>
    <row r="686" spans="1:11">
      <c r="A686" t="s">
        <v>132</v>
      </c>
      <c r="B686">
        <v>126</v>
      </c>
      <c r="C686">
        <v>126</v>
      </c>
      <c r="D686">
        <v>0</v>
      </c>
      <c r="E686">
        <v>0</v>
      </c>
      <c r="F686">
        <v>0</v>
      </c>
      <c r="G686">
        <v>0</v>
      </c>
      <c r="H686">
        <v>0</v>
      </c>
      <c r="I686">
        <v>0</v>
      </c>
      <c r="J686">
        <v>0</v>
      </c>
      <c r="K686">
        <v>0</v>
      </c>
    </row>
    <row r="687" spans="1:11">
      <c r="A687" t="s">
        <v>133</v>
      </c>
      <c r="B687">
        <v>110</v>
      </c>
      <c r="C687">
        <v>84</v>
      </c>
      <c r="D687">
        <v>0</v>
      </c>
      <c r="E687">
        <v>0</v>
      </c>
      <c r="F687">
        <v>26</v>
      </c>
      <c r="G687">
        <v>0</v>
      </c>
      <c r="H687">
        <v>0</v>
      </c>
      <c r="I687">
        <v>0</v>
      </c>
      <c r="J687">
        <v>0</v>
      </c>
      <c r="K687">
        <v>0</v>
      </c>
    </row>
    <row r="688" spans="1:11">
      <c r="A688" t="s">
        <v>134</v>
      </c>
      <c r="B688">
        <v>241</v>
      </c>
      <c r="C688">
        <v>241</v>
      </c>
      <c r="D688">
        <v>0</v>
      </c>
      <c r="E688">
        <v>0</v>
      </c>
      <c r="F688">
        <v>0</v>
      </c>
      <c r="G688">
        <v>0</v>
      </c>
      <c r="H688">
        <v>0</v>
      </c>
      <c r="I688">
        <v>0</v>
      </c>
      <c r="J688">
        <v>0</v>
      </c>
      <c r="K688">
        <v>0</v>
      </c>
    </row>
    <row r="689" spans="1:11">
      <c r="A689" t="s">
        <v>135</v>
      </c>
      <c r="B689">
        <v>143</v>
      </c>
      <c r="C689">
        <v>143</v>
      </c>
      <c r="D689">
        <v>0</v>
      </c>
      <c r="E689">
        <v>0</v>
      </c>
      <c r="F689">
        <v>0</v>
      </c>
      <c r="G689">
        <v>0</v>
      </c>
      <c r="H689">
        <v>0</v>
      </c>
      <c r="I689">
        <v>0</v>
      </c>
      <c r="J689">
        <v>0</v>
      </c>
      <c r="K689">
        <v>0</v>
      </c>
    </row>
    <row r="690" spans="1:11">
      <c r="A690" t="s">
        <v>136</v>
      </c>
      <c r="B690">
        <v>222</v>
      </c>
      <c r="C690">
        <v>222</v>
      </c>
      <c r="D690">
        <v>0</v>
      </c>
      <c r="E690">
        <v>0</v>
      </c>
      <c r="F690">
        <v>0</v>
      </c>
      <c r="G690">
        <v>0</v>
      </c>
      <c r="H690">
        <v>0</v>
      </c>
      <c r="I690">
        <v>0</v>
      </c>
      <c r="J690">
        <v>0</v>
      </c>
      <c r="K690">
        <v>0</v>
      </c>
    </row>
    <row r="691" spans="1:11">
      <c r="A691" t="s">
        <v>137</v>
      </c>
      <c r="B691">
        <v>0</v>
      </c>
      <c r="C691">
        <v>0</v>
      </c>
      <c r="D691">
        <v>0</v>
      </c>
      <c r="E691">
        <v>0</v>
      </c>
      <c r="F691">
        <v>0</v>
      </c>
      <c r="G691">
        <v>0</v>
      </c>
      <c r="H691">
        <v>0</v>
      </c>
      <c r="I691">
        <v>0</v>
      </c>
      <c r="J691">
        <v>0</v>
      </c>
      <c r="K691">
        <v>0</v>
      </c>
    </row>
    <row r="692" spans="1:11">
      <c r="A692" t="s">
        <v>138</v>
      </c>
      <c r="B692">
        <v>189</v>
      </c>
      <c r="C692">
        <v>189</v>
      </c>
      <c r="D692">
        <v>0</v>
      </c>
      <c r="E692">
        <v>0</v>
      </c>
      <c r="F692">
        <v>0</v>
      </c>
      <c r="G692">
        <v>0</v>
      </c>
      <c r="H692">
        <v>0</v>
      </c>
      <c r="I692">
        <v>0</v>
      </c>
      <c r="J692">
        <v>0</v>
      </c>
      <c r="K692">
        <v>0</v>
      </c>
    </row>
    <row r="693" spans="1:11">
      <c r="A693" t="s">
        <v>139</v>
      </c>
      <c r="B693">
        <v>180</v>
      </c>
      <c r="C693">
        <v>180</v>
      </c>
      <c r="D693">
        <v>0</v>
      </c>
      <c r="E693">
        <v>0</v>
      </c>
      <c r="F693">
        <v>0</v>
      </c>
      <c r="G693">
        <v>0</v>
      </c>
      <c r="H693">
        <v>0</v>
      </c>
      <c r="I693">
        <v>0</v>
      </c>
      <c r="J693">
        <v>0</v>
      </c>
      <c r="K693">
        <v>0</v>
      </c>
    </row>
    <row r="694" spans="1:11">
      <c r="A694" t="s">
        <v>140</v>
      </c>
      <c r="B694">
        <v>174</v>
      </c>
      <c r="C694">
        <v>174</v>
      </c>
      <c r="D694">
        <v>0</v>
      </c>
      <c r="E694">
        <v>0</v>
      </c>
      <c r="F694">
        <v>0</v>
      </c>
      <c r="G694">
        <v>0</v>
      </c>
      <c r="H694">
        <v>0</v>
      </c>
      <c r="I694">
        <v>0</v>
      </c>
      <c r="J694">
        <v>0</v>
      </c>
      <c r="K694">
        <v>0</v>
      </c>
    </row>
    <row r="695" spans="1:11">
      <c r="A695" t="s">
        <v>141</v>
      </c>
      <c r="B695">
        <v>239</v>
      </c>
      <c r="C695">
        <v>239</v>
      </c>
      <c r="D695">
        <v>0</v>
      </c>
      <c r="E695">
        <v>0</v>
      </c>
      <c r="F695">
        <v>0</v>
      </c>
      <c r="G695">
        <v>0</v>
      </c>
      <c r="H695">
        <v>0</v>
      </c>
      <c r="I695">
        <v>0</v>
      </c>
      <c r="J695">
        <v>0</v>
      </c>
      <c r="K695">
        <v>0</v>
      </c>
    </row>
    <row r="696" spans="1:11">
      <c r="A696" t="s">
        <v>142</v>
      </c>
      <c r="B696">
        <v>148</v>
      </c>
      <c r="C696">
        <v>148</v>
      </c>
      <c r="D696">
        <v>0</v>
      </c>
      <c r="E696">
        <v>0</v>
      </c>
      <c r="F696">
        <v>0</v>
      </c>
      <c r="G696">
        <v>0</v>
      </c>
      <c r="H696">
        <v>0</v>
      </c>
      <c r="I696">
        <v>0</v>
      </c>
      <c r="J696">
        <v>0</v>
      </c>
      <c r="K696">
        <v>0</v>
      </c>
    </row>
    <row r="697" spans="1:11">
      <c r="A697" t="s">
        <v>143</v>
      </c>
      <c r="B697">
        <v>200</v>
      </c>
      <c r="C697">
        <v>200</v>
      </c>
      <c r="D697">
        <v>0</v>
      </c>
      <c r="E697">
        <v>0</v>
      </c>
      <c r="F697">
        <v>0</v>
      </c>
      <c r="G697">
        <v>0</v>
      </c>
      <c r="H697">
        <v>0</v>
      </c>
      <c r="I697">
        <v>0</v>
      </c>
      <c r="J697">
        <v>0</v>
      </c>
      <c r="K697">
        <v>0</v>
      </c>
    </row>
    <row r="698" spans="1:11">
      <c r="A698" t="s">
        <v>144</v>
      </c>
      <c r="B698">
        <v>208</v>
      </c>
      <c r="C698">
        <v>208</v>
      </c>
      <c r="D698">
        <v>0</v>
      </c>
      <c r="E698">
        <v>0</v>
      </c>
      <c r="F698">
        <v>0</v>
      </c>
      <c r="G698">
        <v>0</v>
      </c>
      <c r="H698">
        <v>0</v>
      </c>
      <c r="I698">
        <v>0</v>
      </c>
      <c r="J698">
        <v>0</v>
      </c>
      <c r="K698">
        <v>0</v>
      </c>
    </row>
    <row r="699" spans="1:11">
      <c r="A699" t="s">
        <v>145</v>
      </c>
      <c r="B699">
        <v>225</v>
      </c>
      <c r="C699">
        <v>225</v>
      </c>
      <c r="D699">
        <v>0</v>
      </c>
      <c r="E699">
        <v>0</v>
      </c>
      <c r="F699">
        <v>0</v>
      </c>
      <c r="G699">
        <v>0</v>
      </c>
      <c r="H699">
        <v>0</v>
      </c>
      <c r="I699">
        <v>0</v>
      </c>
      <c r="J699">
        <v>0</v>
      </c>
      <c r="K699">
        <v>0</v>
      </c>
    </row>
    <row r="700" spans="1:11">
      <c r="A700" t="s">
        <v>555</v>
      </c>
      <c r="B700">
        <v>14</v>
      </c>
      <c r="C700">
        <v>9</v>
      </c>
      <c r="D700">
        <v>1</v>
      </c>
      <c r="E700">
        <v>1</v>
      </c>
      <c r="F700">
        <v>1</v>
      </c>
      <c r="G700">
        <v>0</v>
      </c>
      <c r="H700">
        <v>1</v>
      </c>
      <c r="I700">
        <v>1</v>
      </c>
      <c r="J700">
        <v>0</v>
      </c>
      <c r="K700">
        <v>0</v>
      </c>
    </row>
    <row r="701" spans="1:11">
      <c r="A701" t="s">
        <v>556</v>
      </c>
      <c r="B701">
        <v>100</v>
      </c>
      <c r="C701">
        <v>60</v>
      </c>
      <c r="D701">
        <v>9</v>
      </c>
      <c r="E701">
        <v>9</v>
      </c>
      <c r="F701">
        <v>9</v>
      </c>
      <c r="G701">
        <v>0</v>
      </c>
      <c r="H701">
        <v>9</v>
      </c>
      <c r="I701">
        <v>4</v>
      </c>
      <c r="J701">
        <v>0</v>
      </c>
      <c r="K701">
        <v>0</v>
      </c>
    </row>
    <row r="702" spans="1:11">
      <c r="A702" t="s">
        <v>680</v>
      </c>
      <c r="B702">
        <v>48</v>
      </c>
      <c r="C702">
        <v>29</v>
      </c>
      <c r="D702">
        <v>5</v>
      </c>
      <c r="E702">
        <v>5</v>
      </c>
      <c r="F702">
        <v>4</v>
      </c>
      <c r="G702">
        <v>0</v>
      </c>
      <c r="H702">
        <v>4</v>
      </c>
      <c r="I702">
        <v>1</v>
      </c>
      <c r="J702">
        <v>0</v>
      </c>
      <c r="K702">
        <v>0</v>
      </c>
    </row>
    <row r="703" spans="1:11">
      <c r="A703" t="s">
        <v>557</v>
      </c>
      <c r="B703">
        <v>187</v>
      </c>
      <c r="C703">
        <v>113</v>
      </c>
      <c r="D703">
        <v>17</v>
      </c>
      <c r="E703">
        <v>17</v>
      </c>
      <c r="F703">
        <v>17</v>
      </c>
      <c r="G703">
        <v>0</v>
      </c>
      <c r="H703">
        <v>16</v>
      </c>
      <c r="I703">
        <v>7</v>
      </c>
      <c r="J703">
        <v>0</v>
      </c>
      <c r="K703">
        <v>0</v>
      </c>
    </row>
    <row r="704" spans="1:11">
      <c r="A704" t="s">
        <v>664</v>
      </c>
      <c r="B704">
        <v>629</v>
      </c>
      <c r="C704">
        <v>378</v>
      </c>
      <c r="D704">
        <v>57</v>
      </c>
      <c r="E704">
        <v>57</v>
      </c>
      <c r="F704">
        <v>56</v>
      </c>
      <c r="G704">
        <v>0</v>
      </c>
      <c r="H704">
        <v>56</v>
      </c>
      <c r="I704">
        <v>25</v>
      </c>
      <c r="J704">
        <v>0</v>
      </c>
      <c r="K704">
        <v>0</v>
      </c>
    </row>
    <row r="705" spans="1:11">
      <c r="A705" t="s">
        <v>558</v>
      </c>
      <c r="B705">
        <v>38</v>
      </c>
      <c r="C705">
        <v>23</v>
      </c>
      <c r="D705">
        <v>4</v>
      </c>
      <c r="E705">
        <v>4</v>
      </c>
      <c r="F705">
        <v>3</v>
      </c>
      <c r="G705">
        <v>0</v>
      </c>
      <c r="H705">
        <v>3</v>
      </c>
      <c r="I705">
        <v>1</v>
      </c>
      <c r="J705">
        <v>0</v>
      </c>
      <c r="K705">
        <v>0</v>
      </c>
    </row>
    <row r="706" spans="1:11">
      <c r="A706" t="s">
        <v>559</v>
      </c>
      <c r="B706">
        <v>53</v>
      </c>
      <c r="C706">
        <v>32</v>
      </c>
      <c r="D706">
        <v>5</v>
      </c>
      <c r="E706">
        <v>5</v>
      </c>
      <c r="F706">
        <v>5</v>
      </c>
      <c r="G706">
        <v>0</v>
      </c>
      <c r="H706">
        <v>4</v>
      </c>
      <c r="I706">
        <v>2</v>
      </c>
      <c r="J706">
        <v>0</v>
      </c>
      <c r="K706">
        <v>0</v>
      </c>
    </row>
    <row r="707" spans="1:11">
      <c r="A707" t="s">
        <v>560</v>
      </c>
      <c r="B707">
        <v>14</v>
      </c>
      <c r="C707">
        <v>9</v>
      </c>
      <c r="D707">
        <v>1</v>
      </c>
      <c r="E707">
        <v>1</v>
      </c>
      <c r="F707">
        <v>1</v>
      </c>
      <c r="G707">
        <v>0</v>
      </c>
      <c r="H707">
        <v>1</v>
      </c>
      <c r="I707">
        <v>1</v>
      </c>
      <c r="J707">
        <v>0</v>
      </c>
      <c r="K707">
        <v>0</v>
      </c>
    </row>
    <row r="708" spans="1:11">
      <c r="A708" t="s">
        <v>561</v>
      </c>
      <c r="B708">
        <v>43</v>
      </c>
      <c r="C708">
        <v>26</v>
      </c>
      <c r="D708">
        <v>4</v>
      </c>
      <c r="E708">
        <v>4</v>
      </c>
      <c r="F708">
        <v>4</v>
      </c>
      <c r="G708">
        <v>0</v>
      </c>
      <c r="H708">
        <v>4</v>
      </c>
      <c r="I708">
        <v>1</v>
      </c>
      <c r="J708">
        <v>0</v>
      </c>
      <c r="K708">
        <v>0</v>
      </c>
    </row>
    <row r="709" spans="1:11">
      <c r="A709" t="s">
        <v>562</v>
      </c>
      <c r="B709">
        <v>48</v>
      </c>
      <c r="C709">
        <v>29</v>
      </c>
      <c r="D709">
        <v>5</v>
      </c>
      <c r="E709">
        <v>5</v>
      </c>
      <c r="F709">
        <v>4</v>
      </c>
      <c r="G709">
        <v>0</v>
      </c>
      <c r="H709">
        <v>4</v>
      </c>
      <c r="I709">
        <v>1</v>
      </c>
      <c r="J709">
        <v>0</v>
      </c>
      <c r="K709">
        <v>0</v>
      </c>
    </row>
    <row r="710" spans="1:11">
      <c r="A710" t="s">
        <v>563</v>
      </c>
      <c r="B710">
        <v>168</v>
      </c>
      <c r="C710">
        <v>101</v>
      </c>
      <c r="D710">
        <v>16</v>
      </c>
      <c r="E710">
        <v>15</v>
      </c>
      <c r="F710">
        <v>15</v>
      </c>
      <c r="G710">
        <v>0</v>
      </c>
      <c r="H710">
        <v>15</v>
      </c>
      <c r="I710">
        <v>6</v>
      </c>
      <c r="J710">
        <v>0</v>
      </c>
      <c r="K710">
        <v>0</v>
      </c>
    </row>
    <row r="711" spans="1:11">
      <c r="A711" t="s">
        <v>564</v>
      </c>
      <c r="B711">
        <v>53</v>
      </c>
      <c r="C711">
        <v>32</v>
      </c>
      <c r="D711">
        <v>5</v>
      </c>
      <c r="E711">
        <v>5</v>
      </c>
      <c r="F711">
        <v>5</v>
      </c>
      <c r="G711">
        <v>0</v>
      </c>
      <c r="H711">
        <v>4</v>
      </c>
      <c r="I711">
        <v>2</v>
      </c>
      <c r="J711">
        <v>0</v>
      </c>
      <c r="K711">
        <v>0</v>
      </c>
    </row>
    <row r="712" spans="1:11">
      <c r="A712" t="s">
        <v>665</v>
      </c>
      <c r="B712">
        <v>402</v>
      </c>
      <c r="C712">
        <v>242</v>
      </c>
      <c r="D712">
        <v>36</v>
      </c>
      <c r="E712">
        <v>36</v>
      </c>
      <c r="F712">
        <v>36</v>
      </c>
      <c r="G712">
        <v>0</v>
      </c>
      <c r="H712">
        <v>36</v>
      </c>
      <c r="I712">
        <v>16</v>
      </c>
      <c r="J712">
        <v>0</v>
      </c>
      <c r="K712">
        <v>0</v>
      </c>
    </row>
    <row r="713" spans="1:11">
      <c r="A713" t="s">
        <v>565</v>
      </c>
      <c r="B713">
        <v>51</v>
      </c>
      <c r="C713">
        <v>31</v>
      </c>
      <c r="D713">
        <v>5</v>
      </c>
      <c r="E713">
        <v>5</v>
      </c>
      <c r="F713">
        <v>4</v>
      </c>
      <c r="G713">
        <v>0</v>
      </c>
      <c r="H713">
        <v>4</v>
      </c>
      <c r="I713">
        <v>2</v>
      </c>
      <c r="J713">
        <v>0</v>
      </c>
      <c r="K713">
        <v>0</v>
      </c>
    </row>
    <row r="714" spans="1:11">
      <c r="A714" t="s">
        <v>566</v>
      </c>
      <c r="B714">
        <v>51</v>
      </c>
      <c r="C714">
        <v>31</v>
      </c>
      <c r="D714">
        <v>5</v>
      </c>
      <c r="E714">
        <v>5</v>
      </c>
      <c r="F714">
        <v>4</v>
      </c>
      <c r="G714">
        <v>0</v>
      </c>
      <c r="H714">
        <v>4</v>
      </c>
      <c r="I714">
        <v>2</v>
      </c>
      <c r="J714">
        <v>0</v>
      </c>
      <c r="K714">
        <v>0</v>
      </c>
    </row>
    <row r="715" spans="1:11">
      <c r="A715" t="s">
        <v>567</v>
      </c>
      <c r="B715">
        <v>42</v>
      </c>
      <c r="C715">
        <v>26</v>
      </c>
      <c r="D715">
        <v>4</v>
      </c>
      <c r="E715">
        <v>4</v>
      </c>
      <c r="F715">
        <v>4</v>
      </c>
      <c r="G715">
        <v>0</v>
      </c>
      <c r="H715">
        <v>3</v>
      </c>
      <c r="I715">
        <v>1</v>
      </c>
      <c r="J715">
        <v>0</v>
      </c>
      <c r="K715">
        <v>0</v>
      </c>
    </row>
    <row r="716" spans="1:11">
      <c r="A716" t="s">
        <v>568</v>
      </c>
      <c r="B716">
        <v>52</v>
      </c>
      <c r="C716">
        <v>32</v>
      </c>
      <c r="D716">
        <v>5</v>
      </c>
      <c r="E716">
        <v>5</v>
      </c>
      <c r="F716">
        <v>4</v>
      </c>
      <c r="G716">
        <v>0</v>
      </c>
      <c r="H716">
        <v>4</v>
      </c>
      <c r="I716">
        <v>2</v>
      </c>
      <c r="J716">
        <v>0</v>
      </c>
      <c r="K716">
        <v>0</v>
      </c>
    </row>
    <row r="717" spans="1:11">
      <c r="A717" t="s">
        <v>666</v>
      </c>
      <c r="B717">
        <v>566</v>
      </c>
      <c r="C717">
        <v>340</v>
      </c>
      <c r="D717">
        <v>51</v>
      </c>
      <c r="E717">
        <v>51</v>
      </c>
      <c r="F717">
        <v>51</v>
      </c>
      <c r="G717">
        <v>0</v>
      </c>
      <c r="H717">
        <v>51</v>
      </c>
      <c r="I717">
        <v>22</v>
      </c>
      <c r="J717">
        <v>0</v>
      </c>
      <c r="K717">
        <v>0</v>
      </c>
    </row>
    <row r="718" spans="1:11">
      <c r="A718" t="s">
        <v>569</v>
      </c>
      <c r="B718">
        <v>87</v>
      </c>
      <c r="C718">
        <v>54</v>
      </c>
      <c r="D718">
        <v>9</v>
      </c>
      <c r="E718">
        <v>8</v>
      </c>
      <c r="F718">
        <v>8</v>
      </c>
      <c r="G718">
        <v>0</v>
      </c>
      <c r="H718">
        <v>8</v>
      </c>
      <c r="I718">
        <v>0</v>
      </c>
      <c r="J718">
        <v>0</v>
      </c>
      <c r="K718">
        <v>0</v>
      </c>
    </row>
    <row r="719" spans="1:11">
      <c r="A719" t="s">
        <v>570</v>
      </c>
      <c r="B719">
        <v>73</v>
      </c>
      <c r="C719">
        <v>44</v>
      </c>
      <c r="D719">
        <v>7</v>
      </c>
      <c r="E719">
        <v>7</v>
      </c>
      <c r="F719">
        <v>7</v>
      </c>
      <c r="G719">
        <v>0</v>
      </c>
      <c r="H719">
        <v>6</v>
      </c>
      <c r="I719">
        <v>2</v>
      </c>
      <c r="J719">
        <v>0</v>
      </c>
      <c r="K719">
        <v>0</v>
      </c>
    </row>
    <row r="720" spans="1:11">
      <c r="A720" t="s">
        <v>571</v>
      </c>
      <c r="B720">
        <v>129</v>
      </c>
      <c r="C720">
        <v>78</v>
      </c>
      <c r="D720">
        <v>12</v>
      </c>
      <c r="E720">
        <v>12</v>
      </c>
      <c r="F720">
        <v>11</v>
      </c>
      <c r="G720">
        <v>0</v>
      </c>
      <c r="H720">
        <v>11</v>
      </c>
      <c r="I720">
        <v>5</v>
      </c>
      <c r="J720">
        <v>0</v>
      </c>
      <c r="K720">
        <v>0</v>
      </c>
    </row>
    <row r="721" spans="1:11">
      <c r="A721" t="s">
        <v>681</v>
      </c>
      <c r="B721">
        <v>37</v>
      </c>
      <c r="C721">
        <v>23</v>
      </c>
      <c r="D721">
        <v>4</v>
      </c>
      <c r="E721">
        <v>3</v>
      </c>
      <c r="F721">
        <v>3</v>
      </c>
      <c r="G721">
        <v>0</v>
      </c>
      <c r="H721">
        <v>3</v>
      </c>
      <c r="I721">
        <v>1</v>
      </c>
      <c r="J721">
        <v>0</v>
      </c>
      <c r="K721">
        <v>0</v>
      </c>
    </row>
    <row r="722" spans="1:11">
      <c r="A722" t="s">
        <v>572</v>
      </c>
      <c r="B722">
        <v>39</v>
      </c>
      <c r="C722">
        <v>24</v>
      </c>
      <c r="D722">
        <v>4</v>
      </c>
      <c r="E722">
        <v>4</v>
      </c>
      <c r="F722">
        <v>4</v>
      </c>
      <c r="G722">
        <v>0</v>
      </c>
      <c r="H722">
        <v>3</v>
      </c>
      <c r="I722">
        <v>0</v>
      </c>
      <c r="J722">
        <v>0</v>
      </c>
      <c r="K722">
        <v>0</v>
      </c>
    </row>
    <row r="723" spans="1:11">
      <c r="A723" t="s">
        <v>573</v>
      </c>
      <c r="B723">
        <v>4</v>
      </c>
      <c r="C723">
        <v>2</v>
      </c>
      <c r="D723">
        <v>1</v>
      </c>
      <c r="E723">
        <v>1</v>
      </c>
      <c r="F723">
        <v>0</v>
      </c>
      <c r="G723">
        <v>0</v>
      </c>
      <c r="H723">
        <v>0</v>
      </c>
      <c r="I723">
        <v>0</v>
      </c>
      <c r="J723">
        <v>0</v>
      </c>
      <c r="K723">
        <v>0</v>
      </c>
    </row>
    <row r="724" spans="1:11">
      <c r="A724" t="s">
        <v>574</v>
      </c>
      <c r="B724">
        <v>253</v>
      </c>
      <c r="C724">
        <v>152</v>
      </c>
      <c r="D724">
        <v>23</v>
      </c>
      <c r="E724">
        <v>23</v>
      </c>
      <c r="F724">
        <v>23</v>
      </c>
      <c r="G724">
        <v>0</v>
      </c>
      <c r="H724">
        <v>22</v>
      </c>
      <c r="I724">
        <v>10</v>
      </c>
      <c r="J724">
        <v>0</v>
      </c>
      <c r="K724">
        <v>0</v>
      </c>
    </row>
    <row r="725" spans="1:11">
      <c r="A725" t="s">
        <v>575</v>
      </c>
      <c r="B725">
        <v>186</v>
      </c>
      <c r="C725">
        <v>112</v>
      </c>
      <c r="D725">
        <v>17</v>
      </c>
      <c r="E725">
        <v>17</v>
      </c>
      <c r="F725">
        <v>17</v>
      </c>
      <c r="G725">
        <v>0</v>
      </c>
      <c r="H725">
        <v>16</v>
      </c>
      <c r="I725">
        <v>7</v>
      </c>
      <c r="J725">
        <v>0</v>
      </c>
      <c r="K725">
        <v>0</v>
      </c>
    </row>
    <row r="726" spans="1:11">
      <c r="A726" t="s">
        <v>576</v>
      </c>
      <c r="B726">
        <v>41</v>
      </c>
      <c r="C726">
        <v>25</v>
      </c>
      <c r="D726">
        <v>4</v>
      </c>
      <c r="E726">
        <v>4</v>
      </c>
      <c r="F726">
        <v>4</v>
      </c>
      <c r="G726">
        <v>0</v>
      </c>
      <c r="H726">
        <v>3</v>
      </c>
      <c r="I726">
        <v>1</v>
      </c>
      <c r="J726">
        <v>0</v>
      </c>
      <c r="K726">
        <v>0</v>
      </c>
    </row>
    <row r="727" spans="1:11">
      <c r="A727" t="s">
        <v>577</v>
      </c>
      <c r="B727">
        <v>41</v>
      </c>
      <c r="C727">
        <v>25</v>
      </c>
      <c r="D727">
        <v>4</v>
      </c>
      <c r="E727">
        <v>4</v>
      </c>
      <c r="F727">
        <v>4</v>
      </c>
      <c r="G727">
        <v>0</v>
      </c>
      <c r="H727">
        <v>4</v>
      </c>
      <c r="I727">
        <v>0</v>
      </c>
      <c r="J727">
        <v>0</v>
      </c>
      <c r="K727">
        <v>0</v>
      </c>
    </row>
    <row r="728" spans="1:11">
      <c r="A728" t="s">
        <v>578</v>
      </c>
      <c r="B728">
        <v>7</v>
      </c>
      <c r="C728">
        <v>4</v>
      </c>
      <c r="D728">
        <v>1</v>
      </c>
      <c r="E728">
        <v>1</v>
      </c>
      <c r="F728">
        <v>1</v>
      </c>
      <c r="G728">
        <v>0</v>
      </c>
      <c r="H728">
        <v>0</v>
      </c>
      <c r="I728">
        <v>0</v>
      </c>
      <c r="J728">
        <v>0</v>
      </c>
      <c r="K728">
        <v>0</v>
      </c>
    </row>
    <row r="729" spans="1:11">
      <c r="A729" t="s">
        <v>667</v>
      </c>
      <c r="B729">
        <v>173</v>
      </c>
      <c r="C729">
        <v>104</v>
      </c>
      <c r="D729">
        <v>16</v>
      </c>
      <c r="E729">
        <v>16</v>
      </c>
      <c r="F729">
        <v>16</v>
      </c>
      <c r="G729">
        <v>0</v>
      </c>
      <c r="H729">
        <v>15</v>
      </c>
      <c r="I729">
        <v>6</v>
      </c>
      <c r="J729">
        <v>0</v>
      </c>
      <c r="K729">
        <v>0</v>
      </c>
    </row>
    <row r="730" spans="1:11">
      <c r="A730" t="s">
        <v>1743</v>
      </c>
      <c r="B730">
        <v>0</v>
      </c>
      <c r="C730">
        <v>0</v>
      </c>
      <c r="D730">
        <v>0</v>
      </c>
      <c r="E730">
        <v>0</v>
      </c>
      <c r="F730">
        <v>0</v>
      </c>
      <c r="G730">
        <v>0</v>
      </c>
      <c r="H730">
        <v>0</v>
      </c>
      <c r="I730">
        <v>0</v>
      </c>
      <c r="J730">
        <v>0</v>
      </c>
      <c r="K730">
        <v>0</v>
      </c>
    </row>
    <row r="731" spans="1:11">
      <c r="A731" t="s">
        <v>1716</v>
      </c>
      <c r="B731">
        <v>4</v>
      </c>
      <c r="C731">
        <v>0</v>
      </c>
      <c r="D731">
        <v>0</v>
      </c>
      <c r="E731">
        <v>0</v>
      </c>
      <c r="F731">
        <v>0</v>
      </c>
      <c r="G731">
        <v>0</v>
      </c>
      <c r="H731">
        <v>0</v>
      </c>
      <c r="I731">
        <v>0</v>
      </c>
      <c r="J731">
        <v>0</v>
      </c>
      <c r="K731">
        <v>0</v>
      </c>
    </row>
    <row r="732" spans="1:11">
      <c r="A732" t="s">
        <v>1815</v>
      </c>
      <c r="B732">
        <v>0</v>
      </c>
      <c r="C732">
        <v>0</v>
      </c>
      <c r="D732">
        <v>0</v>
      </c>
      <c r="E732">
        <v>0</v>
      </c>
      <c r="F732">
        <v>0</v>
      </c>
      <c r="G732">
        <v>0</v>
      </c>
      <c r="H732">
        <v>0</v>
      </c>
      <c r="I732">
        <v>0</v>
      </c>
      <c r="J732">
        <v>0</v>
      </c>
      <c r="K732">
        <v>0</v>
      </c>
    </row>
    <row r="733" spans="1:11">
      <c r="A733" t="s">
        <v>1843</v>
      </c>
      <c r="B733">
        <v>5</v>
      </c>
      <c r="C733">
        <v>0</v>
      </c>
      <c r="D733">
        <v>0</v>
      </c>
      <c r="E733">
        <v>0</v>
      </c>
      <c r="F733">
        <v>0</v>
      </c>
      <c r="G733">
        <v>0</v>
      </c>
      <c r="H733">
        <v>0</v>
      </c>
      <c r="I733">
        <v>0</v>
      </c>
      <c r="J733">
        <v>0</v>
      </c>
      <c r="K733">
        <v>0</v>
      </c>
    </row>
    <row r="734" spans="1:11">
      <c r="A734" t="s">
        <v>1742</v>
      </c>
      <c r="B734">
        <v>12</v>
      </c>
      <c r="C734">
        <v>0</v>
      </c>
      <c r="D734">
        <v>0</v>
      </c>
      <c r="E734">
        <v>0</v>
      </c>
      <c r="F734">
        <v>0</v>
      </c>
      <c r="G734">
        <v>0</v>
      </c>
      <c r="H734">
        <v>0</v>
      </c>
      <c r="I734">
        <v>0</v>
      </c>
      <c r="J734">
        <v>0</v>
      </c>
      <c r="K734">
        <v>0</v>
      </c>
    </row>
    <row r="735" spans="1:11">
      <c r="A735" t="s">
        <v>1842</v>
      </c>
      <c r="B735">
        <v>0</v>
      </c>
      <c r="C735">
        <v>0</v>
      </c>
      <c r="D735">
        <v>0</v>
      </c>
      <c r="E735">
        <v>0</v>
      </c>
      <c r="F735">
        <v>0</v>
      </c>
      <c r="G735">
        <v>0</v>
      </c>
      <c r="H735">
        <v>0</v>
      </c>
      <c r="I735">
        <v>0</v>
      </c>
      <c r="J735">
        <v>0</v>
      </c>
      <c r="K735">
        <v>0</v>
      </c>
    </row>
    <row r="736" spans="1:11">
      <c r="A736" t="s">
        <v>1766</v>
      </c>
      <c r="B736">
        <v>0</v>
      </c>
      <c r="C736">
        <v>0</v>
      </c>
      <c r="D736">
        <v>0</v>
      </c>
      <c r="E736">
        <v>0</v>
      </c>
      <c r="F736">
        <v>0</v>
      </c>
      <c r="G736">
        <v>0</v>
      </c>
      <c r="H736">
        <v>0</v>
      </c>
      <c r="I736">
        <v>0</v>
      </c>
      <c r="J736">
        <v>0</v>
      </c>
      <c r="K736">
        <v>0</v>
      </c>
    </row>
    <row r="737" spans="1:11">
      <c r="A737" t="s">
        <v>1845</v>
      </c>
      <c r="B737">
        <v>0</v>
      </c>
      <c r="C737">
        <v>0</v>
      </c>
      <c r="D737">
        <v>0</v>
      </c>
      <c r="E737">
        <v>0</v>
      </c>
      <c r="F737">
        <v>0</v>
      </c>
      <c r="G737">
        <v>0</v>
      </c>
      <c r="H737">
        <v>0</v>
      </c>
      <c r="I737">
        <v>0</v>
      </c>
      <c r="J737">
        <v>0</v>
      </c>
      <c r="K737">
        <v>0</v>
      </c>
    </row>
    <row r="738" spans="1:11">
      <c r="A738" t="s">
        <v>1893</v>
      </c>
      <c r="B738">
        <v>0</v>
      </c>
      <c r="C738">
        <v>0</v>
      </c>
      <c r="D738">
        <v>0</v>
      </c>
      <c r="E738">
        <v>0</v>
      </c>
      <c r="F738">
        <v>0</v>
      </c>
      <c r="G738">
        <v>0</v>
      </c>
      <c r="H738">
        <v>0</v>
      </c>
      <c r="I738">
        <v>0</v>
      </c>
      <c r="J738">
        <v>0</v>
      </c>
      <c r="K738">
        <v>0</v>
      </c>
    </row>
    <row r="739" spans="1:11">
      <c r="A739" t="s">
        <v>1874</v>
      </c>
      <c r="B739">
        <v>0</v>
      </c>
      <c r="C739">
        <v>0</v>
      </c>
      <c r="D739">
        <v>0</v>
      </c>
      <c r="E739">
        <v>0</v>
      </c>
      <c r="F739">
        <v>0</v>
      </c>
      <c r="G739">
        <v>0</v>
      </c>
      <c r="H739">
        <v>0</v>
      </c>
      <c r="I739">
        <v>0</v>
      </c>
      <c r="J739">
        <v>0</v>
      </c>
      <c r="K739">
        <v>0</v>
      </c>
    </row>
    <row r="740" spans="1:11">
      <c r="A740" t="s">
        <v>1698</v>
      </c>
      <c r="B740">
        <v>0</v>
      </c>
      <c r="C740">
        <v>0</v>
      </c>
      <c r="D740">
        <v>0</v>
      </c>
      <c r="E740">
        <v>0</v>
      </c>
      <c r="F740">
        <v>0</v>
      </c>
      <c r="G740">
        <v>0</v>
      </c>
      <c r="H740">
        <v>0</v>
      </c>
      <c r="I740">
        <v>0</v>
      </c>
      <c r="J740">
        <v>0</v>
      </c>
      <c r="K740">
        <v>0</v>
      </c>
    </row>
    <row r="741" spans="1:11">
      <c r="A741" t="s">
        <v>1847</v>
      </c>
      <c r="B741">
        <v>0</v>
      </c>
      <c r="C741">
        <v>0</v>
      </c>
      <c r="D741">
        <v>0</v>
      </c>
      <c r="E741">
        <v>0</v>
      </c>
      <c r="F741">
        <v>0</v>
      </c>
      <c r="G741">
        <v>0</v>
      </c>
      <c r="H741">
        <v>0</v>
      </c>
      <c r="I741">
        <v>0</v>
      </c>
      <c r="J741">
        <v>0</v>
      </c>
      <c r="K741">
        <v>0</v>
      </c>
    </row>
    <row r="742" spans="1:11">
      <c r="A742" t="s">
        <v>1746</v>
      </c>
      <c r="B742">
        <v>24</v>
      </c>
      <c r="C742">
        <v>0</v>
      </c>
      <c r="D742">
        <v>0</v>
      </c>
      <c r="E742">
        <v>0</v>
      </c>
      <c r="F742">
        <v>0</v>
      </c>
      <c r="G742">
        <v>0</v>
      </c>
      <c r="H742">
        <v>0</v>
      </c>
      <c r="I742">
        <v>0</v>
      </c>
      <c r="J742">
        <v>0</v>
      </c>
      <c r="K742">
        <v>0</v>
      </c>
    </row>
    <row r="743" spans="1:11">
      <c r="A743" t="s">
        <v>1695</v>
      </c>
      <c r="B743">
        <v>0</v>
      </c>
      <c r="C743">
        <v>0</v>
      </c>
      <c r="D743">
        <v>0</v>
      </c>
      <c r="E743">
        <v>0</v>
      </c>
      <c r="F743">
        <v>0</v>
      </c>
      <c r="G743">
        <v>0</v>
      </c>
      <c r="H743">
        <v>0</v>
      </c>
      <c r="I743">
        <v>0</v>
      </c>
      <c r="J743">
        <v>0</v>
      </c>
      <c r="K743">
        <v>0</v>
      </c>
    </row>
    <row r="744" spans="1:11">
      <c r="A744" t="s">
        <v>1788</v>
      </c>
      <c r="B744">
        <v>0</v>
      </c>
      <c r="C744">
        <v>0</v>
      </c>
      <c r="D744">
        <v>0</v>
      </c>
      <c r="E744">
        <v>0</v>
      </c>
      <c r="F744">
        <v>0</v>
      </c>
      <c r="G744">
        <v>0</v>
      </c>
      <c r="H744">
        <v>0</v>
      </c>
      <c r="I744">
        <v>0</v>
      </c>
      <c r="J744">
        <v>0</v>
      </c>
      <c r="K744">
        <v>0</v>
      </c>
    </row>
    <row r="745" spans="1:11">
      <c r="A745" t="s">
        <v>1718</v>
      </c>
      <c r="B745">
        <v>0</v>
      </c>
      <c r="C745">
        <v>0</v>
      </c>
      <c r="D745">
        <v>0</v>
      </c>
      <c r="E745">
        <v>0</v>
      </c>
      <c r="F745">
        <v>0</v>
      </c>
      <c r="G745">
        <v>0</v>
      </c>
      <c r="H745">
        <v>0</v>
      </c>
      <c r="I745">
        <v>0</v>
      </c>
      <c r="J745">
        <v>0</v>
      </c>
      <c r="K745">
        <v>0</v>
      </c>
    </row>
    <row r="746" spans="1:11">
      <c r="A746" t="s">
        <v>1878</v>
      </c>
      <c r="B746">
        <v>0</v>
      </c>
      <c r="C746">
        <v>0</v>
      </c>
      <c r="D746">
        <v>0</v>
      </c>
      <c r="E746">
        <v>0</v>
      </c>
      <c r="F746">
        <v>0</v>
      </c>
      <c r="G746">
        <v>0</v>
      </c>
      <c r="H746">
        <v>0</v>
      </c>
      <c r="I746">
        <v>0</v>
      </c>
      <c r="J746">
        <v>0</v>
      </c>
      <c r="K746">
        <v>0</v>
      </c>
    </row>
    <row r="747" spans="1:11">
      <c r="A747" t="s">
        <v>1900</v>
      </c>
      <c r="B747">
        <v>15</v>
      </c>
      <c r="C747">
        <v>0</v>
      </c>
      <c r="D747">
        <v>0</v>
      </c>
      <c r="E747">
        <v>0</v>
      </c>
      <c r="F747">
        <v>0</v>
      </c>
      <c r="G747">
        <v>0</v>
      </c>
      <c r="H747">
        <v>0</v>
      </c>
      <c r="I747">
        <v>0</v>
      </c>
      <c r="J747">
        <v>0</v>
      </c>
      <c r="K747">
        <v>0</v>
      </c>
    </row>
    <row r="748" spans="1:11">
      <c r="A748" t="s">
        <v>1792</v>
      </c>
      <c r="B748">
        <v>4</v>
      </c>
      <c r="C748">
        <v>0</v>
      </c>
      <c r="D748">
        <v>0</v>
      </c>
      <c r="E748">
        <v>0</v>
      </c>
      <c r="F748">
        <v>0</v>
      </c>
      <c r="G748">
        <v>0</v>
      </c>
      <c r="H748">
        <v>0</v>
      </c>
      <c r="I748">
        <v>0</v>
      </c>
      <c r="J748">
        <v>0</v>
      </c>
      <c r="K748">
        <v>0</v>
      </c>
    </row>
    <row r="749" spans="1:11">
      <c r="A749" t="s">
        <v>1807</v>
      </c>
      <c r="B749">
        <v>0</v>
      </c>
      <c r="C749">
        <v>0</v>
      </c>
      <c r="D749">
        <v>0</v>
      </c>
      <c r="E749">
        <v>0</v>
      </c>
      <c r="F749">
        <v>0</v>
      </c>
      <c r="G749">
        <v>0</v>
      </c>
      <c r="H749">
        <v>0</v>
      </c>
      <c r="I749">
        <v>0</v>
      </c>
      <c r="J749">
        <v>0</v>
      </c>
      <c r="K749">
        <v>0</v>
      </c>
    </row>
    <row r="750" spans="1:11">
      <c r="A750" t="s">
        <v>1826</v>
      </c>
      <c r="B750">
        <v>5</v>
      </c>
      <c r="C750">
        <v>0</v>
      </c>
      <c r="D750">
        <v>0</v>
      </c>
      <c r="E750">
        <v>0</v>
      </c>
      <c r="F750">
        <v>0</v>
      </c>
      <c r="G750">
        <v>0</v>
      </c>
      <c r="H750">
        <v>0</v>
      </c>
      <c r="I750">
        <v>0</v>
      </c>
      <c r="J750">
        <v>0</v>
      </c>
      <c r="K750">
        <v>0</v>
      </c>
    </row>
    <row r="751" spans="1:11">
      <c r="A751" t="s">
        <v>1828</v>
      </c>
      <c r="B751">
        <v>0</v>
      </c>
      <c r="C751">
        <v>0</v>
      </c>
      <c r="D751">
        <v>0</v>
      </c>
      <c r="E751">
        <v>0</v>
      </c>
      <c r="F751">
        <v>0</v>
      </c>
      <c r="G751">
        <v>0</v>
      </c>
      <c r="H751">
        <v>0</v>
      </c>
      <c r="I751">
        <v>0</v>
      </c>
      <c r="J751">
        <v>0</v>
      </c>
      <c r="K751">
        <v>0</v>
      </c>
    </row>
    <row r="752" spans="1:11">
      <c r="A752" t="s">
        <v>1820</v>
      </c>
      <c r="B752">
        <v>0</v>
      </c>
      <c r="C752">
        <v>0</v>
      </c>
      <c r="D752">
        <v>0</v>
      </c>
      <c r="E752">
        <v>0</v>
      </c>
      <c r="F752">
        <v>0</v>
      </c>
      <c r="G752">
        <v>0</v>
      </c>
      <c r="H752">
        <v>0</v>
      </c>
      <c r="I752">
        <v>0</v>
      </c>
      <c r="J752">
        <v>0</v>
      </c>
      <c r="K752">
        <v>0</v>
      </c>
    </row>
    <row r="753" spans="1:11">
      <c r="A753" t="s">
        <v>1786</v>
      </c>
      <c r="B753">
        <v>0</v>
      </c>
      <c r="C753">
        <v>0</v>
      </c>
      <c r="D753">
        <v>0</v>
      </c>
      <c r="E753">
        <v>0</v>
      </c>
      <c r="F753">
        <v>0</v>
      </c>
      <c r="G753">
        <v>0</v>
      </c>
      <c r="H753">
        <v>0</v>
      </c>
      <c r="I753">
        <v>0</v>
      </c>
      <c r="J753">
        <v>0</v>
      </c>
      <c r="K753">
        <v>0</v>
      </c>
    </row>
    <row r="754" spans="1:11">
      <c r="A754" t="s">
        <v>1857</v>
      </c>
      <c r="B754">
        <v>0</v>
      </c>
      <c r="C754">
        <v>0</v>
      </c>
      <c r="D754">
        <v>0</v>
      </c>
      <c r="E754">
        <v>0</v>
      </c>
      <c r="F754">
        <v>0</v>
      </c>
      <c r="G754">
        <v>0</v>
      </c>
      <c r="H754">
        <v>0</v>
      </c>
      <c r="I754">
        <v>0</v>
      </c>
      <c r="J754">
        <v>0</v>
      </c>
      <c r="K754">
        <v>0</v>
      </c>
    </row>
    <row r="755" spans="1:11">
      <c r="A755" t="s">
        <v>1860</v>
      </c>
      <c r="B755">
        <v>4</v>
      </c>
      <c r="C755">
        <v>0</v>
      </c>
      <c r="D755">
        <v>0</v>
      </c>
      <c r="E755">
        <v>0</v>
      </c>
      <c r="F755">
        <v>0</v>
      </c>
      <c r="G755">
        <v>0</v>
      </c>
      <c r="H755">
        <v>0</v>
      </c>
      <c r="I755">
        <v>0</v>
      </c>
      <c r="J755">
        <v>0</v>
      </c>
      <c r="K755">
        <v>0</v>
      </c>
    </row>
    <row r="756" spans="1:11">
      <c r="A756" t="s">
        <v>1750</v>
      </c>
      <c r="B756">
        <v>0</v>
      </c>
      <c r="C756">
        <v>0</v>
      </c>
      <c r="D756">
        <v>0</v>
      </c>
      <c r="E756">
        <v>0</v>
      </c>
      <c r="F756">
        <v>0</v>
      </c>
      <c r="G756">
        <v>0</v>
      </c>
      <c r="H756">
        <v>0</v>
      </c>
      <c r="I756">
        <v>0</v>
      </c>
      <c r="J756">
        <v>0</v>
      </c>
      <c r="K756">
        <v>0</v>
      </c>
    </row>
    <row r="757" spans="1:11">
      <c r="A757" t="s">
        <v>1837</v>
      </c>
      <c r="B757">
        <v>0</v>
      </c>
      <c r="C757">
        <v>0</v>
      </c>
      <c r="D757">
        <v>0</v>
      </c>
      <c r="E757">
        <v>0</v>
      </c>
      <c r="F757">
        <v>0</v>
      </c>
      <c r="G757">
        <v>0</v>
      </c>
      <c r="H757">
        <v>0</v>
      </c>
      <c r="I757">
        <v>0</v>
      </c>
      <c r="J757">
        <v>0</v>
      </c>
      <c r="K757">
        <v>0</v>
      </c>
    </row>
    <row r="758" spans="1:11">
      <c r="A758" t="s">
        <v>1715</v>
      </c>
      <c r="B758">
        <v>0</v>
      </c>
      <c r="C758">
        <v>0</v>
      </c>
      <c r="D758">
        <v>0</v>
      </c>
      <c r="E758">
        <v>0</v>
      </c>
      <c r="F758">
        <v>0</v>
      </c>
      <c r="G758">
        <v>0</v>
      </c>
      <c r="H758">
        <v>0</v>
      </c>
      <c r="I758">
        <v>0</v>
      </c>
      <c r="J758">
        <v>0</v>
      </c>
      <c r="K758">
        <v>0</v>
      </c>
    </row>
    <row r="759" spans="1:11">
      <c r="A759" t="s">
        <v>1890</v>
      </c>
      <c r="B759">
        <v>0</v>
      </c>
      <c r="C759">
        <v>0</v>
      </c>
      <c r="D759">
        <v>0</v>
      </c>
      <c r="E759">
        <v>0</v>
      </c>
      <c r="F759">
        <v>0</v>
      </c>
      <c r="G759">
        <v>0</v>
      </c>
      <c r="H759">
        <v>0</v>
      </c>
      <c r="I759">
        <v>0</v>
      </c>
      <c r="J759">
        <v>0</v>
      </c>
      <c r="K759">
        <v>0</v>
      </c>
    </row>
    <row r="760" spans="1:11">
      <c r="A760" t="s">
        <v>1744</v>
      </c>
      <c r="B760">
        <v>0</v>
      </c>
      <c r="C760">
        <v>0</v>
      </c>
      <c r="D760">
        <v>0</v>
      </c>
      <c r="E760">
        <v>0</v>
      </c>
      <c r="F760">
        <v>0</v>
      </c>
      <c r="G760">
        <v>0</v>
      </c>
      <c r="H760">
        <v>0</v>
      </c>
      <c r="I760">
        <v>0</v>
      </c>
      <c r="J760">
        <v>0</v>
      </c>
      <c r="K760">
        <v>0</v>
      </c>
    </row>
    <row r="761" spans="1:11">
      <c r="A761" t="s">
        <v>1717</v>
      </c>
      <c r="B761">
        <v>0</v>
      </c>
      <c r="C761">
        <v>0</v>
      </c>
      <c r="D761">
        <v>0</v>
      </c>
      <c r="E761">
        <v>0</v>
      </c>
      <c r="F761">
        <v>0</v>
      </c>
      <c r="G761">
        <v>0</v>
      </c>
      <c r="H761">
        <v>0</v>
      </c>
      <c r="I761">
        <v>0</v>
      </c>
      <c r="J761">
        <v>0</v>
      </c>
      <c r="K761">
        <v>0</v>
      </c>
    </row>
    <row r="762" spans="1:11">
      <c r="A762" t="s">
        <v>1814</v>
      </c>
      <c r="B762">
        <v>0</v>
      </c>
      <c r="C762">
        <v>0</v>
      </c>
      <c r="D762">
        <v>0</v>
      </c>
      <c r="E762">
        <v>0</v>
      </c>
      <c r="F762">
        <v>0</v>
      </c>
      <c r="G762">
        <v>0</v>
      </c>
      <c r="H762">
        <v>0</v>
      </c>
      <c r="I762">
        <v>0</v>
      </c>
      <c r="J762">
        <v>0</v>
      </c>
      <c r="K762">
        <v>0</v>
      </c>
    </row>
    <row r="763" spans="1:11">
      <c r="A763" t="s">
        <v>1844</v>
      </c>
      <c r="B763">
        <v>4</v>
      </c>
      <c r="C763">
        <v>0</v>
      </c>
      <c r="D763">
        <v>0</v>
      </c>
      <c r="E763">
        <v>0</v>
      </c>
      <c r="F763">
        <v>0</v>
      </c>
      <c r="G763">
        <v>0</v>
      </c>
      <c r="H763">
        <v>0</v>
      </c>
      <c r="I763">
        <v>0</v>
      </c>
      <c r="J763">
        <v>0</v>
      </c>
      <c r="K763">
        <v>0</v>
      </c>
    </row>
    <row r="764" spans="1:11">
      <c r="A764" t="s">
        <v>1741</v>
      </c>
      <c r="B764">
        <v>0</v>
      </c>
      <c r="C764">
        <v>0</v>
      </c>
      <c r="D764">
        <v>0</v>
      </c>
      <c r="E764">
        <v>0</v>
      </c>
      <c r="F764">
        <v>0</v>
      </c>
      <c r="G764">
        <v>0</v>
      </c>
      <c r="H764">
        <v>0</v>
      </c>
      <c r="I764">
        <v>0</v>
      </c>
      <c r="J764">
        <v>0</v>
      </c>
      <c r="K764">
        <v>0</v>
      </c>
    </row>
    <row r="765" spans="1:11">
      <c r="A765" t="s">
        <v>1841</v>
      </c>
      <c r="B765">
        <v>0</v>
      </c>
      <c r="C765">
        <v>0</v>
      </c>
      <c r="D765">
        <v>0</v>
      </c>
      <c r="E765">
        <v>0</v>
      </c>
      <c r="F765">
        <v>0</v>
      </c>
      <c r="G765">
        <v>0</v>
      </c>
      <c r="H765">
        <v>0</v>
      </c>
      <c r="I765">
        <v>0</v>
      </c>
      <c r="J765">
        <v>0</v>
      </c>
      <c r="K765">
        <v>0</v>
      </c>
    </row>
    <row r="766" spans="1:11">
      <c r="A766" t="s">
        <v>1767</v>
      </c>
      <c r="B766">
        <v>0</v>
      </c>
      <c r="C766">
        <v>0</v>
      </c>
      <c r="D766">
        <v>0</v>
      </c>
      <c r="E766">
        <v>0</v>
      </c>
      <c r="F766">
        <v>0</v>
      </c>
      <c r="G766">
        <v>0</v>
      </c>
      <c r="H766">
        <v>0</v>
      </c>
      <c r="I766">
        <v>0</v>
      </c>
      <c r="J766">
        <v>0</v>
      </c>
      <c r="K766">
        <v>0</v>
      </c>
    </row>
    <row r="767" spans="1:11">
      <c r="A767" t="s">
        <v>1846</v>
      </c>
      <c r="B767">
        <v>0</v>
      </c>
      <c r="C767">
        <v>0</v>
      </c>
      <c r="D767">
        <v>0</v>
      </c>
      <c r="E767">
        <v>0</v>
      </c>
      <c r="F767">
        <v>0</v>
      </c>
      <c r="G767">
        <v>0</v>
      </c>
      <c r="H767">
        <v>0</v>
      </c>
      <c r="I767">
        <v>0</v>
      </c>
      <c r="J767">
        <v>0</v>
      </c>
      <c r="K767">
        <v>0</v>
      </c>
    </row>
    <row r="768" spans="1:11">
      <c r="A768" t="s">
        <v>1894</v>
      </c>
      <c r="B768">
        <v>0</v>
      </c>
      <c r="C768">
        <v>0</v>
      </c>
      <c r="D768">
        <v>0</v>
      </c>
      <c r="E768">
        <v>0</v>
      </c>
      <c r="F768">
        <v>0</v>
      </c>
      <c r="G768">
        <v>0</v>
      </c>
      <c r="H768">
        <v>0</v>
      </c>
      <c r="I768">
        <v>0</v>
      </c>
      <c r="J768">
        <v>0</v>
      </c>
      <c r="K768">
        <v>0</v>
      </c>
    </row>
    <row r="769" spans="1:11">
      <c r="A769" t="s">
        <v>1875</v>
      </c>
      <c r="B769">
        <v>0</v>
      </c>
      <c r="C769">
        <v>0</v>
      </c>
      <c r="D769">
        <v>0</v>
      </c>
      <c r="E769">
        <v>0</v>
      </c>
      <c r="F769">
        <v>0</v>
      </c>
      <c r="G769">
        <v>0</v>
      </c>
      <c r="H769">
        <v>0</v>
      </c>
      <c r="I769">
        <v>0</v>
      </c>
      <c r="J769">
        <v>0</v>
      </c>
      <c r="K769">
        <v>0</v>
      </c>
    </row>
    <row r="770" spans="1:11">
      <c r="A770" t="s">
        <v>1699</v>
      </c>
      <c r="B770">
        <v>9</v>
      </c>
      <c r="C770">
        <v>0</v>
      </c>
      <c r="D770">
        <v>0</v>
      </c>
      <c r="E770">
        <v>0</v>
      </c>
      <c r="F770">
        <v>0</v>
      </c>
      <c r="G770">
        <v>0</v>
      </c>
      <c r="H770">
        <v>0</v>
      </c>
      <c r="I770">
        <v>0</v>
      </c>
      <c r="J770">
        <v>0</v>
      </c>
      <c r="K770">
        <v>0</v>
      </c>
    </row>
    <row r="771" spans="1:11">
      <c r="A771" t="s">
        <v>1848</v>
      </c>
      <c r="B771">
        <v>0</v>
      </c>
      <c r="C771">
        <v>0</v>
      </c>
      <c r="D771">
        <v>0</v>
      </c>
      <c r="E771">
        <v>0</v>
      </c>
      <c r="F771">
        <v>0</v>
      </c>
      <c r="G771">
        <v>0</v>
      </c>
      <c r="H771">
        <v>0</v>
      </c>
      <c r="I771">
        <v>0</v>
      </c>
      <c r="J771">
        <v>0</v>
      </c>
      <c r="K771">
        <v>0</v>
      </c>
    </row>
    <row r="772" spans="1:11">
      <c r="A772" t="s">
        <v>1747</v>
      </c>
      <c r="B772">
        <v>0</v>
      </c>
      <c r="C772">
        <v>0</v>
      </c>
      <c r="D772">
        <v>0</v>
      </c>
      <c r="E772">
        <v>0</v>
      </c>
      <c r="F772">
        <v>0</v>
      </c>
      <c r="G772">
        <v>0</v>
      </c>
      <c r="H772">
        <v>0</v>
      </c>
      <c r="I772">
        <v>0</v>
      </c>
      <c r="J772">
        <v>0</v>
      </c>
      <c r="K772">
        <v>0</v>
      </c>
    </row>
    <row r="773" spans="1:11">
      <c r="A773" t="s">
        <v>1694</v>
      </c>
      <c r="B773">
        <v>11</v>
      </c>
      <c r="C773">
        <v>0</v>
      </c>
      <c r="D773">
        <v>0</v>
      </c>
      <c r="E773">
        <v>0</v>
      </c>
      <c r="F773">
        <v>0</v>
      </c>
      <c r="G773">
        <v>0</v>
      </c>
      <c r="H773">
        <v>0</v>
      </c>
      <c r="I773">
        <v>0</v>
      </c>
      <c r="J773">
        <v>0</v>
      </c>
      <c r="K773">
        <v>0</v>
      </c>
    </row>
    <row r="774" spans="1:11">
      <c r="A774" t="s">
        <v>1789</v>
      </c>
      <c r="B774">
        <v>0</v>
      </c>
      <c r="C774">
        <v>0</v>
      </c>
      <c r="D774">
        <v>0</v>
      </c>
      <c r="E774">
        <v>0</v>
      </c>
      <c r="F774">
        <v>0</v>
      </c>
      <c r="G774">
        <v>0</v>
      </c>
      <c r="H774">
        <v>0</v>
      </c>
      <c r="I774">
        <v>0</v>
      </c>
      <c r="J774">
        <v>0</v>
      </c>
      <c r="K774">
        <v>0</v>
      </c>
    </row>
    <row r="775" spans="1:11">
      <c r="A775" t="s">
        <v>1719</v>
      </c>
      <c r="B775">
        <v>0</v>
      </c>
      <c r="C775">
        <v>0</v>
      </c>
      <c r="D775">
        <v>0</v>
      </c>
      <c r="E775">
        <v>0</v>
      </c>
      <c r="F775">
        <v>0</v>
      </c>
      <c r="G775">
        <v>0</v>
      </c>
      <c r="H775">
        <v>0</v>
      </c>
      <c r="I775">
        <v>0</v>
      </c>
      <c r="J775">
        <v>0</v>
      </c>
      <c r="K775">
        <v>0</v>
      </c>
    </row>
    <row r="776" spans="1:11">
      <c r="A776" t="s">
        <v>1879</v>
      </c>
      <c r="B776">
        <v>0</v>
      </c>
      <c r="C776">
        <v>0</v>
      </c>
      <c r="D776">
        <v>0</v>
      </c>
      <c r="E776">
        <v>0</v>
      </c>
      <c r="F776">
        <v>0</v>
      </c>
      <c r="G776">
        <v>0</v>
      </c>
      <c r="H776">
        <v>0</v>
      </c>
      <c r="I776">
        <v>0</v>
      </c>
      <c r="J776">
        <v>0</v>
      </c>
      <c r="K776">
        <v>0</v>
      </c>
    </row>
    <row r="777" spans="1:11">
      <c r="A777" t="s">
        <v>1901</v>
      </c>
      <c r="B777">
        <v>0</v>
      </c>
      <c r="C777">
        <v>0</v>
      </c>
      <c r="D777">
        <v>0</v>
      </c>
      <c r="E777">
        <v>0</v>
      </c>
      <c r="F777">
        <v>0</v>
      </c>
      <c r="G777">
        <v>0</v>
      </c>
      <c r="H777">
        <v>0</v>
      </c>
      <c r="I777">
        <v>0</v>
      </c>
      <c r="J777">
        <v>0</v>
      </c>
      <c r="K777">
        <v>0</v>
      </c>
    </row>
    <row r="778" spans="1:11">
      <c r="A778" t="s">
        <v>1791</v>
      </c>
      <c r="B778">
        <v>5</v>
      </c>
      <c r="C778">
        <v>0</v>
      </c>
      <c r="D778">
        <v>0</v>
      </c>
      <c r="E778">
        <v>0</v>
      </c>
      <c r="F778">
        <v>0</v>
      </c>
      <c r="G778">
        <v>0</v>
      </c>
      <c r="H778">
        <v>0</v>
      </c>
      <c r="I778">
        <v>0</v>
      </c>
      <c r="J778">
        <v>0</v>
      </c>
      <c r="K778">
        <v>0</v>
      </c>
    </row>
    <row r="779" spans="1:11">
      <c r="A779" t="s">
        <v>1806</v>
      </c>
      <c r="B779">
        <v>0</v>
      </c>
      <c r="C779">
        <v>0</v>
      </c>
      <c r="D779">
        <v>0</v>
      </c>
      <c r="E779">
        <v>0</v>
      </c>
      <c r="F779">
        <v>0</v>
      </c>
      <c r="G779">
        <v>0</v>
      </c>
      <c r="H779">
        <v>0</v>
      </c>
      <c r="I779">
        <v>0</v>
      </c>
      <c r="J779">
        <v>0</v>
      </c>
      <c r="K779">
        <v>0</v>
      </c>
    </row>
    <row r="780" spans="1:11">
      <c r="A780" t="s">
        <v>1827</v>
      </c>
      <c r="B780">
        <v>0</v>
      </c>
      <c r="C780">
        <v>0</v>
      </c>
      <c r="D780">
        <v>0</v>
      </c>
      <c r="E780">
        <v>0</v>
      </c>
      <c r="F780">
        <v>0</v>
      </c>
      <c r="G780">
        <v>0</v>
      </c>
      <c r="H780">
        <v>0</v>
      </c>
      <c r="I780">
        <v>0</v>
      </c>
      <c r="J780">
        <v>0</v>
      </c>
      <c r="K780">
        <v>0</v>
      </c>
    </row>
    <row r="781" spans="1:11">
      <c r="A781" t="s">
        <v>1829</v>
      </c>
      <c r="B781">
        <v>0</v>
      </c>
      <c r="C781">
        <v>0</v>
      </c>
      <c r="D781">
        <v>0</v>
      </c>
      <c r="E781">
        <v>0</v>
      </c>
      <c r="F781">
        <v>0</v>
      </c>
      <c r="G781">
        <v>0</v>
      </c>
      <c r="H781">
        <v>0</v>
      </c>
      <c r="I781">
        <v>0</v>
      </c>
      <c r="J781">
        <v>0</v>
      </c>
      <c r="K781">
        <v>0</v>
      </c>
    </row>
    <row r="782" spans="1:11">
      <c r="A782" t="s">
        <v>1819</v>
      </c>
      <c r="B782">
        <v>0</v>
      </c>
      <c r="C782">
        <v>0</v>
      </c>
      <c r="D782">
        <v>0</v>
      </c>
      <c r="E782">
        <v>0</v>
      </c>
      <c r="F782">
        <v>0</v>
      </c>
      <c r="G782">
        <v>0</v>
      </c>
      <c r="H782">
        <v>0</v>
      </c>
      <c r="I782">
        <v>0</v>
      </c>
      <c r="J782">
        <v>0</v>
      </c>
      <c r="K782">
        <v>0</v>
      </c>
    </row>
    <row r="783" spans="1:11">
      <c r="A783" t="s">
        <v>1787</v>
      </c>
      <c r="B783">
        <v>0</v>
      </c>
      <c r="C783">
        <v>0</v>
      </c>
      <c r="D783">
        <v>0</v>
      </c>
      <c r="E783">
        <v>0</v>
      </c>
      <c r="F783">
        <v>0</v>
      </c>
      <c r="G783">
        <v>0</v>
      </c>
      <c r="H783">
        <v>0</v>
      </c>
      <c r="I783">
        <v>0</v>
      </c>
      <c r="J783">
        <v>0</v>
      </c>
      <c r="K783">
        <v>0</v>
      </c>
    </row>
    <row r="784" spans="1:11">
      <c r="A784" t="s">
        <v>1856</v>
      </c>
      <c r="B784">
        <v>0</v>
      </c>
      <c r="C784">
        <v>0</v>
      </c>
      <c r="D784">
        <v>0</v>
      </c>
      <c r="E784">
        <v>0</v>
      </c>
      <c r="F784">
        <v>0</v>
      </c>
      <c r="G784">
        <v>0</v>
      </c>
      <c r="H784">
        <v>0</v>
      </c>
      <c r="I784">
        <v>0</v>
      </c>
      <c r="J784">
        <v>0</v>
      </c>
      <c r="K784">
        <v>0</v>
      </c>
    </row>
    <row r="785" spans="1:11">
      <c r="A785" t="s">
        <v>1861</v>
      </c>
      <c r="B785">
        <v>0</v>
      </c>
      <c r="C785">
        <v>0</v>
      </c>
      <c r="D785">
        <v>0</v>
      </c>
      <c r="E785">
        <v>0</v>
      </c>
      <c r="F785">
        <v>0</v>
      </c>
      <c r="G785">
        <v>0</v>
      </c>
      <c r="H785">
        <v>0</v>
      </c>
      <c r="I785">
        <v>0</v>
      </c>
      <c r="J785">
        <v>0</v>
      </c>
      <c r="K785">
        <v>0</v>
      </c>
    </row>
    <row r="786" spans="1:11">
      <c r="A786" t="s">
        <v>1751</v>
      </c>
      <c r="B786">
        <v>0</v>
      </c>
      <c r="C786">
        <v>0</v>
      </c>
      <c r="D786">
        <v>0</v>
      </c>
      <c r="E786">
        <v>0</v>
      </c>
      <c r="F786">
        <v>0</v>
      </c>
      <c r="G786">
        <v>0</v>
      </c>
      <c r="H786">
        <v>0</v>
      </c>
      <c r="I786">
        <v>0</v>
      </c>
      <c r="J786">
        <v>0</v>
      </c>
      <c r="K786">
        <v>0</v>
      </c>
    </row>
    <row r="787" spans="1:11">
      <c r="A787" t="s">
        <v>1836</v>
      </c>
      <c r="B787">
        <v>0</v>
      </c>
      <c r="C787">
        <v>0</v>
      </c>
      <c r="D787">
        <v>0</v>
      </c>
      <c r="E787">
        <v>0</v>
      </c>
      <c r="F787">
        <v>0</v>
      </c>
      <c r="G787">
        <v>0</v>
      </c>
      <c r="H787">
        <v>0</v>
      </c>
      <c r="I787">
        <v>0</v>
      </c>
      <c r="J787">
        <v>0</v>
      </c>
      <c r="K787">
        <v>0</v>
      </c>
    </row>
    <row r="788" spans="1:11">
      <c r="A788" t="s">
        <v>1714</v>
      </c>
      <c r="B788">
        <v>0</v>
      </c>
      <c r="C788">
        <v>0</v>
      </c>
      <c r="D788">
        <v>0</v>
      </c>
      <c r="E788">
        <v>0</v>
      </c>
      <c r="F788">
        <v>0</v>
      </c>
      <c r="G788">
        <v>0</v>
      </c>
      <c r="H788">
        <v>0</v>
      </c>
      <c r="I788">
        <v>0</v>
      </c>
      <c r="J788">
        <v>0</v>
      </c>
      <c r="K788">
        <v>0</v>
      </c>
    </row>
    <row r="789" spans="1:11">
      <c r="A789" t="s">
        <v>1889</v>
      </c>
      <c r="B789">
        <v>5</v>
      </c>
      <c r="C789">
        <v>0</v>
      </c>
      <c r="D789">
        <v>0</v>
      </c>
      <c r="E789">
        <v>0</v>
      </c>
      <c r="F789">
        <v>0</v>
      </c>
      <c r="G789">
        <v>0</v>
      </c>
      <c r="H789">
        <v>0</v>
      </c>
      <c r="I789">
        <v>0</v>
      </c>
      <c r="J789">
        <v>0</v>
      </c>
      <c r="K789">
        <v>0</v>
      </c>
    </row>
    <row r="790" spans="1:11">
      <c r="A790" t="s">
        <v>1923</v>
      </c>
      <c r="B790">
        <v>83</v>
      </c>
      <c r="C790">
        <v>83</v>
      </c>
      <c r="D790">
        <v>0</v>
      </c>
      <c r="E790">
        <v>0</v>
      </c>
      <c r="F790">
        <v>0</v>
      </c>
      <c r="G790">
        <v>0</v>
      </c>
      <c r="H790">
        <v>0</v>
      </c>
      <c r="I790">
        <v>0</v>
      </c>
      <c r="J790">
        <v>0</v>
      </c>
      <c r="K790">
        <v>0</v>
      </c>
    </row>
    <row r="791" spans="1:11">
      <c r="A791" t="s">
        <v>1494</v>
      </c>
      <c r="B791">
        <v>115</v>
      </c>
      <c r="C791">
        <v>87</v>
      </c>
      <c r="D791">
        <v>28</v>
      </c>
      <c r="E791">
        <v>0</v>
      </c>
      <c r="F791">
        <v>0</v>
      </c>
      <c r="G791">
        <v>0</v>
      </c>
      <c r="H791">
        <v>0</v>
      </c>
      <c r="I791">
        <v>0</v>
      </c>
      <c r="J791">
        <v>0</v>
      </c>
      <c r="K791">
        <v>0</v>
      </c>
    </row>
    <row r="792" spans="1:11">
      <c r="A792" t="s">
        <v>1533</v>
      </c>
      <c r="B792">
        <v>46</v>
      </c>
      <c r="C792">
        <v>35</v>
      </c>
      <c r="D792">
        <v>11</v>
      </c>
      <c r="E792">
        <v>0</v>
      </c>
      <c r="F792">
        <v>0</v>
      </c>
      <c r="G792">
        <v>0</v>
      </c>
      <c r="H792">
        <v>0</v>
      </c>
      <c r="I792">
        <v>0</v>
      </c>
      <c r="J792">
        <v>0</v>
      </c>
      <c r="K792">
        <v>0</v>
      </c>
    </row>
    <row r="793" spans="1:11">
      <c r="A793" t="s">
        <v>1543</v>
      </c>
      <c r="B793">
        <v>73</v>
      </c>
      <c r="C793">
        <v>55</v>
      </c>
      <c r="D793">
        <v>18</v>
      </c>
      <c r="E793">
        <v>0</v>
      </c>
      <c r="F793">
        <v>0</v>
      </c>
      <c r="G793">
        <v>0</v>
      </c>
      <c r="H793">
        <v>0</v>
      </c>
      <c r="I793">
        <v>0</v>
      </c>
      <c r="J793">
        <v>0</v>
      </c>
      <c r="K793">
        <v>0</v>
      </c>
    </row>
    <row r="794" spans="1:11">
      <c r="A794" t="s">
        <v>1531</v>
      </c>
      <c r="B794">
        <v>0</v>
      </c>
      <c r="C794">
        <v>0</v>
      </c>
      <c r="D794">
        <v>0</v>
      </c>
      <c r="E794">
        <v>0</v>
      </c>
      <c r="F794">
        <v>0</v>
      </c>
      <c r="G794">
        <v>0</v>
      </c>
      <c r="H794">
        <v>0</v>
      </c>
      <c r="I794">
        <v>0</v>
      </c>
      <c r="J794">
        <v>0</v>
      </c>
      <c r="K794">
        <v>0</v>
      </c>
    </row>
    <row r="795" spans="1:11">
      <c r="A795" t="s">
        <v>1462</v>
      </c>
      <c r="B795">
        <v>6</v>
      </c>
      <c r="C795">
        <v>4</v>
      </c>
      <c r="D795">
        <v>2</v>
      </c>
      <c r="E795">
        <v>0</v>
      </c>
      <c r="F795">
        <v>0</v>
      </c>
      <c r="G795">
        <v>0</v>
      </c>
      <c r="H795">
        <v>0</v>
      </c>
      <c r="I795">
        <v>0</v>
      </c>
      <c r="J795">
        <v>0</v>
      </c>
      <c r="K795">
        <v>0</v>
      </c>
    </row>
    <row r="796" spans="1:11">
      <c r="A796" t="s">
        <v>1924</v>
      </c>
      <c r="B796">
        <v>85</v>
      </c>
      <c r="C796">
        <v>85</v>
      </c>
      <c r="D796">
        <v>0</v>
      </c>
      <c r="E796">
        <v>0</v>
      </c>
      <c r="F796">
        <v>0</v>
      </c>
      <c r="G796">
        <v>0</v>
      </c>
      <c r="H796">
        <v>0</v>
      </c>
      <c r="I796">
        <v>0</v>
      </c>
      <c r="J796">
        <v>0</v>
      </c>
      <c r="K796">
        <v>0</v>
      </c>
    </row>
    <row r="797" spans="1:11">
      <c r="A797" t="s">
        <v>1488</v>
      </c>
      <c r="B797">
        <v>122</v>
      </c>
      <c r="C797">
        <v>93</v>
      </c>
      <c r="D797">
        <v>29</v>
      </c>
      <c r="E797">
        <v>0</v>
      </c>
      <c r="F797">
        <v>0</v>
      </c>
      <c r="G797">
        <v>0</v>
      </c>
      <c r="H797">
        <v>0</v>
      </c>
      <c r="I797">
        <v>0</v>
      </c>
      <c r="J797">
        <v>0</v>
      </c>
      <c r="K797">
        <v>0</v>
      </c>
    </row>
    <row r="798" spans="1:11">
      <c r="A798" t="s">
        <v>1623</v>
      </c>
      <c r="B798">
        <v>0</v>
      </c>
      <c r="C798">
        <v>0</v>
      </c>
      <c r="D798">
        <v>0</v>
      </c>
      <c r="E798">
        <v>0</v>
      </c>
      <c r="F798">
        <v>0</v>
      </c>
      <c r="G798">
        <v>0</v>
      </c>
      <c r="H798">
        <v>0</v>
      </c>
      <c r="I798">
        <v>0</v>
      </c>
      <c r="J798">
        <v>0</v>
      </c>
      <c r="K798">
        <v>0</v>
      </c>
    </row>
    <row r="799" spans="1:11">
      <c r="A799" t="s">
        <v>1624</v>
      </c>
      <c r="B799">
        <v>26</v>
      </c>
      <c r="C799">
        <v>0</v>
      </c>
      <c r="D799">
        <v>0</v>
      </c>
      <c r="E799">
        <v>0</v>
      </c>
      <c r="F799">
        <v>0</v>
      </c>
      <c r="G799">
        <v>0</v>
      </c>
      <c r="H799">
        <v>0</v>
      </c>
      <c r="I799">
        <v>0</v>
      </c>
      <c r="J799">
        <v>0</v>
      </c>
      <c r="K799">
        <v>0</v>
      </c>
    </row>
    <row r="800" spans="1:11">
      <c r="A800" t="s">
        <v>1625</v>
      </c>
      <c r="B800">
        <v>10</v>
      </c>
      <c r="C800">
        <v>0</v>
      </c>
      <c r="D800">
        <v>0</v>
      </c>
      <c r="E800">
        <v>0</v>
      </c>
      <c r="F800">
        <v>0</v>
      </c>
      <c r="G800">
        <v>0</v>
      </c>
      <c r="H800">
        <v>0</v>
      </c>
      <c r="I800">
        <v>0</v>
      </c>
      <c r="J800">
        <v>0</v>
      </c>
      <c r="K800">
        <v>0</v>
      </c>
    </row>
    <row r="801" spans="1:11">
      <c r="A801" t="s">
        <v>1626</v>
      </c>
      <c r="B801">
        <v>0</v>
      </c>
      <c r="C801">
        <v>0</v>
      </c>
      <c r="D801">
        <v>0</v>
      </c>
      <c r="E801">
        <v>0</v>
      </c>
      <c r="F801">
        <v>0</v>
      </c>
      <c r="G801">
        <v>0</v>
      </c>
      <c r="H801">
        <v>0</v>
      </c>
      <c r="I801">
        <v>0</v>
      </c>
      <c r="J801">
        <v>0</v>
      </c>
      <c r="K801">
        <v>0</v>
      </c>
    </row>
    <row r="802" spans="1:11">
      <c r="A802" t="s">
        <v>1627</v>
      </c>
      <c r="B802">
        <v>0</v>
      </c>
      <c r="C802">
        <v>0</v>
      </c>
      <c r="D802">
        <v>0</v>
      </c>
      <c r="E802">
        <v>0</v>
      </c>
      <c r="F802">
        <v>0</v>
      </c>
      <c r="G802">
        <v>0</v>
      </c>
      <c r="H802">
        <v>0</v>
      </c>
      <c r="I802">
        <v>0</v>
      </c>
      <c r="J802">
        <v>0</v>
      </c>
      <c r="K802">
        <v>0</v>
      </c>
    </row>
    <row r="803" spans="1:11">
      <c r="A803" t="s">
        <v>1628</v>
      </c>
      <c r="B803">
        <v>6</v>
      </c>
      <c r="C803">
        <v>0</v>
      </c>
      <c r="D803">
        <v>0</v>
      </c>
      <c r="E803">
        <v>0</v>
      </c>
      <c r="F803">
        <v>0</v>
      </c>
      <c r="G803">
        <v>0</v>
      </c>
      <c r="H803">
        <v>0</v>
      </c>
      <c r="I803">
        <v>0</v>
      </c>
      <c r="J803">
        <v>0</v>
      </c>
      <c r="K803">
        <v>0</v>
      </c>
    </row>
    <row r="804" spans="1:11">
      <c r="A804" t="s">
        <v>1629</v>
      </c>
      <c r="B804">
        <v>0</v>
      </c>
      <c r="C804">
        <v>0</v>
      </c>
      <c r="D804">
        <v>0</v>
      </c>
      <c r="E804">
        <v>0</v>
      </c>
      <c r="F804">
        <v>0</v>
      </c>
      <c r="G804">
        <v>0</v>
      </c>
      <c r="H804">
        <v>0</v>
      </c>
      <c r="I804">
        <v>0</v>
      </c>
      <c r="J804">
        <v>0</v>
      </c>
      <c r="K804">
        <v>0</v>
      </c>
    </row>
    <row r="805" spans="1:11">
      <c r="A805" t="s">
        <v>1630</v>
      </c>
      <c r="B805">
        <v>5</v>
      </c>
      <c r="C805">
        <v>0</v>
      </c>
      <c r="D805">
        <v>0</v>
      </c>
      <c r="E805">
        <v>0</v>
      </c>
      <c r="F805">
        <v>0</v>
      </c>
      <c r="G805">
        <v>0</v>
      </c>
      <c r="H805">
        <v>0</v>
      </c>
      <c r="I805">
        <v>0</v>
      </c>
      <c r="J805">
        <v>0</v>
      </c>
      <c r="K805">
        <v>0</v>
      </c>
    </row>
    <row r="806" spans="1:11">
      <c r="A806" t="s">
        <v>1631</v>
      </c>
      <c r="B806">
        <v>4</v>
      </c>
      <c r="C806">
        <v>0</v>
      </c>
      <c r="D806">
        <v>0</v>
      </c>
      <c r="E806">
        <v>0</v>
      </c>
      <c r="F806">
        <v>0</v>
      </c>
      <c r="G806">
        <v>0</v>
      </c>
      <c r="H806">
        <v>0</v>
      </c>
      <c r="I806">
        <v>0</v>
      </c>
      <c r="J806">
        <v>0</v>
      </c>
      <c r="K806">
        <v>0</v>
      </c>
    </row>
    <row r="807" spans="1:11">
      <c r="A807" t="s">
        <v>1632</v>
      </c>
      <c r="B807">
        <v>16</v>
      </c>
      <c r="C807">
        <v>0</v>
      </c>
      <c r="D807">
        <v>0</v>
      </c>
      <c r="E807">
        <v>0</v>
      </c>
      <c r="F807">
        <v>0</v>
      </c>
      <c r="G807">
        <v>0</v>
      </c>
      <c r="H807">
        <v>0</v>
      </c>
      <c r="I807">
        <v>0</v>
      </c>
      <c r="J807">
        <v>0</v>
      </c>
      <c r="K807">
        <v>0</v>
      </c>
    </row>
    <row r="808" spans="1:11">
      <c r="A808" t="s">
        <v>1633</v>
      </c>
      <c r="B808">
        <v>0</v>
      </c>
      <c r="C808">
        <v>0</v>
      </c>
      <c r="D808">
        <v>0</v>
      </c>
      <c r="E808">
        <v>0</v>
      </c>
      <c r="F808">
        <v>0</v>
      </c>
      <c r="G808">
        <v>0</v>
      </c>
      <c r="H808">
        <v>0</v>
      </c>
      <c r="I808">
        <v>0</v>
      </c>
      <c r="J808">
        <v>0</v>
      </c>
      <c r="K808">
        <v>0</v>
      </c>
    </row>
    <row r="809" spans="1:11">
      <c r="A809" t="s">
        <v>1634</v>
      </c>
      <c r="B809">
        <v>0</v>
      </c>
      <c r="C809">
        <v>0</v>
      </c>
      <c r="D809">
        <v>0</v>
      </c>
      <c r="E809">
        <v>0</v>
      </c>
      <c r="F809">
        <v>0</v>
      </c>
      <c r="G809">
        <v>0</v>
      </c>
      <c r="H809">
        <v>0</v>
      </c>
      <c r="I809">
        <v>0</v>
      </c>
      <c r="J809">
        <v>0</v>
      </c>
      <c r="K809">
        <v>0</v>
      </c>
    </row>
    <row r="810" spans="1:11">
      <c r="A810" t="s">
        <v>1635</v>
      </c>
      <c r="B810">
        <v>0</v>
      </c>
      <c r="C810">
        <v>0</v>
      </c>
      <c r="D810">
        <v>0</v>
      </c>
      <c r="E810">
        <v>0</v>
      </c>
      <c r="F810">
        <v>0</v>
      </c>
      <c r="G810">
        <v>0</v>
      </c>
      <c r="H810">
        <v>0</v>
      </c>
      <c r="I810">
        <v>0</v>
      </c>
      <c r="J810">
        <v>0</v>
      </c>
      <c r="K810">
        <v>0</v>
      </c>
    </row>
    <row r="811" spans="1:11">
      <c r="A811" t="s">
        <v>1636</v>
      </c>
      <c r="B811">
        <v>14</v>
      </c>
      <c r="C811">
        <v>0</v>
      </c>
      <c r="D811">
        <v>0</v>
      </c>
      <c r="E811">
        <v>0</v>
      </c>
      <c r="F811">
        <v>0</v>
      </c>
      <c r="G811">
        <v>0</v>
      </c>
      <c r="H811">
        <v>0</v>
      </c>
      <c r="I811">
        <v>0</v>
      </c>
      <c r="J811">
        <v>0</v>
      </c>
      <c r="K811">
        <v>0</v>
      </c>
    </row>
    <row r="812" spans="1:11">
      <c r="A812" t="s">
        <v>1637</v>
      </c>
      <c r="B812">
        <v>13</v>
      </c>
      <c r="C812">
        <v>0</v>
      </c>
      <c r="D812">
        <v>0</v>
      </c>
      <c r="E812">
        <v>0</v>
      </c>
      <c r="F812">
        <v>0</v>
      </c>
      <c r="G812">
        <v>0</v>
      </c>
      <c r="H812">
        <v>0</v>
      </c>
      <c r="I812">
        <v>0</v>
      </c>
      <c r="J812">
        <v>0</v>
      </c>
      <c r="K812">
        <v>0</v>
      </c>
    </row>
    <row r="813" spans="1:11">
      <c r="A813" t="s">
        <v>1638</v>
      </c>
      <c r="B813">
        <v>6</v>
      </c>
      <c r="C813">
        <v>0</v>
      </c>
      <c r="D813">
        <v>0</v>
      </c>
      <c r="E813">
        <v>0</v>
      </c>
      <c r="F813">
        <v>0</v>
      </c>
      <c r="G813">
        <v>0</v>
      </c>
      <c r="H813">
        <v>0</v>
      </c>
      <c r="I813">
        <v>0</v>
      </c>
      <c r="J813">
        <v>0</v>
      </c>
      <c r="K813">
        <v>0</v>
      </c>
    </row>
    <row r="814" spans="1:11">
      <c r="A814" t="s">
        <v>1639</v>
      </c>
      <c r="B814">
        <v>4</v>
      </c>
      <c r="C814">
        <v>0</v>
      </c>
      <c r="D814">
        <v>0</v>
      </c>
      <c r="E814">
        <v>0</v>
      </c>
      <c r="F814">
        <v>0</v>
      </c>
      <c r="G814">
        <v>0</v>
      </c>
      <c r="H814">
        <v>0</v>
      </c>
      <c r="I814">
        <v>0</v>
      </c>
      <c r="J814">
        <v>0</v>
      </c>
      <c r="K814">
        <v>0</v>
      </c>
    </row>
    <row r="815" spans="1:11">
      <c r="A815" t="s">
        <v>1640</v>
      </c>
      <c r="B815">
        <v>0</v>
      </c>
      <c r="C815">
        <v>0</v>
      </c>
      <c r="D815">
        <v>0</v>
      </c>
      <c r="E815">
        <v>0</v>
      </c>
      <c r="F815">
        <v>0</v>
      </c>
      <c r="G815">
        <v>0</v>
      </c>
      <c r="H815">
        <v>0</v>
      </c>
      <c r="I815">
        <v>0</v>
      </c>
      <c r="J815">
        <v>0</v>
      </c>
      <c r="K815">
        <v>0</v>
      </c>
    </row>
    <row r="816" spans="1:11">
      <c r="A816" t="s">
        <v>1641</v>
      </c>
      <c r="B816">
        <v>0</v>
      </c>
      <c r="C816">
        <v>0</v>
      </c>
      <c r="D816">
        <v>0</v>
      </c>
      <c r="E816">
        <v>0</v>
      </c>
      <c r="F816">
        <v>0</v>
      </c>
      <c r="G816">
        <v>0</v>
      </c>
      <c r="H816">
        <v>0</v>
      </c>
      <c r="I816">
        <v>0</v>
      </c>
      <c r="J816">
        <v>0</v>
      </c>
      <c r="K816">
        <v>0</v>
      </c>
    </row>
    <row r="817" spans="1:11">
      <c r="A817" t="s">
        <v>1642</v>
      </c>
      <c r="B817">
        <v>29</v>
      </c>
      <c r="C817">
        <v>0</v>
      </c>
      <c r="D817">
        <v>0</v>
      </c>
      <c r="E817">
        <v>0</v>
      </c>
      <c r="F817">
        <v>0</v>
      </c>
      <c r="G817">
        <v>0</v>
      </c>
      <c r="H817">
        <v>0</v>
      </c>
      <c r="I817">
        <v>0</v>
      </c>
      <c r="J817">
        <v>0</v>
      </c>
      <c r="K817">
        <v>0</v>
      </c>
    </row>
    <row r="818" spans="1:11">
      <c r="A818" t="s">
        <v>1643</v>
      </c>
      <c r="B818">
        <v>5</v>
      </c>
      <c r="C818">
        <v>0</v>
      </c>
      <c r="D818">
        <v>0</v>
      </c>
      <c r="E818">
        <v>0</v>
      </c>
      <c r="F818">
        <v>0</v>
      </c>
      <c r="G818">
        <v>0</v>
      </c>
      <c r="H818">
        <v>0</v>
      </c>
      <c r="I818">
        <v>0</v>
      </c>
      <c r="J818">
        <v>0</v>
      </c>
      <c r="K818">
        <v>0</v>
      </c>
    </row>
    <row r="819" spans="1:11">
      <c r="A819" t="s">
        <v>1644</v>
      </c>
      <c r="B819">
        <v>0</v>
      </c>
      <c r="C819">
        <v>0</v>
      </c>
      <c r="D819">
        <v>0</v>
      </c>
      <c r="E819">
        <v>0</v>
      </c>
      <c r="F819">
        <v>0</v>
      </c>
      <c r="G819">
        <v>0</v>
      </c>
      <c r="H819">
        <v>0</v>
      </c>
      <c r="I819">
        <v>0</v>
      </c>
      <c r="J819">
        <v>0</v>
      </c>
      <c r="K819">
        <v>0</v>
      </c>
    </row>
    <row r="820" spans="1:11">
      <c r="A820" t="s">
        <v>1645</v>
      </c>
      <c r="B820">
        <v>0</v>
      </c>
      <c r="C820">
        <v>0</v>
      </c>
      <c r="D820">
        <v>0</v>
      </c>
      <c r="E820">
        <v>0</v>
      </c>
      <c r="F820">
        <v>0</v>
      </c>
      <c r="G820">
        <v>0</v>
      </c>
      <c r="H820">
        <v>0</v>
      </c>
      <c r="I820">
        <v>0</v>
      </c>
      <c r="J820">
        <v>0</v>
      </c>
      <c r="K820">
        <v>0</v>
      </c>
    </row>
    <row r="821" spans="1:11">
      <c r="A821" t="s">
        <v>1646</v>
      </c>
      <c r="B821">
        <v>0</v>
      </c>
      <c r="C821">
        <v>0</v>
      </c>
      <c r="D821">
        <v>0</v>
      </c>
      <c r="E821">
        <v>0</v>
      </c>
      <c r="F821">
        <v>0</v>
      </c>
      <c r="G821">
        <v>0</v>
      </c>
      <c r="H821">
        <v>0</v>
      </c>
      <c r="I821">
        <v>0</v>
      </c>
      <c r="J821">
        <v>0</v>
      </c>
      <c r="K821">
        <v>0</v>
      </c>
    </row>
    <row r="822" spans="1:11">
      <c r="A822" t="s">
        <v>1647</v>
      </c>
      <c r="B822">
        <v>31</v>
      </c>
      <c r="C822">
        <v>0</v>
      </c>
      <c r="D822">
        <v>0</v>
      </c>
      <c r="E822">
        <v>0</v>
      </c>
      <c r="F822">
        <v>0</v>
      </c>
      <c r="G822">
        <v>0</v>
      </c>
      <c r="H822">
        <v>0</v>
      </c>
      <c r="I822">
        <v>0</v>
      </c>
      <c r="J822">
        <v>0</v>
      </c>
      <c r="K822">
        <v>0</v>
      </c>
    </row>
    <row r="823" spans="1:11">
      <c r="A823" t="s">
        <v>1648</v>
      </c>
      <c r="B823">
        <v>0</v>
      </c>
      <c r="C823">
        <v>0</v>
      </c>
      <c r="D823">
        <v>0</v>
      </c>
      <c r="E823">
        <v>0</v>
      </c>
      <c r="F823">
        <v>0</v>
      </c>
      <c r="G823">
        <v>0</v>
      </c>
      <c r="H823">
        <v>0</v>
      </c>
      <c r="I823">
        <v>0</v>
      </c>
      <c r="J823">
        <v>0</v>
      </c>
      <c r="K823">
        <v>0</v>
      </c>
    </row>
    <row r="824" spans="1:11">
      <c r="A824" t="s">
        <v>1649</v>
      </c>
      <c r="B824">
        <v>0</v>
      </c>
      <c r="C824">
        <v>0</v>
      </c>
      <c r="D824">
        <v>0</v>
      </c>
      <c r="E824">
        <v>0</v>
      </c>
      <c r="F824">
        <v>0</v>
      </c>
      <c r="G824">
        <v>0</v>
      </c>
      <c r="H824">
        <v>0</v>
      </c>
      <c r="I824">
        <v>0</v>
      </c>
      <c r="J824">
        <v>0</v>
      </c>
      <c r="K824">
        <v>0</v>
      </c>
    </row>
    <row r="825" spans="1:11">
      <c r="A825" t="s">
        <v>1650</v>
      </c>
      <c r="B825">
        <v>0</v>
      </c>
      <c r="C825">
        <v>0</v>
      </c>
      <c r="D825">
        <v>0</v>
      </c>
      <c r="E825">
        <v>0</v>
      </c>
      <c r="F825">
        <v>0</v>
      </c>
      <c r="G825">
        <v>0</v>
      </c>
      <c r="H825">
        <v>0</v>
      </c>
      <c r="I825">
        <v>0</v>
      </c>
      <c r="J825">
        <v>0</v>
      </c>
      <c r="K825">
        <v>0</v>
      </c>
    </row>
    <row r="826" spans="1:11">
      <c r="A826" t="s">
        <v>1651</v>
      </c>
      <c r="B826">
        <v>3</v>
      </c>
      <c r="C826">
        <v>0</v>
      </c>
      <c r="D826">
        <v>0</v>
      </c>
      <c r="E826">
        <v>0</v>
      </c>
      <c r="F826">
        <v>0</v>
      </c>
      <c r="G826">
        <v>0</v>
      </c>
      <c r="H826">
        <v>0</v>
      </c>
      <c r="I826">
        <v>0</v>
      </c>
      <c r="J826">
        <v>0</v>
      </c>
      <c r="K826">
        <v>0</v>
      </c>
    </row>
    <row r="827" spans="1:11">
      <c r="A827" t="s">
        <v>1652</v>
      </c>
      <c r="B827">
        <v>0</v>
      </c>
      <c r="C827">
        <v>0</v>
      </c>
      <c r="D827">
        <v>0</v>
      </c>
      <c r="E827">
        <v>0</v>
      </c>
      <c r="F827">
        <v>0</v>
      </c>
      <c r="G827">
        <v>0</v>
      </c>
      <c r="H827">
        <v>0</v>
      </c>
      <c r="I827">
        <v>0</v>
      </c>
      <c r="J827">
        <v>0</v>
      </c>
      <c r="K827">
        <v>0</v>
      </c>
    </row>
    <row r="828" spans="1:11">
      <c r="A828" t="s">
        <v>579</v>
      </c>
      <c r="B828">
        <v>4</v>
      </c>
      <c r="C828">
        <v>0</v>
      </c>
      <c r="D828">
        <v>1</v>
      </c>
      <c r="E828">
        <v>1</v>
      </c>
      <c r="F828">
        <v>0</v>
      </c>
      <c r="G828">
        <v>0</v>
      </c>
      <c r="H828">
        <v>1</v>
      </c>
      <c r="I828">
        <v>1</v>
      </c>
      <c r="J828">
        <v>0</v>
      </c>
      <c r="K828">
        <v>0</v>
      </c>
    </row>
    <row r="829" spans="1:11">
      <c r="A829" t="s">
        <v>580</v>
      </c>
      <c r="B829">
        <v>8</v>
      </c>
      <c r="C829">
        <v>0</v>
      </c>
      <c r="D829">
        <v>2</v>
      </c>
      <c r="E829">
        <v>2</v>
      </c>
      <c r="F829">
        <v>0</v>
      </c>
      <c r="G829">
        <v>0</v>
      </c>
      <c r="H829">
        <v>2</v>
      </c>
      <c r="I829">
        <v>2</v>
      </c>
      <c r="J829">
        <v>0</v>
      </c>
      <c r="K829">
        <v>0</v>
      </c>
    </row>
    <row r="830" spans="1:11">
      <c r="A830" t="s">
        <v>581</v>
      </c>
      <c r="B830">
        <v>57</v>
      </c>
      <c r="C830">
        <v>0</v>
      </c>
      <c r="D830">
        <v>15</v>
      </c>
      <c r="E830">
        <v>15</v>
      </c>
      <c r="F830">
        <v>0</v>
      </c>
      <c r="G830">
        <v>0</v>
      </c>
      <c r="H830">
        <v>15</v>
      </c>
      <c r="I830">
        <v>12</v>
      </c>
      <c r="J830">
        <v>0</v>
      </c>
      <c r="K830">
        <v>0</v>
      </c>
    </row>
    <row r="831" spans="1:11">
      <c r="A831" t="s">
        <v>582</v>
      </c>
      <c r="B831">
        <v>21</v>
      </c>
      <c r="C831">
        <v>0</v>
      </c>
      <c r="D831">
        <v>6</v>
      </c>
      <c r="E831">
        <v>5</v>
      </c>
      <c r="F831">
        <v>0</v>
      </c>
      <c r="G831">
        <v>0</v>
      </c>
      <c r="H831">
        <v>5</v>
      </c>
      <c r="I831">
        <v>5</v>
      </c>
      <c r="J831">
        <v>0</v>
      </c>
      <c r="K831">
        <v>0</v>
      </c>
    </row>
    <row r="832" spans="1:11">
      <c r="A832" t="s">
        <v>689</v>
      </c>
      <c r="B832">
        <v>3</v>
      </c>
      <c r="C832">
        <v>0</v>
      </c>
      <c r="D832">
        <v>1</v>
      </c>
      <c r="E832">
        <v>1</v>
      </c>
      <c r="F832">
        <v>0</v>
      </c>
      <c r="G832">
        <v>0</v>
      </c>
      <c r="H832">
        <v>1</v>
      </c>
      <c r="I832">
        <v>0</v>
      </c>
      <c r="J832">
        <v>0</v>
      </c>
      <c r="K832">
        <v>0</v>
      </c>
    </row>
    <row r="833" spans="1:11">
      <c r="A833" t="s">
        <v>690</v>
      </c>
      <c r="B833">
        <v>7</v>
      </c>
      <c r="C833">
        <v>0</v>
      </c>
      <c r="D833">
        <v>3</v>
      </c>
      <c r="E833">
        <v>2</v>
      </c>
      <c r="F833">
        <v>0</v>
      </c>
      <c r="G833">
        <v>0</v>
      </c>
      <c r="H833">
        <v>2</v>
      </c>
      <c r="I833">
        <v>0</v>
      </c>
      <c r="J833">
        <v>0</v>
      </c>
      <c r="K833">
        <v>0</v>
      </c>
    </row>
    <row r="834" spans="1:11">
      <c r="A834" t="s">
        <v>583</v>
      </c>
      <c r="B834">
        <v>29</v>
      </c>
      <c r="C834">
        <v>0</v>
      </c>
      <c r="D834">
        <v>8</v>
      </c>
      <c r="E834">
        <v>8</v>
      </c>
      <c r="F834">
        <v>0</v>
      </c>
      <c r="G834">
        <v>0</v>
      </c>
      <c r="H834">
        <v>7</v>
      </c>
      <c r="I834">
        <v>6</v>
      </c>
      <c r="J834">
        <v>0</v>
      </c>
      <c r="K834">
        <v>0</v>
      </c>
    </row>
    <row r="835" spans="1:11">
      <c r="A835" t="s">
        <v>584</v>
      </c>
      <c r="B835">
        <v>32</v>
      </c>
      <c r="C835">
        <v>0</v>
      </c>
      <c r="D835">
        <v>9</v>
      </c>
      <c r="E835">
        <v>8</v>
      </c>
      <c r="F835">
        <v>0</v>
      </c>
      <c r="G835">
        <v>0</v>
      </c>
      <c r="H835">
        <v>8</v>
      </c>
      <c r="I835">
        <v>7</v>
      </c>
      <c r="J835">
        <v>0</v>
      </c>
      <c r="K835">
        <v>0</v>
      </c>
    </row>
    <row r="836" spans="1:11">
      <c r="A836" t="s">
        <v>668</v>
      </c>
      <c r="B836">
        <v>49</v>
      </c>
      <c r="C836">
        <v>0</v>
      </c>
      <c r="D836">
        <v>13</v>
      </c>
      <c r="E836">
        <v>13</v>
      </c>
      <c r="F836">
        <v>0</v>
      </c>
      <c r="G836">
        <v>0</v>
      </c>
      <c r="H836">
        <v>13</v>
      </c>
      <c r="I836">
        <v>10</v>
      </c>
      <c r="J836">
        <v>0</v>
      </c>
      <c r="K836">
        <v>0</v>
      </c>
    </row>
    <row r="837" spans="1:11">
      <c r="A837" t="s">
        <v>669</v>
      </c>
      <c r="B837">
        <v>30</v>
      </c>
      <c r="C837">
        <v>0</v>
      </c>
      <c r="D837">
        <v>8</v>
      </c>
      <c r="E837">
        <v>8</v>
      </c>
      <c r="F837">
        <v>0</v>
      </c>
      <c r="G837">
        <v>0</v>
      </c>
      <c r="H837">
        <v>8</v>
      </c>
      <c r="I837">
        <v>6</v>
      </c>
      <c r="J837">
        <v>0</v>
      </c>
      <c r="K837">
        <v>0</v>
      </c>
    </row>
    <row r="838" spans="1:11">
      <c r="A838" t="s">
        <v>585</v>
      </c>
      <c r="B838">
        <v>1</v>
      </c>
      <c r="C838">
        <v>0</v>
      </c>
      <c r="D838">
        <v>1</v>
      </c>
      <c r="E838">
        <v>0</v>
      </c>
      <c r="F838">
        <v>0</v>
      </c>
      <c r="G838">
        <v>0</v>
      </c>
      <c r="H838">
        <v>0</v>
      </c>
      <c r="I838">
        <v>0</v>
      </c>
      <c r="J838">
        <v>0</v>
      </c>
      <c r="K838">
        <v>0</v>
      </c>
    </row>
    <row r="839" spans="1:11">
      <c r="A839" t="s">
        <v>586</v>
      </c>
      <c r="B839">
        <v>7</v>
      </c>
      <c r="C839">
        <v>0</v>
      </c>
      <c r="D839">
        <v>3</v>
      </c>
      <c r="E839">
        <v>2</v>
      </c>
      <c r="F839">
        <v>0</v>
      </c>
      <c r="G839">
        <v>0</v>
      </c>
      <c r="H839">
        <v>0</v>
      </c>
      <c r="I839">
        <v>2</v>
      </c>
      <c r="J839">
        <v>0</v>
      </c>
      <c r="K839">
        <v>0</v>
      </c>
    </row>
    <row r="840" spans="1:11">
      <c r="A840" t="s">
        <v>587</v>
      </c>
      <c r="B840">
        <v>6</v>
      </c>
      <c r="C840">
        <v>0</v>
      </c>
      <c r="D840">
        <v>2</v>
      </c>
      <c r="E840">
        <v>2</v>
      </c>
      <c r="F840">
        <v>0</v>
      </c>
      <c r="G840">
        <v>0</v>
      </c>
      <c r="H840">
        <v>0</v>
      </c>
      <c r="I840">
        <v>2</v>
      </c>
      <c r="J840">
        <v>0</v>
      </c>
      <c r="K840">
        <v>0</v>
      </c>
    </row>
    <row r="841" spans="1:11">
      <c r="A841" t="s">
        <v>588</v>
      </c>
      <c r="B841">
        <v>4</v>
      </c>
      <c r="C841">
        <v>0</v>
      </c>
      <c r="D841">
        <v>2</v>
      </c>
      <c r="E841">
        <v>1</v>
      </c>
      <c r="F841">
        <v>0</v>
      </c>
      <c r="G841">
        <v>0</v>
      </c>
      <c r="H841">
        <v>0</v>
      </c>
      <c r="I841">
        <v>1</v>
      </c>
      <c r="J841">
        <v>0</v>
      </c>
      <c r="K841">
        <v>0</v>
      </c>
    </row>
    <row r="842" spans="1:11">
      <c r="A842" t="s">
        <v>589</v>
      </c>
      <c r="B842">
        <v>6</v>
      </c>
      <c r="C842">
        <v>0</v>
      </c>
      <c r="D842">
        <v>2</v>
      </c>
      <c r="E842">
        <v>2</v>
      </c>
      <c r="F842">
        <v>0</v>
      </c>
      <c r="G842">
        <v>0</v>
      </c>
      <c r="H842">
        <v>0</v>
      </c>
      <c r="I842">
        <v>2</v>
      </c>
      <c r="J842">
        <v>0</v>
      </c>
      <c r="K842">
        <v>0</v>
      </c>
    </row>
    <row r="843" spans="1:11">
      <c r="A843" t="s">
        <v>590</v>
      </c>
      <c r="B843">
        <v>8</v>
      </c>
      <c r="C843">
        <v>0</v>
      </c>
      <c r="D843">
        <v>3</v>
      </c>
      <c r="E843">
        <v>3</v>
      </c>
      <c r="F843">
        <v>0</v>
      </c>
      <c r="G843">
        <v>0</v>
      </c>
      <c r="H843">
        <v>0</v>
      </c>
      <c r="I843">
        <v>2</v>
      </c>
      <c r="J843">
        <v>0</v>
      </c>
      <c r="K843">
        <v>0</v>
      </c>
    </row>
    <row r="844" spans="1:11">
      <c r="A844" t="s">
        <v>591</v>
      </c>
      <c r="B844">
        <v>13</v>
      </c>
      <c r="C844">
        <v>0</v>
      </c>
      <c r="D844">
        <v>5</v>
      </c>
      <c r="E844">
        <v>4</v>
      </c>
      <c r="F844">
        <v>0</v>
      </c>
      <c r="G844">
        <v>0</v>
      </c>
      <c r="H844">
        <v>0</v>
      </c>
      <c r="I844">
        <v>4</v>
      </c>
      <c r="J844">
        <v>0</v>
      </c>
      <c r="K844">
        <v>0</v>
      </c>
    </row>
    <row r="845" spans="1:11">
      <c r="A845" t="s">
        <v>592</v>
      </c>
      <c r="B845">
        <v>8</v>
      </c>
      <c r="C845">
        <v>0</v>
      </c>
      <c r="D845">
        <v>3</v>
      </c>
      <c r="E845">
        <v>3</v>
      </c>
      <c r="F845">
        <v>0</v>
      </c>
      <c r="G845">
        <v>0</v>
      </c>
      <c r="H845">
        <v>0</v>
      </c>
      <c r="I845">
        <v>2</v>
      </c>
      <c r="J845">
        <v>0</v>
      </c>
      <c r="K845">
        <v>0</v>
      </c>
    </row>
    <row r="846" spans="1:11">
      <c r="A846" t="s">
        <v>593</v>
      </c>
      <c r="B846">
        <v>12</v>
      </c>
      <c r="C846">
        <v>0</v>
      </c>
      <c r="D846">
        <v>3</v>
      </c>
      <c r="E846">
        <v>3</v>
      </c>
      <c r="F846">
        <v>0</v>
      </c>
      <c r="G846">
        <v>0</v>
      </c>
      <c r="H846">
        <v>3</v>
      </c>
      <c r="I846">
        <v>3</v>
      </c>
      <c r="J846">
        <v>0</v>
      </c>
      <c r="K846">
        <v>0</v>
      </c>
    </row>
    <row r="847" spans="1:11">
      <c r="A847" t="s">
        <v>594</v>
      </c>
      <c r="B847">
        <v>4</v>
      </c>
      <c r="C847">
        <v>0</v>
      </c>
      <c r="D847">
        <v>1</v>
      </c>
      <c r="E847">
        <v>1</v>
      </c>
      <c r="F847">
        <v>0</v>
      </c>
      <c r="G847">
        <v>0</v>
      </c>
      <c r="H847">
        <v>1</v>
      </c>
      <c r="I847">
        <v>1</v>
      </c>
      <c r="J847">
        <v>0</v>
      </c>
      <c r="K847">
        <v>0</v>
      </c>
    </row>
    <row r="848" spans="1:11">
      <c r="A848" t="s">
        <v>595</v>
      </c>
      <c r="B848">
        <v>115</v>
      </c>
      <c r="C848">
        <v>0</v>
      </c>
      <c r="D848">
        <v>31</v>
      </c>
      <c r="E848">
        <v>30</v>
      </c>
      <c r="F848">
        <v>0</v>
      </c>
      <c r="G848">
        <v>0</v>
      </c>
      <c r="H848">
        <v>30</v>
      </c>
      <c r="I848">
        <v>24</v>
      </c>
      <c r="J848">
        <v>0</v>
      </c>
      <c r="K848">
        <v>0</v>
      </c>
    </row>
    <row r="849" spans="1:11">
      <c r="A849" t="s">
        <v>596</v>
      </c>
      <c r="B849">
        <v>103</v>
      </c>
      <c r="C849">
        <v>0</v>
      </c>
      <c r="D849">
        <v>27</v>
      </c>
      <c r="E849">
        <v>27</v>
      </c>
      <c r="F849">
        <v>0</v>
      </c>
      <c r="G849">
        <v>0</v>
      </c>
      <c r="H849">
        <v>27</v>
      </c>
      <c r="I849">
        <v>22</v>
      </c>
      <c r="J849">
        <v>0</v>
      </c>
      <c r="K849">
        <v>0</v>
      </c>
    </row>
    <row r="850" spans="1:11">
      <c r="A850" t="s">
        <v>597</v>
      </c>
      <c r="B850">
        <v>3</v>
      </c>
      <c r="C850">
        <v>0</v>
      </c>
      <c r="D850">
        <v>1</v>
      </c>
      <c r="E850">
        <v>1</v>
      </c>
      <c r="F850">
        <v>0</v>
      </c>
      <c r="G850">
        <v>0</v>
      </c>
      <c r="H850">
        <v>1</v>
      </c>
      <c r="I850">
        <v>0</v>
      </c>
      <c r="J850">
        <v>0</v>
      </c>
      <c r="K850">
        <v>0</v>
      </c>
    </row>
    <row r="851" spans="1:11">
      <c r="A851" t="s">
        <v>598</v>
      </c>
      <c r="B851">
        <v>7</v>
      </c>
      <c r="C851">
        <v>0</v>
      </c>
      <c r="D851">
        <v>2</v>
      </c>
      <c r="E851">
        <v>2</v>
      </c>
      <c r="F851">
        <v>0</v>
      </c>
      <c r="G851">
        <v>0</v>
      </c>
      <c r="H851">
        <v>2</v>
      </c>
      <c r="I851">
        <v>1</v>
      </c>
      <c r="J851">
        <v>0</v>
      </c>
      <c r="K851">
        <v>0</v>
      </c>
    </row>
    <row r="852" spans="1:11">
      <c r="A852" t="s">
        <v>670</v>
      </c>
      <c r="B852">
        <v>25</v>
      </c>
      <c r="C852">
        <v>0</v>
      </c>
      <c r="D852">
        <v>9</v>
      </c>
      <c r="E852">
        <v>9</v>
      </c>
      <c r="F852">
        <v>0</v>
      </c>
      <c r="G852">
        <v>0</v>
      </c>
      <c r="H852">
        <v>0</v>
      </c>
      <c r="I852">
        <v>7</v>
      </c>
      <c r="J852">
        <v>0</v>
      </c>
      <c r="K852">
        <v>0</v>
      </c>
    </row>
    <row r="853" spans="1:11">
      <c r="A853" t="s">
        <v>671</v>
      </c>
      <c r="B853">
        <v>43</v>
      </c>
      <c r="C853">
        <v>0</v>
      </c>
      <c r="D853">
        <v>15</v>
      </c>
      <c r="E853">
        <v>15</v>
      </c>
      <c r="F853">
        <v>0</v>
      </c>
      <c r="G853">
        <v>0</v>
      </c>
      <c r="H853">
        <v>0</v>
      </c>
      <c r="I853">
        <v>13</v>
      </c>
      <c r="J853">
        <v>0</v>
      </c>
      <c r="K853">
        <v>0</v>
      </c>
    </row>
    <row r="854" spans="1:11">
      <c r="A854" t="s">
        <v>599</v>
      </c>
      <c r="B854">
        <v>5</v>
      </c>
      <c r="C854">
        <v>0</v>
      </c>
      <c r="D854">
        <v>3</v>
      </c>
      <c r="E854">
        <v>2</v>
      </c>
      <c r="F854">
        <v>0</v>
      </c>
      <c r="G854">
        <v>0</v>
      </c>
      <c r="H854">
        <v>0</v>
      </c>
      <c r="I854">
        <v>0</v>
      </c>
      <c r="J854">
        <v>0</v>
      </c>
      <c r="K854">
        <v>0</v>
      </c>
    </row>
    <row r="855" spans="1:11">
      <c r="A855" t="s">
        <v>600</v>
      </c>
      <c r="B855">
        <v>6</v>
      </c>
      <c r="C855">
        <v>0</v>
      </c>
      <c r="D855">
        <v>2</v>
      </c>
      <c r="E855">
        <v>2</v>
      </c>
      <c r="F855">
        <v>0</v>
      </c>
      <c r="G855">
        <v>0</v>
      </c>
      <c r="H855">
        <v>0</v>
      </c>
      <c r="I855">
        <v>2</v>
      </c>
      <c r="J855">
        <v>0</v>
      </c>
      <c r="K855">
        <v>0</v>
      </c>
    </row>
    <row r="856" spans="1:11">
      <c r="A856" t="s">
        <v>601</v>
      </c>
      <c r="B856">
        <v>9</v>
      </c>
      <c r="C856">
        <v>0</v>
      </c>
      <c r="D856">
        <v>3</v>
      </c>
      <c r="E856">
        <v>2</v>
      </c>
      <c r="F856">
        <v>0</v>
      </c>
      <c r="G856">
        <v>0</v>
      </c>
      <c r="H856">
        <v>2</v>
      </c>
      <c r="I856">
        <v>2</v>
      </c>
      <c r="J856">
        <v>0</v>
      </c>
      <c r="K856">
        <v>0</v>
      </c>
    </row>
    <row r="857" spans="1:11">
      <c r="A857" t="s">
        <v>602</v>
      </c>
      <c r="B857">
        <v>5</v>
      </c>
      <c r="C857">
        <v>0</v>
      </c>
      <c r="D857">
        <v>2</v>
      </c>
      <c r="E857">
        <v>1</v>
      </c>
      <c r="F857">
        <v>0</v>
      </c>
      <c r="G857">
        <v>0</v>
      </c>
      <c r="H857">
        <v>1</v>
      </c>
      <c r="I857">
        <v>1</v>
      </c>
      <c r="J857">
        <v>0</v>
      </c>
      <c r="K857">
        <v>0</v>
      </c>
    </row>
    <row r="858" spans="1:11">
      <c r="A858" t="s">
        <v>603</v>
      </c>
      <c r="B858">
        <v>2</v>
      </c>
      <c r="C858">
        <v>0</v>
      </c>
      <c r="D858">
        <v>1</v>
      </c>
      <c r="E858">
        <v>1</v>
      </c>
      <c r="F858">
        <v>0</v>
      </c>
      <c r="G858">
        <v>0</v>
      </c>
      <c r="H858">
        <v>0</v>
      </c>
      <c r="I858">
        <v>0</v>
      </c>
      <c r="J858">
        <v>0</v>
      </c>
      <c r="K858">
        <v>0</v>
      </c>
    </row>
    <row r="859" spans="1:11">
      <c r="A859" t="s">
        <v>604</v>
      </c>
      <c r="B859">
        <v>6</v>
      </c>
      <c r="C859">
        <v>0</v>
      </c>
      <c r="D859">
        <v>2</v>
      </c>
      <c r="E859">
        <v>2</v>
      </c>
      <c r="F859">
        <v>0</v>
      </c>
      <c r="G859">
        <v>0</v>
      </c>
      <c r="H859">
        <v>1</v>
      </c>
      <c r="I859">
        <v>1</v>
      </c>
      <c r="J859">
        <v>0</v>
      </c>
      <c r="K859">
        <v>0</v>
      </c>
    </row>
    <row r="860" spans="1:11">
      <c r="A860" t="s">
        <v>605</v>
      </c>
      <c r="B860">
        <v>6</v>
      </c>
      <c r="C860">
        <v>0</v>
      </c>
      <c r="D860">
        <v>2</v>
      </c>
      <c r="E860">
        <v>2</v>
      </c>
      <c r="F860">
        <v>0</v>
      </c>
      <c r="G860">
        <v>0</v>
      </c>
      <c r="H860">
        <v>1</v>
      </c>
      <c r="I860">
        <v>1</v>
      </c>
      <c r="J860">
        <v>0</v>
      </c>
      <c r="K860">
        <v>0</v>
      </c>
    </row>
    <row r="861" spans="1:11">
      <c r="A861" t="s">
        <v>606</v>
      </c>
      <c r="B861">
        <v>10</v>
      </c>
      <c r="C861">
        <v>0</v>
      </c>
      <c r="D861">
        <v>3</v>
      </c>
      <c r="E861">
        <v>3</v>
      </c>
      <c r="F861">
        <v>0</v>
      </c>
      <c r="G861">
        <v>0</v>
      </c>
      <c r="H861">
        <v>2</v>
      </c>
      <c r="I861">
        <v>2</v>
      </c>
      <c r="J861">
        <v>0</v>
      </c>
      <c r="K861">
        <v>0</v>
      </c>
    </row>
    <row r="862" spans="1:11">
      <c r="A862" t="s">
        <v>672</v>
      </c>
      <c r="B862">
        <v>63</v>
      </c>
      <c r="C862">
        <v>0</v>
      </c>
      <c r="D862">
        <v>22</v>
      </c>
      <c r="E862">
        <v>22</v>
      </c>
      <c r="F862">
        <v>0</v>
      </c>
      <c r="G862">
        <v>0</v>
      </c>
      <c r="H862">
        <v>0</v>
      </c>
      <c r="I862">
        <v>19</v>
      </c>
      <c r="J862">
        <v>0</v>
      </c>
      <c r="K862">
        <v>0</v>
      </c>
    </row>
    <row r="863" spans="1:11">
      <c r="A863" t="s">
        <v>673</v>
      </c>
      <c r="B863">
        <v>86</v>
      </c>
      <c r="C863">
        <v>0</v>
      </c>
      <c r="D863">
        <v>30</v>
      </c>
      <c r="E863">
        <v>30</v>
      </c>
      <c r="F863">
        <v>0</v>
      </c>
      <c r="G863">
        <v>0</v>
      </c>
      <c r="H863">
        <v>0</v>
      </c>
      <c r="I863">
        <v>26</v>
      </c>
      <c r="J863">
        <v>0</v>
      </c>
      <c r="K863">
        <v>0</v>
      </c>
    </row>
    <row r="864" spans="1:11">
      <c r="A864" t="s">
        <v>607</v>
      </c>
      <c r="B864">
        <v>6</v>
      </c>
      <c r="C864">
        <v>0</v>
      </c>
      <c r="D864">
        <v>3</v>
      </c>
      <c r="E864">
        <v>3</v>
      </c>
      <c r="F864">
        <v>0</v>
      </c>
      <c r="G864">
        <v>0</v>
      </c>
      <c r="H864">
        <v>0</v>
      </c>
      <c r="I864">
        <v>0</v>
      </c>
      <c r="J864">
        <v>0</v>
      </c>
      <c r="K864">
        <v>0</v>
      </c>
    </row>
    <row r="865" spans="1:11">
      <c r="A865" t="s">
        <v>608</v>
      </c>
      <c r="B865">
        <v>19</v>
      </c>
      <c r="C865">
        <v>0</v>
      </c>
      <c r="D865">
        <v>10</v>
      </c>
      <c r="E865">
        <v>9</v>
      </c>
      <c r="F865">
        <v>0</v>
      </c>
      <c r="G865">
        <v>0</v>
      </c>
      <c r="H865">
        <v>0</v>
      </c>
      <c r="I865">
        <v>0</v>
      </c>
      <c r="J865">
        <v>0</v>
      </c>
      <c r="K865">
        <v>0</v>
      </c>
    </row>
    <row r="866" spans="1:11">
      <c r="A866" t="s">
        <v>609</v>
      </c>
      <c r="B866">
        <v>8</v>
      </c>
      <c r="C866">
        <v>0</v>
      </c>
      <c r="D866">
        <v>2</v>
      </c>
      <c r="E866">
        <v>2</v>
      </c>
      <c r="F866">
        <v>0</v>
      </c>
      <c r="G866">
        <v>0</v>
      </c>
      <c r="H866">
        <v>2</v>
      </c>
      <c r="I866">
        <v>2</v>
      </c>
      <c r="J866">
        <v>0</v>
      </c>
      <c r="K866">
        <v>0</v>
      </c>
    </row>
    <row r="867" spans="1:11">
      <c r="A867" t="s">
        <v>610</v>
      </c>
      <c r="B867">
        <v>12</v>
      </c>
      <c r="C867">
        <v>0</v>
      </c>
      <c r="D867">
        <v>3</v>
      </c>
      <c r="E867">
        <v>3</v>
      </c>
      <c r="F867">
        <v>0</v>
      </c>
      <c r="G867">
        <v>0</v>
      </c>
      <c r="H867">
        <v>3</v>
      </c>
      <c r="I867">
        <v>3</v>
      </c>
      <c r="J867">
        <v>0</v>
      </c>
      <c r="K867">
        <v>0</v>
      </c>
    </row>
    <row r="868" spans="1:11">
      <c r="A868" t="s">
        <v>611</v>
      </c>
      <c r="B868">
        <v>6</v>
      </c>
      <c r="C868">
        <v>0</v>
      </c>
      <c r="D868">
        <v>2</v>
      </c>
      <c r="E868">
        <v>2</v>
      </c>
      <c r="F868">
        <v>0</v>
      </c>
      <c r="G868">
        <v>0</v>
      </c>
      <c r="H868">
        <v>1</v>
      </c>
      <c r="I868">
        <v>1</v>
      </c>
      <c r="J868">
        <v>0</v>
      </c>
      <c r="K868">
        <v>0</v>
      </c>
    </row>
    <row r="869" spans="1:11">
      <c r="A869" t="s">
        <v>612</v>
      </c>
      <c r="B869">
        <v>7</v>
      </c>
      <c r="C869">
        <v>0</v>
      </c>
      <c r="D869">
        <v>2</v>
      </c>
      <c r="E869">
        <v>2</v>
      </c>
      <c r="F869">
        <v>0</v>
      </c>
      <c r="G869">
        <v>0</v>
      </c>
      <c r="H869">
        <v>2</v>
      </c>
      <c r="I869">
        <v>1</v>
      </c>
      <c r="J869">
        <v>0</v>
      </c>
      <c r="K869">
        <v>0</v>
      </c>
    </row>
    <row r="870" spans="1:11">
      <c r="A870" t="s">
        <v>676</v>
      </c>
      <c r="B870">
        <v>8</v>
      </c>
      <c r="C870">
        <v>0</v>
      </c>
      <c r="D870">
        <v>2</v>
      </c>
      <c r="E870">
        <v>2</v>
      </c>
      <c r="F870">
        <v>0</v>
      </c>
      <c r="G870">
        <v>0</v>
      </c>
      <c r="H870">
        <v>2</v>
      </c>
      <c r="I870">
        <v>2</v>
      </c>
      <c r="J870">
        <v>0</v>
      </c>
      <c r="K870">
        <v>0</v>
      </c>
    </row>
    <row r="871" spans="1:11">
      <c r="A871" t="s">
        <v>674</v>
      </c>
      <c r="B871">
        <v>3</v>
      </c>
      <c r="C871">
        <v>0</v>
      </c>
      <c r="D871">
        <v>1</v>
      </c>
      <c r="E871">
        <v>1</v>
      </c>
      <c r="F871">
        <v>0</v>
      </c>
      <c r="G871">
        <v>0</v>
      </c>
      <c r="H871">
        <v>1</v>
      </c>
      <c r="I871">
        <v>0</v>
      </c>
      <c r="J871">
        <v>0</v>
      </c>
      <c r="K871">
        <v>0</v>
      </c>
    </row>
    <row r="872" spans="1:11">
      <c r="A872" t="s">
        <v>613</v>
      </c>
      <c r="B872">
        <v>11</v>
      </c>
      <c r="C872">
        <v>0</v>
      </c>
      <c r="D872">
        <v>4</v>
      </c>
      <c r="E872">
        <v>4</v>
      </c>
      <c r="F872">
        <v>0</v>
      </c>
      <c r="G872">
        <v>0</v>
      </c>
      <c r="H872">
        <v>3</v>
      </c>
      <c r="I872">
        <v>0</v>
      </c>
      <c r="J872">
        <v>0</v>
      </c>
      <c r="K872">
        <v>0</v>
      </c>
    </row>
    <row r="873" spans="1:11">
      <c r="A873" t="s">
        <v>614</v>
      </c>
      <c r="B873">
        <v>6</v>
      </c>
      <c r="C873">
        <v>0</v>
      </c>
      <c r="D873">
        <v>2</v>
      </c>
      <c r="E873">
        <v>2</v>
      </c>
      <c r="F873">
        <v>0</v>
      </c>
      <c r="G873">
        <v>0</v>
      </c>
      <c r="H873">
        <v>2</v>
      </c>
      <c r="I873">
        <v>0</v>
      </c>
      <c r="J873">
        <v>0</v>
      </c>
      <c r="K873">
        <v>0</v>
      </c>
    </row>
    <row r="874" spans="1:11">
      <c r="A874" t="s">
        <v>615</v>
      </c>
      <c r="B874">
        <v>6</v>
      </c>
      <c r="C874">
        <v>0</v>
      </c>
      <c r="D874">
        <v>2</v>
      </c>
      <c r="E874">
        <v>2</v>
      </c>
      <c r="F874">
        <v>0</v>
      </c>
      <c r="G874">
        <v>0</v>
      </c>
      <c r="H874">
        <v>0</v>
      </c>
      <c r="I874">
        <v>2</v>
      </c>
      <c r="J874">
        <v>0</v>
      </c>
      <c r="K874">
        <v>0</v>
      </c>
    </row>
    <row r="875" spans="1:11">
      <c r="A875" t="s">
        <v>616</v>
      </c>
      <c r="B875">
        <v>6</v>
      </c>
      <c r="C875">
        <v>0</v>
      </c>
      <c r="D875">
        <v>2</v>
      </c>
      <c r="E875">
        <v>2</v>
      </c>
      <c r="F875">
        <v>0</v>
      </c>
      <c r="G875">
        <v>0</v>
      </c>
      <c r="H875">
        <v>0</v>
      </c>
      <c r="I875">
        <v>2</v>
      </c>
      <c r="J875">
        <v>0</v>
      </c>
      <c r="K875">
        <v>0</v>
      </c>
    </row>
    <row r="876" spans="1:11">
      <c r="A876" t="s">
        <v>617</v>
      </c>
      <c r="B876">
        <v>45</v>
      </c>
      <c r="C876">
        <v>0</v>
      </c>
      <c r="D876">
        <v>16</v>
      </c>
      <c r="E876">
        <v>16</v>
      </c>
      <c r="F876">
        <v>0</v>
      </c>
      <c r="G876">
        <v>0</v>
      </c>
      <c r="H876">
        <v>0</v>
      </c>
      <c r="I876">
        <v>13</v>
      </c>
      <c r="J876">
        <v>0</v>
      </c>
      <c r="K876">
        <v>0</v>
      </c>
    </row>
    <row r="877" spans="1:11">
      <c r="A877" t="s">
        <v>618</v>
      </c>
      <c r="B877">
        <v>38</v>
      </c>
      <c r="C877">
        <v>0</v>
      </c>
      <c r="D877">
        <v>14</v>
      </c>
      <c r="E877">
        <v>13</v>
      </c>
      <c r="F877">
        <v>0</v>
      </c>
      <c r="G877">
        <v>0</v>
      </c>
      <c r="H877">
        <v>0</v>
      </c>
      <c r="I877">
        <v>11</v>
      </c>
      <c r="J877">
        <v>0</v>
      </c>
      <c r="K877">
        <v>0</v>
      </c>
    </row>
    <row r="878" spans="1:11">
      <c r="A878" t="s">
        <v>619</v>
      </c>
      <c r="B878">
        <v>15</v>
      </c>
      <c r="C878">
        <v>0</v>
      </c>
      <c r="D878">
        <v>5</v>
      </c>
      <c r="E878">
        <v>5</v>
      </c>
      <c r="F878">
        <v>0</v>
      </c>
      <c r="G878">
        <v>0</v>
      </c>
      <c r="H878">
        <v>0</v>
      </c>
      <c r="I878">
        <v>5</v>
      </c>
      <c r="J878">
        <v>0</v>
      </c>
      <c r="K878">
        <v>0</v>
      </c>
    </row>
    <row r="879" spans="1:11">
      <c r="A879" t="s">
        <v>620</v>
      </c>
      <c r="B879">
        <v>42</v>
      </c>
      <c r="C879">
        <v>0</v>
      </c>
      <c r="D879">
        <v>15</v>
      </c>
      <c r="E879">
        <v>15</v>
      </c>
      <c r="F879">
        <v>0</v>
      </c>
      <c r="G879">
        <v>0</v>
      </c>
      <c r="H879">
        <v>0</v>
      </c>
      <c r="I879">
        <v>12</v>
      </c>
      <c r="J879">
        <v>0</v>
      </c>
      <c r="K879">
        <v>0</v>
      </c>
    </row>
    <row r="880" spans="1:11">
      <c r="A880" t="s">
        <v>621</v>
      </c>
      <c r="B880">
        <v>4</v>
      </c>
      <c r="C880">
        <v>0</v>
      </c>
      <c r="D880">
        <v>1</v>
      </c>
      <c r="E880">
        <v>1</v>
      </c>
      <c r="F880">
        <v>0</v>
      </c>
      <c r="G880">
        <v>0</v>
      </c>
      <c r="H880">
        <v>1</v>
      </c>
      <c r="I880">
        <v>1</v>
      </c>
      <c r="J880">
        <v>0</v>
      </c>
      <c r="K880">
        <v>0</v>
      </c>
    </row>
    <row r="881" spans="1:11">
      <c r="A881" t="s">
        <v>622</v>
      </c>
      <c r="B881">
        <v>6</v>
      </c>
      <c r="C881">
        <v>0</v>
      </c>
      <c r="D881">
        <v>2</v>
      </c>
      <c r="E881">
        <v>2</v>
      </c>
      <c r="F881">
        <v>0</v>
      </c>
      <c r="G881">
        <v>0</v>
      </c>
      <c r="H881">
        <v>1</v>
      </c>
      <c r="I881">
        <v>1</v>
      </c>
      <c r="J881">
        <v>0</v>
      </c>
      <c r="K881">
        <v>0</v>
      </c>
    </row>
    <row r="882" spans="1:11">
      <c r="A882" t="s">
        <v>623</v>
      </c>
      <c r="B882">
        <v>6</v>
      </c>
      <c r="C882">
        <v>0</v>
      </c>
      <c r="D882">
        <v>2</v>
      </c>
      <c r="E882">
        <v>2</v>
      </c>
      <c r="F882">
        <v>0</v>
      </c>
      <c r="G882">
        <v>0</v>
      </c>
      <c r="H882">
        <v>2</v>
      </c>
      <c r="I882">
        <v>0</v>
      </c>
      <c r="J882">
        <v>0</v>
      </c>
      <c r="K882">
        <v>0</v>
      </c>
    </row>
    <row r="883" spans="1:11">
      <c r="A883" t="s">
        <v>624</v>
      </c>
      <c r="B883">
        <v>10</v>
      </c>
      <c r="C883">
        <v>0</v>
      </c>
      <c r="D883">
        <v>4</v>
      </c>
      <c r="E883">
        <v>3</v>
      </c>
      <c r="F883">
        <v>0</v>
      </c>
      <c r="G883">
        <v>0</v>
      </c>
      <c r="H883">
        <v>3</v>
      </c>
      <c r="I883">
        <v>0</v>
      </c>
      <c r="J883">
        <v>0</v>
      </c>
      <c r="K883">
        <v>0</v>
      </c>
    </row>
    <row r="884" spans="1:11">
      <c r="A884" t="s">
        <v>625</v>
      </c>
      <c r="B884">
        <v>5</v>
      </c>
      <c r="C884">
        <v>0</v>
      </c>
      <c r="D884">
        <v>2</v>
      </c>
      <c r="E884">
        <v>1</v>
      </c>
      <c r="F884">
        <v>0</v>
      </c>
      <c r="G884">
        <v>0</v>
      </c>
      <c r="H884">
        <v>1</v>
      </c>
      <c r="I884">
        <v>1</v>
      </c>
      <c r="J884">
        <v>0</v>
      </c>
      <c r="K884">
        <v>0</v>
      </c>
    </row>
    <row r="885" spans="1:11">
      <c r="A885" t="s">
        <v>626</v>
      </c>
      <c r="B885">
        <v>6</v>
      </c>
      <c r="C885">
        <v>0</v>
      </c>
      <c r="D885">
        <v>2</v>
      </c>
      <c r="E885">
        <v>2</v>
      </c>
      <c r="F885">
        <v>0</v>
      </c>
      <c r="G885">
        <v>0</v>
      </c>
      <c r="H885">
        <v>1</v>
      </c>
      <c r="I885">
        <v>1</v>
      </c>
      <c r="J885">
        <v>0</v>
      </c>
      <c r="K885">
        <v>0</v>
      </c>
    </row>
    <row r="886" spans="1:11">
      <c r="A886" t="s">
        <v>691</v>
      </c>
      <c r="B886">
        <v>8</v>
      </c>
      <c r="C886">
        <v>0</v>
      </c>
      <c r="D886">
        <v>2</v>
      </c>
      <c r="E886">
        <v>2</v>
      </c>
      <c r="F886">
        <v>0</v>
      </c>
      <c r="G886">
        <v>0</v>
      </c>
      <c r="H886">
        <v>2</v>
      </c>
      <c r="I886">
        <v>2</v>
      </c>
      <c r="J886">
        <v>0</v>
      </c>
      <c r="K886">
        <v>0</v>
      </c>
    </row>
    <row r="887" spans="1:11">
      <c r="A887" t="s">
        <v>692</v>
      </c>
      <c r="B887">
        <v>7</v>
      </c>
      <c r="C887">
        <v>0</v>
      </c>
      <c r="D887">
        <v>2</v>
      </c>
      <c r="E887">
        <v>2</v>
      </c>
      <c r="F887">
        <v>0</v>
      </c>
      <c r="G887">
        <v>0</v>
      </c>
      <c r="H887">
        <v>2</v>
      </c>
      <c r="I887">
        <v>1</v>
      </c>
      <c r="J887">
        <v>0</v>
      </c>
      <c r="K887">
        <v>0</v>
      </c>
    </row>
    <row r="888" spans="1:11">
      <c r="A888" t="s">
        <v>1903</v>
      </c>
      <c r="B888">
        <v>3</v>
      </c>
      <c r="C888">
        <v>0</v>
      </c>
      <c r="D888">
        <v>0</v>
      </c>
      <c r="E888">
        <v>0</v>
      </c>
      <c r="F888">
        <v>0</v>
      </c>
      <c r="G888">
        <v>0</v>
      </c>
      <c r="H888">
        <v>3</v>
      </c>
      <c r="I888">
        <v>0</v>
      </c>
      <c r="J888">
        <v>0</v>
      </c>
      <c r="K888">
        <v>0</v>
      </c>
    </row>
    <row r="889" spans="1:11">
      <c r="A889" t="s">
        <v>1904</v>
      </c>
      <c r="B889">
        <v>3</v>
      </c>
      <c r="C889">
        <v>0</v>
      </c>
      <c r="D889">
        <v>0</v>
      </c>
      <c r="E889">
        <v>0</v>
      </c>
      <c r="F889">
        <v>0</v>
      </c>
      <c r="G889">
        <v>0</v>
      </c>
      <c r="H889">
        <v>3</v>
      </c>
      <c r="I889">
        <v>0</v>
      </c>
      <c r="J889">
        <v>0</v>
      </c>
      <c r="K889">
        <v>0</v>
      </c>
    </row>
    <row r="890" spans="1:11">
      <c r="A890" t="s">
        <v>1905</v>
      </c>
      <c r="B890">
        <v>1</v>
      </c>
      <c r="C890">
        <v>0</v>
      </c>
      <c r="D890">
        <v>0</v>
      </c>
      <c r="E890">
        <v>0</v>
      </c>
      <c r="F890">
        <v>0</v>
      </c>
      <c r="G890">
        <v>0</v>
      </c>
      <c r="H890">
        <v>1</v>
      </c>
      <c r="I890">
        <v>0</v>
      </c>
      <c r="J890">
        <v>0</v>
      </c>
      <c r="K890">
        <v>0</v>
      </c>
    </row>
    <row r="891" spans="1:11">
      <c r="A891" t="s">
        <v>1906</v>
      </c>
      <c r="B891">
        <v>2</v>
      </c>
      <c r="C891">
        <v>0</v>
      </c>
      <c r="D891">
        <v>0</v>
      </c>
      <c r="E891">
        <v>0</v>
      </c>
      <c r="F891">
        <v>0</v>
      </c>
      <c r="G891">
        <v>0</v>
      </c>
      <c r="H891">
        <v>2</v>
      </c>
      <c r="I891">
        <v>0</v>
      </c>
      <c r="J891">
        <v>0</v>
      </c>
      <c r="K891">
        <v>0</v>
      </c>
    </row>
    <row r="892" spans="1:11">
      <c r="A892" t="s">
        <v>1907</v>
      </c>
      <c r="B892">
        <v>3</v>
      </c>
      <c r="C892">
        <v>0</v>
      </c>
      <c r="D892">
        <v>0</v>
      </c>
      <c r="E892">
        <v>0</v>
      </c>
      <c r="F892">
        <v>0</v>
      </c>
      <c r="G892">
        <v>0</v>
      </c>
      <c r="H892">
        <v>3</v>
      </c>
      <c r="I892">
        <v>0</v>
      </c>
      <c r="J892">
        <v>0</v>
      </c>
      <c r="K892">
        <v>0</v>
      </c>
    </row>
    <row r="893" spans="1:11">
      <c r="A893" t="s">
        <v>1908</v>
      </c>
      <c r="B893">
        <v>2</v>
      </c>
      <c r="C893">
        <v>0</v>
      </c>
      <c r="D893">
        <v>0</v>
      </c>
      <c r="E893">
        <v>0</v>
      </c>
      <c r="F893">
        <v>0</v>
      </c>
      <c r="G893">
        <v>0</v>
      </c>
      <c r="H893">
        <v>2</v>
      </c>
      <c r="I893">
        <v>0</v>
      </c>
      <c r="J893">
        <v>0</v>
      </c>
      <c r="K893">
        <v>0</v>
      </c>
    </row>
    <row r="894" spans="1:11">
      <c r="A894" t="s">
        <v>1909</v>
      </c>
      <c r="B894">
        <v>3</v>
      </c>
      <c r="C894">
        <v>0</v>
      </c>
      <c r="D894">
        <v>0</v>
      </c>
      <c r="E894">
        <v>0</v>
      </c>
      <c r="F894">
        <v>0</v>
      </c>
      <c r="G894">
        <v>0</v>
      </c>
      <c r="H894">
        <v>3</v>
      </c>
      <c r="I894">
        <v>0</v>
      </c>
      <c r="J894">
        <v>0</v>
      </c>
      <c r="K894">
        <v>0</v>
      </c>
    </row>
    <row r="895" spans="1:11">
      <c r="A895" t="s">
        <v>1910</v>
      </c>
      <c r="B895">
        <v>2</v>
      </c>
      <c r="C895">
        <v>0</v>
      </c>
      <c r="D895">
        <v>0</v>
      </c>
      <c r="E895">
        <v>0</v>
      </c>
      <c r="F895">
        <v>0</v>
      </c>
      <c r="G895">
        <v>0</v>
      </c>
      <c r="H895">
        <v>2</v>
      </c>
      <c r="I895">
        <v>0</v>
      </c>
      <c r="J895">
        <v>0</v>
      </c>
      <c r="K895">
        <v>0</v>
      </c>
    </row>
    <row r="896" spans="1:11">
      <c r="A896" t="s">
        <v>1911</v>
      </c>
      <c r="B896">
        <v>5</v>
      </c>
      <c r="C896">
        <v>0</v>
      </c>
      <c r="D896">
        <v>0</v>
      </c>
      <c r="E896">
        <v>0</v>
      </c>
      <c r="F896">
        <v>0</v>
      </c>
      <c r="G896">
        <v>0</v>
      </c>
      <c r="H896">
        <v>5</v>
      </c>
      <c r="I896">
        <v>0</v>
      </c>
      <c r="J896">
        <v>0</v>
      </c>
      <c r="K896">
        <v>0</v>
      </c>
    </row>
    <row r="897" spans="1:11">
      <c r="A897" t="s">
        <v>1912</v>
      </c>
      <c r="B897">
        <v>5</v>
      </c>
      <c r="C897">
        <v>0</v>
      </c>
      <c r="D897">
        <v>0</v>
      </c>
      <c r="E897">
        <v>0</v>
      </c>
      <c r="F897">
        <v>0</v>
      </c>
      <c r="G897">
        <v>0</v>
      </c>
      <c r="H897">
        <v>5</v>
      </c>
      <c r="I897">
        <v>0</v>
      </c>
      <c r="J897">
        <v>0</v>
      </c>
      <c r="K897">
        <v>0</v>
      </c>
    </row>
    <row r="898" spans="1:11">
      <c r="A898" t="s">
        <v>1913</v>
      </c>
      <c r="B898">
        <v>2</v>
      </c>
      <c r="C898">
        <v>0</v>
      </c>
      <c r="D898">
        <v>0</v>
      </c>
      <c r="E898">
        <v>0</v>
      </c>
      <c r="F898">
        <v>0</v>
      </c>
      <c r="G898">
        <v>0</v>
      </c>
      <c r="H898">
        <v>2</v>
      </c>
      <c r="I898">
        <v>0</v>
      </c>
      <c r="J898">
        <v>0</v>
      </c>
      <c r="K898">
        <v>0</v>
      </c>
    </row>
    <row r="899" spans="1:11">
      <c r="A899" t="s">
        <v>1914</v>
      </c>
      <c r="B899">
        <v>3</v>
      </c>
      <c r="C899">
        <v>0</v>
      </c>
      <c r="D899">
        <v>0</v>
      </c>
      <c r="E899">
        <v>0</v>
      </c>
      <c r="F899">
        <v>0</v>
      </c>
      <c r="G899">
        <v>0</v>
      </c>
      <c r="H899">
        <v>3</v>
      </c>
      <c r="I899">
        <v>0</v>
      </c>
      <c r="J899">
        <v>0</v>
      </c>
      <c r="K899">
        <v>0</v>
      </c>
    </row>
    <row r="900" spans="1:11">
      <c r="A900" t="s">
        <v>1915</v>
      </c>
      <c r="B900">
        <v>9</v>
      </c>
      <c r="C900">
        <v>0</v>
      </c>
      <c r="D900">
        <v>0</v>
      </c>
      <c r="E900">
        <v>0</v>
      </c>
      <c r="F900">
        <v>0</v>
      </c>
      <c r="G900">
        <v>0</v>
      </c>
      <c r="H900">
        <v>9</v>
      </c>
      <c r="I900">
        <v>0</v>
      </c>
      <c r="J900">
        <v>0</v>
      </c>
      <c r="K900">
        <v>0</v>
      </c>
    </row>
    <row r="901" spans="1:11">
      <c r="A901" t="s">
        <v>1916</v>
      </c>
      <c r="B901">
        <v>8</v>
      </c>
      <c r="C901">
        <v>0</v>
      </c>
      <c r="D901">
        <v>0</v>
      </c>
      <c r="E901">
        <v>0</v>
      </c>
      <c r="F901">
        <v>0</v>
      </c>
      <c r="G901">
        <v>0</v>
      </c>
      <c r="H901">
        <v>8</v>
      </c>
      <c r="I901">
        <v>0</v>
      </c>
      <c r="J901">
        <v>0</v>
      </c>
      <c r="K901">
        <v>0</v>
      </c>
    </row>
    <row r="902" spans="1:11">
      <c r="A902" t="s">
        <v>1917</v>
      </c>
      <c r="B902">
        <v>3</v>
      </c>
      <c r="C902">
        <v>0</v>
      </c>
      <c r="D902">
        <v>0</v>
      </c>
      <c r="E902">
        <v>0</v>
      </c>
      <c r="F902">
        <v>0</v>
      </c>
      <c r="G902">
        <v>0</v>
      </c>
      <c r="H902">
        <v>3</v>
      </c>
      <c r="I902">
        <v>0</v>
      </c>
      <c r="J902">
        <v>0</v>
      </c>
      <c r="K902">
        <v>0</v>
      </c>
    </row>
    <row r="903" spans="1:11">
      <c r="A903" t="s">
        <v>1918</v>
      </c>
      <c r="B903">
        <v>3</v>
      </c>
      <c r="C903">
        <v>0</v>
      </c>
      <c r="D903">
        <v>0</v>
      </c>
      <c r="E903">
        <v>0</v>
      </c>
      <c r="F903">
        <v>0</v>
      </c>
      <c r="G903">
        <v>0</v>
      </c>
      <c r="H903">
        <v>3</v>
      </c>
      <c r="I903">
        <v>0</v>
      </c>
      <c r="J903">
        <v>0</v>
      </c>
      <c r="K903">
        <v>0</v>
      </c>
    </row>
    <row r="904" spans="1:11">
      <c r="A904" t="s">
        <v>1919</v>
      </c>
      <c r="B904">
        <v>2</v>
      </c>
      <c r="C904">
        <v>0</v>
      </c>
      <c r="D904">
        <v>0</v>
      </c>
      <c r="E904">
        <v>0</v>
      </c>
      <c r="F904">
        <v>0</v>
      </c>
      <c r="G904">
        <v>0</v>
      </c>
      <c r="H904">
        <v>2</v>
      </c>
      <c r="I904">
        <v>0</v>
      </c>
      <c r="J904">
        <v>0</v>
      </c>
      <c r="K904">
        <v>0</v>
      </c>
    </row>
    <row r="905" spans="1:11">
      <c r="A905" t="s">
        <v>1920</v>
      </c>
      <c r="B905">
        <v>2</v>
      </c>
      <c r="C905">
        <v>0</v>
      </c>
      <c r="D905">
        <v>0</v>
      </c>
      <c r="E905">
        <v>0</v>
      </c>
      <c r="F905">
        <v>0</v>
      </c>
      <c r="G905">
        <v>0</v>
      </c>
      <c r="H905">
        <v>2</v>
      </c>
      <c r="I905">
        <v>0</v>
      </c>
      <c r="J905">
        <v>0</v>
      </c>
      <c r="K905">
        <v>0</v>
      </c>
    </row>
    <row r="906" spans="1:11">
      <c r="A906" t="s">
        <v>1921</v>
      </c>
      <c r="B906">
        <v>10</v>
      </c>
      <c r="C906">
        <v>0</v>
      </c>
      <c r="D906">
        <v>0</v>
      </c>
      <c r="E906">
        <v>0</v>
      </c>
      <c r="F906">
        <v>0</v>
      </c>
      <c r="G906">
        <v>0</v>
      </c>
      <c r="H906">
        <v>10</v>
      </c>
      <c r="I906">
        <v>0</v>
      </c>
      <c r="J906">
        <v>0</v>
      </c>
      <c r="K906">
        <v>0</v>
      </c>
    </row>
    <row r="907" spans="1:11">
      <c r="A907" t="s">
        <v>1922</v>
      </c>
      <c r="B907">
        <v>10</v>
      </c>
      <c r="C907">
        <v>0</v>
      </c>
      <c r="D907">
        <v>0</v>
      </c>
      <c r="E907">
        <v>0</v>
      </c>
      <c r="F907">
        <v>0</v>
      </c>
      <c r="G907">
        <v>0</v>
      </c>
      <c r="H907">
        <v>10</v>
      </c>
      <c r="I907">
        <v>0</v>
      </c>
      <c r="J907">
        <v>0</v>
      </c>
      <c r="K907">
        <v>0</v>
      </c>
    </row>
    <row r="908" spans="1:11">
      <c r="A908" t="s">
        <v>1134</v>
      </c>
      <c r="B908">
        <v>99</v>
      </c>
      <c r="C908">
        <v>62</v>
      </c>
      <c r="D908">
        <v>11</v>
      </c>
      <c r="E908">
        <v>0</v>
      </c>
      <c r="F908">
        <v>11</v>
      </c>
      <c r="G908">
        <v>0</v>
      </c>
      <c r="H908">
        <v>10</v>
      </c>
      <c r="I908">
        <v>5</v>
      </c>
      <c r="J908">
        <v>0</v>
      </c>
      <c r="K908">
        <v>0</v>
      </c>
    </row>
    <row r="909" spans="1:11">
      <c r="A909" t="s">
        <v>1137</v>
      </c>
      <c r="B909">
        <v>183</v>
      </c>
      <c r="C909">
        <v>113</v>
      </c>
      <c r="D909">
        <v>20</v>
      </c>
      <c r="E909">
        <v>0</v>
      </c>
      <c r="F909">
        <v>20</v>
      </c>
      <c r="G909">
        <v>0</v>
      </c>
      <c r="H909">
        <v>20</v>
      </c>
      <c r="I909">
        <v>10</v>
      </c>
      <c r="J909">
        <v>0</v>
      </c>
      <c r="K909">
        <v>0</v>
      </c>
    </row>
    <row r="910" spans="1:11">
      <c r="A910" t="s">
        <v>1139</v>
      </c>
      <c r="B910">
        <v>85</v>
      </c>
      <c r="C910">
        <v>53</v>
      </c>
      <c r="D910">
        <v>9</v>
      </c>
      <c r="E910">
        <v>0</v>
      </c>
      <c r="F910">
        <v>9</v>
      </c>
      <c r="G910">
        <v>0</v>
      </c>
      <c r="H910">
        <v>9</v>
      </c>
      <c r="I910">
        <v>5</v>
      </c>
      <c r="J910">
        <v>0</v>
      </c>
      <c r="K910">
        <v>0</v>
      </c>
    </row>
    <row r="911" spans="1:11">
      <c r="A911" t="s">
        <v>1141</v>
      </c>
      <c r="B911">
        <v>326</v>
      </c>
      <c r="C911">
        <v>206</v>
      </c>
      <c r="D911">
        <v>40</v>
      </c>
      <c r="E911">
        <v>0</v>
      </c>
      <c r="F911">
        <v>40</v>
      </c>
      <c r="G911">
        <v>0</v>
      </c>
      <c r="H911">
        <v>40</v>
      </c>
      <c r="I911">
        <v>0</v>
      </c>
      <c r="J911">
        <v>0</v>
      </c>
      <c r="K911">
        <v>0</v>
      </c>
    </row>
    <row r="912" spans="1:11">
      <c r="A912" t="s">
        <v>1143</v>
      </c>
      <c r="B912">
        <v>55</v>
      </c>
      <c r="C912">
        <v>35</v>
      </c>
      <c r="D912">
        <v>6</v>
      </c>
      <c r="E912">
        <v>0</v>
      </c>
      <c r="F912">
        <v>6</v>
      </c>
      <c r="G912">
        <v>0</v>
      </c>
      <c r="H912">
        <v>5</v>
      </c>
      <c r="I912">
        <v>3</v>
      </c>
      <c r="J912">
        <v>0</v>
      </c>
      <c r="K912">
        <v>0</v>
      </c>
    </row>
    <row r="913" spans="1:11">
      <c r="A913" t="s">
        <v>1145</v>
      </c>
      <c r="B913">
        <v>95</v>
      </c>
      <c r="C913">
        <v>60</v>
      </c>
      <c r="D913">
        <v>10</v>
      </c>
      <c r="E913">
        <v>0</v>
      </c>
      <c r="F913">
        <v>10</v>
      </c>
      <c r="G913">
        <v>0</v>
      </c>
      <c r="H913">
        <v>10</v>
      </c>
      <c r="I913">
        <v>5</v>
      </c>
      <c r="J913">
        <v>0</v>
      </c>
      <c r="K913">
        <v>0</v>
      </c>
    </row>
    <row r="914" spans="1:11">
      <c r="A914" t="s">
        <v>1147</v>
      </c>
      <c r="B914">
        <v>66</v>
      </c>
      <c r="C914">
        <v>41</v>
      </c>
      <c r="D914">
        <v>7</v>
      </c>
      <c r="E914">
        <v>0</v>
      </c>
      <c r="F914">
        <v>7</v>
      </c>
      <c r="G914">
        <v>0</v>
      </c>
      <c r="H914">
        <v>7</v>
      </c>
      <c r="I914">
        <v>4</v>
      </c>
      <c r="J914">
        <v>0</v>
      </c>
      <c r="K914">
        <v>0</v>
      </c>
    </row>
    <row r="915" spans="1:11">
      <c r="A915" t="s">
        <v>1149</v>
      </c>
      <c r="B915">
        <v>68</v>
      </c>
      <c r="C915">
        <v>42</v>
      </c>
      <c r="D915">
        <v>8</v>
      </c>
      <c r="E915">
        <v>0</v>
      </c>
      <c r="F915">
        <v>8</v>
      </c>
      <c r="G915">
        <v>0</v>
      </c>
      <c r="H915">
        <v>7</v>
      </c>
      <c r="I915">
        <v>3</v>
      </c>
      <c r="J915">
        <v>0</v>
      </c>
      <c r="K915">
        <v>0</v>
      </c>
    </row>
    <row r="916" spans="1:11">
      <c r="A916" t="s">
        <v>1151</v>
      </c>
      <c r="B916">
        <v>1167</v>
      </c>
      <c r="C916">
        <v>722</v>
      </c>
      <c r="D916">
        <v>126</v>
      </c>
      <c r="E916">
        <v>0</v>
      </c>
      <c r="F916">
        <v>126</v>
      </c>
      <c r="G916">
        <v>0</v>
      </c>
      <c r="H916">
        <v>126</v>
      </c>
      <c r="I916">
        <v>67</v>
      </c>
      <c r="J916">
        <v>0</v>
      </c>
      <c r="K916">
        <v>0</v>
      </c>
    </row>
    <row r="917" spans="1:11">
      <c r="A917" t="s">
        <v>1153</v>
      </c>
      <c r="B917">
        <v>238</v>
      </c>
      <c r="C917">
        <v>147</v>
      </c>
      <c r="D917">
        <v>26</v>
      </c>
      <c r="E917">
        <v>0</v>
      </c>
      <c r="F917">
        <v>26</v>
      </c>
      <c r="G917">
        <v>0</v>
      </c>
      <c r="H917">
        <v>26</v>
      </c>
      <c r="I917">
        <v>13</v>
      </c>
      <c r="J917">
        <v>0</v>
      </c>
      <c r="K917">
        <v>0</v>
      </c>
    </row>
    <row r="918" spans="1:11">
      <c r="A918" t="s">
        <v>1155</v>
      </c>
      <c r="B918">
        <v>8</v>
      </c>
      <c r="C918">
        <v>5</v>
      </c>
      <c r="D918">
        <v>1</v>
      </c>
      <c r="E918">
        <v>0</v>
      </c>
      <c r="F918">
        <v>1</v>
      </c>
      <c r="G918">
        <v>0</v>
      </c>
      <c r="H918">
        <v>1</v>
      </c>
      <c r="I918">
        <v>0</v>
      </c>
      <c r="J918">
        <v>0</v>
      </c>
      <c r="K918">
        <v>0</v>
      </c>
    </row>
    <row r="919" spans="1:11">
      <c r="A919" t="s">
        <v>1157</v>
      </c>
      <c r="B919">
        <v>369</v>
      </c>
      <c r="C919">
        <v>228</v>
      </c>
      <c r="D919">
        <v>40</v>
      </c>
      <c r="E919">
        <v>0</v>
      </c>
      <c r="F919">
        <v>40</v>
      </c>
      <c r="G919">
        <v>0</v>
      </c>
      <c r="H919">
        <v>40</v>
      </c>
      <c r="I919">
        <v>21</v>
      </c>
      <c r="J919">
        <v>0</v>
      </c>
      <c r="K919">
        <v>0</v>
      </c>
    </row>
    <row r="920" spans="1:11">
      <c r="A920" t="s">
        <v>1159</v>
      </c>
      <c r="B920">
        <v>60</v>
      </c>
      <c r="C920">
        <v>38</v>
      </c>
      <c r="D920">
        <v>7</v>
      </c>
      <c r="E920">
        <v>0</v>
      </c>
      <c r="F920">
        <v>6</v>
      </c>
      <c r="G920">
        <v>0</v>
      </c>
      <c r="H920">
        <v>6</v>
      </c>
      <c r="I920">
        <v>3</v>
      </c>
      <c r="J920">
        <v>0</v>
      </c>
      <c r="K920">
        <v>0</v>
      </c>
    </row>
    <row r="921" spans="1:11">
      <c r="A921" t="s">
        <v>1161</v>
      </c>
      <c r="B921">
        <v>54</v>
      </c>
      <c r="C921">
        <v>34</v>
      </c>
      <c r="D921">
        <v>6</v>
      </c>
      <c r="E921">
        <v>0</v>
      </c>
      <c r="F921">
        <v>6</v>
      </c>
      <c r="G921">
        <v>0</v>
      </c>
      <c r="H921">
        <v>5</v>
      </c>
      <c r="I921">
        <v>3</v>
      </c>
      <c r="J921">
        <v>0</v>
      </c>
      <c r="K921">
        <v>0</v>
      </c>
    </row>
    <row r="922" spans="1:11">
      <c r="A922" t="s">
        <v>1163</v>
      </c>
      <c r="B922">
        <v>36</v>
      </c>
      <c r="C922">
        <v>22</v>
      </c>
      <c r="D922">
        <v>4</v>
      </c>
      <c r="E922">
        <v>0</v>
      </c>
      <c r="F922">
        <v>4</v>
      </c>
      <c r="G922">
        <v>0</v>
      </c>
      <c r="H922">
        <v>4</v>
      </c>
      <c r="I922">
        <v>2</v>
      </c>
      <c r="J922">
        <v>0</v>
      </c>
      <c r="K922">
        <v>0</v>
      </c>
    </row>
    <row r="923" spans="1:11">
      <c r="A923" t="s">
        <v>1165</v>
      </c>
      <c r="B923">
        <v>176</v>
      </c>
      <c r="C923">
        <v>109</v>
      </c>
      <c r="D923">
        <v>19</v>
      </c>
      <c r="E923">
        <v>0</v>
      </c>
      <c r="F923">
        <v>19</v>
      </c>
      <c r="G923">
        <v>0</v>
      </c>
      <c r="H923">
        <v>19</v>
      </c>
      <c r="I923">
        <v>10</v>
      </c>
      <c r="J923">
        <v>0</v>
      </c>
      <c r="K923">
        <v>0</v>
      </c>
    </row>
    <row r="924" spans="1:11">
      <c r="A924" t="s">
        <v>1167</v>
      </c>
      <c r="B924">
        <v>0</v>
      </c>
      <c r="C924">
        <v>0</v>
      </c>
      <c r="D924">
        <v>0</v>
      </c>
      <c r="E924">
        <v>0</v>
      </c>
      <c r="F924">
        <v>0</v>
      </c>
      <c r="G924">
        <v>0</v>
      </c>
      <c r="H924">
        <v>0</v>
      </c>
      <c r="I924">
        <v>0</v>
      </c>
      <c r="J924">
        <v>0</v>
      </c>
      <c r="K924">
        <v>0</v>
      </c>
    </row>
    <row r="925" spans="1:11">
      <c r="A925" t="s">
        <v>1169</v>
      </c>
      <c r="B925">
        <v>85</v>
      </c>
      <c r="C925">
        <v>53</v>
      </c>
      <c r="D925">
        <v>9</v>
      </c>
      <c r="E925">
        <v>0</v>
      </c>
      <c r="F925">
        <v>9</v>
      </c>
      <c r="G925">
        <v>0</v>
      </c>
      <c r="H925">
        <v>9</v>
      </c>
      <c r="I925">
        <v>5</v>
      </c>
      <c r="J925">
        <v>0</v>
      </c>
      <c r="K925">
        <v>0</v>
      </c>
    </row>
    <row r="926" spans="1:11">
      <c r="A926" t="s">
        <v>1171</v>
      </c>
      <c r="B926">
        <v>95</v>
      </c>
      <c r="C926">
        <v>60</v>
      </c>
      <c r="D926">
        <v>10</v>
      </c>
      <c r="E926">
        <v>0</v>
      </c>
      <c r="F926">
        <v>10</v>
      </c>
      <c r="G926">
        <v>0</v>
      </c>
      <c r="H926">
        <v>10</v>
      </c>
      <c r="I926">
        <v>5</v>
      </c>
      <c r="J926">
        <v>0</v>
      </c>
      <c r="K926">
        <v>0</v>
      </c>
    </row>
    <row r="927" spans="1:11">
      <c r="A927" t="s">
        <v>1173</v>
      </c>
      <c r="B927">
        <v>195</v>
      </c>
      <c r="C927">
        <v>121</v>
      </c>
      <c r="D927">
        <v>21</v>
      </c>
      <c r="E927">
        <v>0</v>
      </c>
      <c r="F927">
        <v>21</v>
      </c>
      <c r="G927">
        <v>0</v>
      </c>
      <c r="H927">
        <v>21</v>
      </c>
      <c r="I927">
        <v>11</v>
      </c>
      <c r="J927">
        <v>0</v>
      </c>
      <c r="K927">
        <v>0</v>
      </c>
    </row>
    <row r="928" spans="1:11">
      <c r="A928" t="s">
        <v>1175</v>
      </c>
      <c r="B928">
        <v>218</v>
      </c>
      <c r="C928">
        <v>135</v>
      </c>
      <c r="D928">
        <v>24</v>
      </c>
      <c r="E928">
        <v>0</v>
      </c>
      <c r="F928">
        <v>24</v>
      </c>
      <c r="G928">
        <v>0</v>
      </c>
      <c r="H928">
        <v>23</v>
      </c>
      <c r="I928">
        <v>12</v>
      </c>
      <c r="J928">
        <v>0</v>
      </c>
      <c r="K928">
        <v>0</v>
      </c>
    </row>
    <row r="929" spans="1:11">
      <c r="A929" t="s">
        <v>1177</v>
      </c>
      <c r="B929">
        <v>363</v>
      </c>
      <c r="C929">
        <v>225</v>
      </c>
      <c r="D929">
        <v>39</v>
      </c>
      <c r="E929">
        <v>0</v>
      </c>
      <c r="F929">
        <v>39</v>
      </c>
      <c r="G929">
        <v>0</v>
      </c>
      <c r="H929">
        <v>39</v>
      </c>
      <c r="I929">
        <v>21</v>
      </c>
      <c r="J929">
        <v>0</v>
      </c>
      <c r="K929">
        <v>0</v>
      </c>
    </row>
    <row r="930" spans="1:11">
      <c r="A930" t="s">
        <v>1179</v>
      </c>
      <c r="B930">
        <v>486</v>
      </c>
      <c r="C930">
        <v>308</v>
      </c>
      <c r="D930">
        <v>60</v>
      </c>
      <c r="E930">
        <v>0</v>
      </c>
      <c r="F930">
        <v>59</v>
      </c>
      <c r="G930">
        <v>0</v>
      </c>
      <c r="H930">
        <v>59</v>
      </c>
      <c r="I930">
        <v>0</v>
      </c>
      <c r="J930">
        <v>0</v>
      </c>
      <c r="K930">
        <v>0</v>
      </c>
    </row>
    <row r="931" spans="1:11">
      <c r="A931" t="s">
        <v>1181</v>
      </c>
      <c r="B931">
        <v>101</v>
      </c>
      <c r="C931">
        <v>64</v>
      </c>
      <c r="D931">
        <v>13</v>
      </c>
      <c r="E931">
        <v>0</v>
      </c>
      <c r="F931">
        <v>12</v>
      </c>
      <c r="G931">
        <v>0</v>
      </c>
      <c r="H931">
        <v>12</v>
      </c>
      <c r="I931">
        <v>0</v>
      </c>
      <c r="J931">
        <v>0</v>
      </c>
      <c r="K931">
        <v>0</v>
      </c>
    </row>
    <row r="932" spans="1:11">
      <c r="A932" t="s">
        <v>1183</v>
      </c>
      <c r="B932">
        <v>491</v>
      </c>
      <c r="C932">
        <v>304</v>
      </c>
      <c r="D932">
        <v>53</v>
      </c>
      <c r="E932">
        <v>0</v>
      </c>
      <c r="F932">
        <v>53</v>
      </c>
      <c r="G932">
        <v>0</v>
      </c>
      <c r="H932">
        <v>53</v>
      </c>
      <c r="I932">
        <v>28</v>
      </c>
      <c r="J932">
        <v>0</v>
      </c>
      <c r="K932">
        <v>0</v>
      </c>
    </row>
    <row r="933" spans="1:11">
      <c r="A933" t="s">
        <v>1185</v>
      </c>
      <c r="B933">
        <v>1065</v>
      </c>
      <c r="C933">
        <v>659</v>
      </c>
      <c r="D933">
        <v>115</v>
      </c>
      <c r="E933">
        <v>0</v>
      </c>
      <c r="F933">
        <v>115</v>
      </c>
      <c r="G933">
        <v>0</v>
      </c>
      <c r="H933">
        <v>115</v>
      </c>
      <c r="I933">
        <v>61</v>
      </c>
      <c r="J933">
        <v>0</v>
      </c>
      <c r="K933">
        <v>0</v>
      </c>
    </row>
    <row r="934" spans="1:11">
      <c r="A934" t="s">
        <v>1187</v>
      </c>
      <c r="B934">
        <v>251</v>
      </c>
      <c r="C934">
        <v>155</v>
      </c>
      <c r="D934">
        <v>27</v>
      </c>
      <c r="E934">
        <v>0</v>
      </c>
      <c r="F934">
        <v>27</v>
      </c>
      <c r="G934">
        <v>0</v>
      </c>
      <c r="H934">
        <v>27</v>
      </c>
      <c r="I934">
        <v>15</v>
      </c>
      <c r="J934">
        <v>0</v>
      </c>
      <c r="K934">
        <v>0</v>
      </c>
    </row>
    <row r="935" spans="1:11">
      <c r="A935" t="s">
        <v>1189</v>
      </c>
      <c r="B935">
        <v>70</v>
      </c>
      <c r="C935">
        <v>45</v>
      </c>
      <c r="D935">
        <v>9</v>
      </c>
      <c r="E935">
        <v>0</v>
      </c>
      <c r="F935">
        <v>8</v>
      </c>
      <c r="G935">
        <v>0</v>
      </c>
      <c r="H935">
        <v>8</v>
      </c>
      <c r="I935">
        <v>0</v>
      </c>
      <c r="J935">
        <v>0</v>
      </c>
      <c r="K935">
        <v>0</v>
      </c>
    </row>
    <row r="936" spans="1:11">
      <c r="A936" t="s">
        <v>1191</v>
      </c>
      <c r="B936">
        <v>205</v>
      </c>
      <c r="C936">
        <v>130</v>
      </c>
      <c r="D936">
        <v>25</v>
      </c>
      <c r="E936">
        <v>0</v>
      </c>
      <c r="F936">
        <v>25</v>
      </c>
      <c r="G936">
        <v>0</v>
      </c>
      <c r="H936">
        <v>25</v>
      </c>
      <c r="I936">
        <v>0</v>
      </c>
      <c r="J936">
        <v>0</v>
      </c>
      <c r="K936">
        <v>0</v>
      </c>
    </row>
    <row r="937" spans="1:11">
      <c r="A937" t="s">
        <v>1193</v>
      </c>
      <c r="B937">
        <v>109</v>
      </c>
      <c r="C937">
        <v>68</v>
      </c>
      <c r="D937">
        <v>12</v>
      </c>
      <c r="E937">
        <v>0</v>
      </c>
      <c r="F937">
        <v>12</v>
      </c>
      <c r="G937">
        <v>0</v>
      </c>
      <c r="H937">
        <v>11</v>
      </c>
      <c r="I937">
        <v>6</v>
      </c>
      <c r="J937">
        <v>0</v>
      </c>
      <c r="K937">
        <v>0</v>
      </c>
    </row>
    <row r="938" spans="1:11">
      <c r="A938" t="s">
        <v>1195</v>
      </c>
      <c r="B938">
        <v>96</v>
      </c>
      <c r="C938">
        <v>60</v>
      </c>
      <c r="D938">
        <v>11</v>
      </c>
      <c r="E938">
        <v>0</v>
      </c>
      <c r="F938">
        <v>10</v>
      </c>
      <c r="G938">
        <v>0</v>
      </c>
      <c r="H938">
        <v>10</v>
      </c>
      <c r="I938">
        <v>5</v>
      </c>
      <c r="J938">
        <v>0</v>
      </c>
      <c r="K938">
        <v>0</v>
      </c>
    </row>
    <row r="939" spans="1:11">
      <c r="A939" t="s">
        <v>1197</v>
      </c>
      <c r="B939">
        <v>0</v>
      </c>
      <c r="C939">
        <v>0</v>
      </c>
      <c r="D939">
        <v>0</v>
      </c>
      <c r="E939">
        <v>0</v>
      </c>
      <c r="F939">
        <v>0</v>
      </c>
      <c r="G939">
        <v>0</v>
      </c>
      <c r="H939">
        <v>0</v>
      </c>
      <c r="I939">
        <v>0</v>
      </c>
      <c r="J939">
        <v>0</v>
      </c>
      <c r="K939">
        <v>0</v>
      </c>
    </row>
    <row r="940" spans="1:11">
      <c r="A940" t="s">
        <v>1265</v>
      </c>
      <c r="B940">
        <v>0</v>
      </c>
      <c r="C940">
        <v>0</v>
      </c>
      <c r="D940">
        <v>0</v>
      </c>
      <c r="E940">
        <v>0</v>
      </c>
      <c r="F940">
        <v>0</v>
      </c>
      <c r="G940">
        <v>0</v>
      </c>
      <c r="H940">
        <v>0</v>
      </c>
      <c r="I940">
        <v>0</v>
      </c>
      <c r="J940">
        <v>0</v>
      </c>
      <c r="K940">
        <v>0</v>
      </c>
    </row>
    <row r="941" spans="1:11">
      <c r="A941" t="s">
        <v>1266</v>
      </c>
      <c r="B941">
        <v>83</v>
      </c>
      <c r="C941">
        <v>54</v>
      </c>
      <c r="D941">
        <v>0</v>
      </c>
      <c r="E941">
        <v>0</v>
      </c>
      <c r="F941">
        <v>11</v>
      </c>
      <c r="G941">
        <v>0</v>
      </c>
      <c r="H941">
        <v>11</v>
      </c>
      <c r="I941">
        <v>7</v>
      </c>
      <c r="J941">
        <v>0</v>
      </c>
      <c r="K941">
        <v>0</v>
      </c>
    </row>
    <row r="942" spans="1:11">
      <c r="A942" t="s">
        <v>1267</v>
      </c>
      <c r="B942">
        <v>136</v>
      </c>
      <c r="C942">
        <v>88</v>
      </c>
      <c r="D942">
        <v>0</v>
      </c>
      <c r="E942">
        <v>0</v>
      </c>
      <c r="F942">
        <v>19</v>
      </c>
      <c r="G942">
        <v>0</v>
      </c>
      <c r="H942">
        <v>18</v>
      </c>
      <c r="I942">
        <v>11</v>
      </c>
      <c r="J942">
        <v>0</v>
      </c>
      <c r="K942">
        <v>0</v>
      </c>
    </row>
    <row r="943" spans="1:11">
      <c r="A943" t="s">
        <v>1268</v>
      </c>
      <c r="B943">
        <v>49</v>
      </c>
      <c r="C943">
        <v>32</v>
      </c>
      <c r="D943">
        <v>0</v>
      </c>
      <c r="E943">
        <v>0</v>
      </c>
      <c r="F943">
        <v>7</v>
      </c>
      <c r="G943">
        <v>0</v>
      </c>
      <c r="H943">
        <v>7</v>
      </c>
      <c r="I943">
        <v>3</v>
      </c>
      <c r="J943">
        <v>0</v>
      </c>
      <c r="K943">
        <v>0</v>
      </c>
    </row>
    <row r="944" spans="1:11">
      <c r="A944" t="s">
        <v>1269</v>
      </c>
      <c r="B944">
        <v>177</v>
      </c>
      <c r="C944">
        <v>115</v>
      </c>
      <c r="D944">
        <v>0</v>
      </c>
      <c r="E944">
        <v>0</v>
      </c>
      <c r="F944">
        <v>24</v>
      </c>
      <c r="G944">
        <v>0</v>
      </c>
      <c r="H944">
        <v>23</v>
      </c>
      <c r="I944">
        <v>15</v>
      </c>
      <c r="J944">
        <v>0</v>
      </c>
      <c r="K944">
        <v>0</v>
      </c>
    </row>
    <row r="945" spans="1:11">
      <c r="A945" t="s">
        <v>1270</v>
      </c>
      <c r="B945">
        <v>10</v>
      </c>
      <c r="C945">
        <v>7</v>
      </c>
      <c r="D945">
        <v>0</v>
      </c>
      <c r="E945">
        <v>0</v>
      </c>
      <c r="F945">
        <v>1</v>
      </c>
      <c r="G945">
        <v>0</v>
      </c>
      <c r="H945">
        <v>1</v>
      </c>
      <c r="I945">
        <v>1</v>
      </c>
      <c r="J945">
        <v>0</v>
      </c>
      <c r="K945">
        <v>0</v>
      </c>
    </row>
    <row r="946" spans="1:11">
      <c r="A946" t="s">
        <v>1271</v>
      </c>
      <c r="B946">
        <v>18</v>
      </c>
      <c r="C946">
        <v>12</v>
      </c>
      <c r="D946">
        <v>0</v>
      </c>
      <c r="E946">
        <v>0</v>
      </c>
      <c r="F946">
        <v>3</v>
      </c>
      <c r="G946">
        <v>0</v>
      </c>
      <c r="H946">
        <v>3</v>
      </c>
      <c r="I946">
        <v>0</v>
      </c>
      <c r="J946">
        <v>0</v>
      </c>
      <c r="K946">
        <v>0</v>
      </c>
    </row>
    <row r="947" spans="1:11">
      <c r="A947" t="s">
        <v>1272</v>
      </c>
      <c r="B947">
        <v>427</v>
      </c>
      <c r="C947">
        <v>288</v>
      </c>
      <c r="D947">
        <v>0</v>
      </c>
      <c r="E947">
        <v>0</v>
      </c>
      <c r="F947">
        <v>70</v>
      </c>
      <c r="G947">
        <v>0</v>
      </c>
      <c r="H947">
        <v>69</v>
      </c>
      <c r="I947">
        <v>0</v>
      </c>
      <c r="J947">
        <v>0</v>
      </c>
      <c r="K947">
        <v>0</v>
      </c>
    </row>
    <row r="948" spans="1:11">
      <c r="A948" t="s">
        <v>1273</v>
      </c>
      <c r="B948">
        <v>0</v>
      </c>
      <c r="C948">
        <v>0</v>
      </c>
      <c r="D948">
        <v>0</v>
      </c>
      <c r="E948">
        <v>0</v>
      </c>
      <c r="F948">
        <v>0</v>
      </c>
      <c r="G948">
        <v>0</v>
      </c>
      <c r="H948">
        <v>0</v>
      </c>
      <c r="I948">
        <v>0</v>
      </c>
      <c r="J948">
        <v>0</v>
      </c>
      <c r="K948">
        <v>0</v>
      </c>
    </row>
    <row r="949" spans="1:11">
      <c r="A949" t="s">
        <v>1704</v>
      </c>
      <c r="B949">
        <v>13</v>
      </c>
      <c r="C949">
        <v>0</v>
      </c>
      <c r="D949">
        <v>0</v>
      </c>
      <c r="E949">
        <v>0</v>
      </c>
      <c r="F949">
        <v>0</v>
      </c>
      <c r="G949">
        <v>0</v>
      </c>
      <c r="H949">
        <v>0</v>
      </c>
      <c r="I949">
        <v>0</v>
      </c>
      <c r="J949">
        <v>0</v>
      </c>
      <c r="K949">
        <v>0</v>
      </c>
    </row>
    <row r="950" spans="1:11">
      <c r="A950" t="s">
        <v>1757</v>
      </c>
      <c r="B950">
        <v>5</v>
      </c>
      <c r="C950">
        <v>0</v>
      </c>
      <c r="D950">
        <v>0</v>
      </c>
      <c r="E950">
        <v>0</v>
      </c>
      <c r="F950">
        <v>0</v>
      </c>
      <c r="G950">
        <v>0</v>
      </c>
      <c r="H950">
        <v>0</v>
      </c>
      <c r="I950">
        <v>0</v>
      </c>
      <c r="J950">
        <v>0</v>
      </c>
      <c r="K950">
        <v>0</v>
      </c>
    </row>
    <row r="951" spans="1:11">
      <c r="A951" t="s">
        <v>1839</v>
      </c>
      <c r="B951">
        <v>7</v>
      </c>
      <c r="C951">
        <v>0</v>
      </c>
      <c r="D951">
        <v>0</v>
      </c>
      <c r="E951">
        <v>0</v>
      </c>
      <c r="F951">
        <v>0</v>
      </c>
      <c r="G951">
        <v>0</v>
      </c>
      <c r="H951">
        <v>0</v>
      </c>
      <c r="I951">
        <v>0</v>
      </c>
      <c r="J951">
        <v>0</v>
      </c>
      <c r="K951">
        <v>0</v>
      </c>
    </row>
    <row r="952" spans="1:11">
      <c r="A952" t="s">
        <v>1711</v>
      </c>
      <c r="B952">
        <v>5</v>
      </c>
      <c r="C952">
        <v>0</v>
      </c>
      <c r="D952">
        <v>0</v>
      </c>
      <c r="E952">
        <v>0</v>
      </c>
      <c r="F952">
        <v>0</v>
      </c>
      <c r="G952">
        <v>0</v>
      </c>
      <c r="H952">
        <v>0</v>
      </c>
      <c r="I952">
        <v>0</v>
      </c>
      <c r="J952">
        <v>0</v>
      </c>
      <c r="K952">
        <v>0</v>
      </c>
    </row>
    <row r="953" spans="1:11">
      <c r="A953" t="s">
        <v>1821</v>
      </c>
      <c r="B953">
        <v>5</v>
      </c>
      <c r="C953">
        <v>0</v>
      </c>
      <c r="D953">
        <v>0</v>
      </c>
      <c r="E953">
        <v>0</v>
      </c>
      <c r="F953">
        <v>0</v>
      </c>
      <c r="G953">
        <v>0</v>
      </c>
      <c r="H953">
        <v>0</v>
      </c>
      <c r="I953">
        <v>0</v>
      </c>
      <c r="J953">
        <v>0</v>
      </c>
      <c r="K953">
        <v>0</v>
      </c>
    </row>
    <row r="954" spans="1:11">
      <c r="A954" t="s">
        <v>1706</v>
      </c>
      <c r="B954">
        <v>1</v>
      </c>
      <c r="C954">
        <v>0</v>
      </c>
      <c r="D954">
        <v>0</v>
      </c>
      <c r="E954">
        <v>0</v>
      </c>
      <c r="F954">
        <v>0</v>
      </c>
      <c r="G954">
        <v>0</v>
      </c>
      <c r="H954">
        <v>0</v>
      </c>
      <c r="I954">
        <v>0</v>
      </c>
      <c r="J954">
        <v>0</v>
      </c>
      <c r="K954">
        <v>0</v>
      </c>
    </row>
    <row r="955" spans="1:11">
      <c r="A955" t="s">
        <v>1709</v>
      </c>
      <c r="B955">
        <v>0</v>
      </c>
      <c r="C955">
        <v>0</v>
      </c>
      <c r="D955">
        <v>0</v>
      </c>
      <c r="E955">
        <v>0</v>
      </c>
      <c r="F955">
        <v>0</v>
      </c>
      <c r="G955">
        <v>0</v>
      </c>
      <c r="H955">
        <v>0</v>
      </c>
      <c r="I955">
        <v>0</v>
      </c>
      <c r="J955">
        <v>0</v>
      </c>
      <c r="K955">
        <v>0</v>
      </c>
    </row>
    <row r="956" spans="1:11">
      <c r="A956" t="s">
        <v>1723</v>
      </c>
      <c r="B956">
        <v>0</v>
      </c>
      <c r="C956">
        <v>0</v>
      </c>
      <c r="D956">
        <v>0</v>
      </c>
      <c r="E956">
        <v>0</v>
      </c>
      <c r="F956">
        <v>0</v>
      </c>
      <c r="G956">
        <v>0</v>
      </c>
      <c r="H956">
        <v>0</v>
      </c>
      <c r="I956">
        <v>0</v>
      </c>
      <c r="J956">
        <v>0</v>
      </c>
      <c r="K956">
        <v>0</v>
      </c>
    </row>
    <row r="957" spans="1:11">
      <c r="A957" t="s">
        <v>1738</v>
      </c>
      <c r="B957">
        <v>12</v>
      </c>
      <c r="C957">
        <v>0</v>
      </c>
      <c r="D957">
        <v>0</v>
      </c>
      <c r="E957">
        <v>0</v>
      </c>
      <c r="F957">
        <v>0</v>
      </c>
      <c r="G957">
        <v>0</v>
      </c>
      <c r="H957">
        <v>0</v>
      </c>
      <c r="I957">
        <v>0</v>
      </c>
      <c r="J957">
        <v>0</v>
      </c>
      <c r="K957">
        <v>0</v>
      </c>
    </row>
    <row r="958" spans="1:11">
      <c r="A958" t="s">
        <v>1721</v>
      </c>
      <c r="B958">
        <v>0</v>
      </c>
      <c r="C958">
        <v>0</v>
      </c>
      <c r="D958">
        <v>0</v>
      </c>
      <c r="E958">
        <v>0</v>
      </c>
      <c r="F958">
        <v>0</v>
      </c>
      <c r="G958">
        <v>0</v>
      </c>
      <c r="H958">
        <v>0</v>
      </c>
      <c r="I958">
        <v>0</v>
      </c>
      <c r="J958">
        <v>0</v>
      </c>
      <c r="K958">
        <v>0</v>
      </c>
    </row>
    <row r="959" spans="1:11">
      <c r="A959" t="s">
        <v>1779</v>
      </c>
      <c r="B959">
        <v>5</v>
      </c>
      <c r="C959">
        <v>0</v>
      </c>
      <c r="D959">
        <v>0</v>
      </c>
      <c r="E959">
        <v>0</v>
      </c>
      <c r="F959">
        <v>0</v>
      </c>
      <c r="G959">
        <v>0</v>
      </c>
      <c r="H959">
        <v>0</v>
      </c>
      <c r="I959">
        <v>0</v>
      </c>
      <c r="J959">
        <v>0</v>
      </c>
      <c r="K959">
        <v>0</v>
      </c>
    </row>
    <row r="960" spans="1:11">
      <c r="A960" t="s">
        <v>1818</v>
      </c>
      <c r="B960">
        <v>8</v>
      </c>
      <c r="C960">
        <v>0</v>
      </c>
      <c r="D960">
        <v>0</v>
      </c>
      <c r="E960">
        <v>0</v>
      </c>
      <c r="F960">
        <v>0</v>
      </c>
      <c r="G960">
        <v>0</v>
      </c>
      <c r="H960">
        <v>0</v>
      </c>
      <c r="I960">
        <v>0</v>
      </c>
      <c r="J960">
        <v>0</v>
      </c>
      <c r="K960">
        <v>0</v>
      </c>
    </row>
    <row r="961" spans="1:11">
      <c r="A961" t="s">
        <v>1871</v>
      </c>
      <c r="B961">
        <v>5</v>
      </c>
      <c r="C961">
        <v>0</v>
      </c>
      <c r="D961">
        <v>0</v>
      </c>
      <c r="E961">
        <v>0</v>
      </c>
      <c r="F961">
        <v>0</v>
      </c>
      <c r="G961">
        <v>0</v>
      </c>
      <c r="H961">
        <v>0</v>
      </c>
      <c r="I961">
        <v>0</v>
      </c>
      <c r="J961">
        <v>0</v>
      </c>
      <c r="K961">
        <v>0</v>
      </c>
    </row>
    <row r="962" spans="1:11">
      <c r="A962" t="s">
        <v>1736</v>
      </c>
      <c r="B962">
        <v>9</v>
      </c>
      <c r="C962">
        <v>0</v>
      </c>
      <c r="D962">
        <v>0</v>
      </c>
      <c r="E962">
        <v>0</v>
      </c>
      <c r="F962">
        <v>0</v>
      </c>
      <c r="G962">
        <v>0</v>
      </c>
      <c r="H962">
        <v>0</v>
      </c>
      <c r="I962">
        <v>0</v>
      </c>
      <c r="J962">
        <v>0</v>
      </c>
      <c r="K962">
        <v>0</v>
      </c>
    </row>
    <row r="963" spans="1:11">
      <c r="A963" t="s">
        <v>1770</v>
      </c>
      <c r="B963">
        <v>0</v>
      </c>
      <c r="C963">
        <v>0</v>
      </c>
      <c r="D963">
        <v>0</v>
      </c>
      <c r="E963">
        <v>0</v>
      </c>
      <c r="F963">
        <v>0</v>
      </c>
      <c r="G963">
        <v>0</v>
      </c>
      <c r="H963">
        <v>0</v>
      </c>
      <c r="I963">
        <v>0</v>
      </c>
      <c r="J963">
        <v>0</v>
      </c>
      <c r="K963">
        <v>0</v>
      </c>
    </row>
    <row r="964" spans="1:11">
      <c r="A964" t="s">
        <v>1731</v>
      </c>
      <c r="B964">
        <v>20</v>
      </c>
      <c r="C964">
        <v>0</v>
      </c>
      <c r="D964">
        <v>0</v>
      </c>
      <c r="E964">
        <v>0</v>
      </c>
      <c r="F964">
        <v>0</v>
      </c>
      <c r="G964">
        <v>0</v>
      </c>
      <c r="H964">
        <v>0</v>
      </c>
      <c r="I964">
        <v>0</v>
      </c>
      <c r="J964">
        <v>0</v>
      </c>
      <c r="K964">
        <v>0</v>
      </c>
    </row>
    <row r="965" spans="1:11">
      <c r="A965" t="s">
        <v>1781</v>
      </c>
      <c r="B965">
        <v>0</v>
      </c>
      <c r="C965">
        <v>0</v>
      </c>
      <c r="D965">
        <v>0</v>
      </c>
      <c r="E965">
        <v>0</v>
      </c>
      <c r="F965">
        <v>0</v>
      </c>
      <c r="G965">
        <v>0</v>
      </c>
      <c r="H965">
        <v>0</v>
      </c>
      <c r="I965">
        <v>0</v>
      </c>
      <c r="J965">
        <v>0</v>
      </c>
      <c r="K965">
        <v>0</v>
      </c>
    </row>
    <row r="966" spans="1:11">
      <c r="A966" t="s">
        <v>1783</v>
      </c>
      <c r="B966">
        <v>0</v>
      </c>
      <c r="C966">
        <v>0</v>
      </c>
      <c r="D966">
        <v>0</v>
      </c>
      <c r="E966">
        <v>0</v>
      </c>
      <c r="F966">
        <v>0</v>
      </c>
      <c r="G966">
        <v>0</v>
      </c>
      <c r="H966">
        <v>0</v>
      </c>
      <c r="I966">
        <v>0</v>
      </c>
      <c r="J966">
        <v>0</v>
      </c>
      <c r="K966">
        <v>0</v>
      </c>
    </row>
    <row r="967" spans="1:11">
      <c r="A967" t="s">
        <v>1748</v>
      </c>
      <c r="B967">
        <v>10</v>
      </c>
      <c r="C967">
        <v>0</v>
      </c>
      <c r="D967">
        <v>0</v>
      </c>
      <c r="E967">
        <v>0</v>
      </c>
      <c r="F967">
        <v>0</v>
      </c>
      <c r="G967">
        <v>0</v>
      </c>
      <c r="H967">
        <v>0</v>
      </c>
      <c r="I967">
        <v>0</v>
      </c>
      <c r="J967">
        <v>0</v>
      </c>
      <c r="K967">
        <v>0</v>
      </c>
    </row>
    <row r="968" spans="1:11">
      <c r="A968" t="s">
        <v>1887</v>
      </c>
      <c r="B968">
        <v>8</v>
      </c>
      <c r="C968">
        <v>0</v>
      </c>
      <c r="D968">
        <v>0</v>
      </c>
      <c r="E968">
        <v>0</v>
      </c>
      <c r="F968">
        <v>0</v>
      </c>
      <c r="G968">
        <v>0</v>
      </c>
      <c r="H968">
        <v>0</v>
      </c>
      <c r="I968">
        <v>0</v>
      </c>
      <c r="J968">
        <v>0</v>
      </c>
      <c r="K968">
        <v>0</v>
      </c>
    </row>
    <row r="969" spans="1:11">
      <c r="A969" t="s">
        <v>1824</v>
      </c>
      <c r="B969">
        <v>5</v>
      </c>
      <c r="C969">
        <v>0</v>
      </c>
      <c r="D969">
        <v>0</v>
      </c>
      <c r="E969">
        <v>0</v>
      </c>
      <c r="F969">
        <v>0</v>
      </c>
      <c r="G969">
        <v>0</v>
      </c>
      <c r="H969">
        <v>0</v>
      </c>
      <c r="I969">
        <v>0</v>
      </c>
      <c r="J969">
        <v>0</v>
      </c>
      <c r="K969">
        <v>0</v>
      </c>
    </row>
    <row r="970" spans="1:11">
      <c r="A970" t="s">
        <v>1851</v>
      </c>
      <c r="B970">
        <v>7</v>
      </c>
      <c r="C970">
        <v>0</v>
      </c>
      <c r="D970">
        <v>0</v>
      </c>
      <c r="E970">
        <v>0</v>
      </c>
      <c r="F970">
        <v>0</v>
      </c>
      <c r="G970">
        <v>0</v>
      </c>
      <c r="H970">
        <v>0</v>
      </c>
      <c r="I970">
        <v>0</v>
      </c>
      <c r="J970">
        <v>0</v>
      </c>
      <c r="K970">
        <v>0</v>
      </c>
    </row>
    <row r="971" spans="1:11">
      <c r="A971" t="s">
        <v>1762</v>
      </c>
      <c r="B971">
        <v>18</v>
      </c>
      <c r="C971">
        <v>0</v>
      </c>
      <c r="D971">
        <v>0</v>
      </c>
      <c r="E971">
        <v>0</v>
      </c>
      <c r="F971">
        <v>0</v>
      </c>
      <c r="G971">
        <v>0</v>
      </c>
      <c r="H971">
        <v>0</v>
      </c>
      <c r="I971">
        <v>0</v>
      </c>
      <c r="J971">
        <v>0</v>
      </c>
      <c r="K971">
        <v>0</v>
      </c>
    </row>
    <row r="972" spans="1:11">
      <c r="A972" t="s">
        <v>1773</v>
      </c>
      <c r="B972">
        <v>7</v>
      </c>
      <c r="C972">
        <v>0</v>
      </c>
      <c r="D972">
        <v>0</v>
      </c>
      <c r="E972">
        <v>0</v>
      </c>
      <c r="F972">
        <v>0</v>
      </c>
      <c r="G972">
        <v>0</v>
      </c>
      <c r="H972">
        <v>0</v>
      </c>
      <c r="I972">
        <v>0</v>
      </c>
      <c r="J972">
        <v>0</v>
      </c>
      <c r="K972">
        <v>0</v>
      </c>
    </row>
    <row r="973" spans="1:11">
      <c r="A973" t="s">
        <v>1834</v>
      </c>
      <c r="B973">
        <v>15</v>
      </c>
      <c r="C973">
        <v>0</v>
      </c>
      <c r="D973">
        <v>0</v>
      </c>
      <c r="E973">
        <v>0</v>
      </c>
      <c r="F973">
        <v>0</v>
      </c>
      <c r="G973">
        <v>0</v>
      </c>
      <c r="H973">
        <v>0</v>
      </c>
      <c r="I973">
        <v>0</v>
      </c>
      <c r="J973">
        <v>0</v>
      </c>
      <c r="K973">
        <v>0</v>
      </c>
    </row>
    <row r="974" spans="1:11">
      <c r="A974" t="s">
        <v>1753</v>
      </c>
      <c r="B974">
        <v>10</v>
      </c>
      <c r="C974">
        <v>0</v>
      </c>
      <c r="D974">
        <v>0</v>
      </c>
      <c r="E974">
        <v>0</v>
      </c>
      <c r="F974">
        <v>0</v>
      </c>
      <c r="G974">
        <v>0</v>
      </c>
      <c r="H974">
        <v>0</v>
      </c>
      <c r="I974">
        <v>0</v>
      </c>
      <c r="J974">
        <v>0</v>
      </c>
      <c r="K974">
        <v>0</v>
      </c>
    </row>
    <row r="975" spans="1:11">
      <c r="A975" t="s">
        <v>1863</v>
      </c>
      <c r="B975">
        <v>7</v>
      </c>
      <c r="C975">
        <v>0</v>
      </c>
      <c r="D975">
        <v>0</v>
      </c>
      <c r="E975">
        <v>0</v>
      </c>
      <c r="F975">
        <v>0</v>
      </c>
      <c r="G975">
        <v>0</v>
      </c>
      <c r="H975">
        <v>0</v>
      </c>
      <c r="I975">
        <v>0</v>
      </c>
      <c r="J975">
        <v>0</v>
      </c>
      <c r="K975">
        <v>0</v>
      </c>
    </row>
    <row r="976" spans="1:11">
      <c r="A976" t="s">
        <v>1855</v>
      </c>
      <c r="B976">
        <v>0</v>
      </c>
      <c r="C976">
        <v>0</v>
      </c>
      <c r="D976">
        <v>0</v>
      </c>
      <c r="E976">
        <v>0</v>
      </c>
      <c r="F976">
        <v>0</v>
      </c>
      <c r="G976">
        <v>0</v>
      </c>
      <c r="H976">
        <v>0</v>
      </c>
      <c r="I976">
        <v>0</v>
      </c>
      <c r="J976">
        <v>0</v>
      </c>
      <c r="K976">
        <v>0</v>
      </c>
    </row>
    <row r="977" spans="1:11">
      <c r="A977" t="s">
        <v>1692</v>
      </c>
      <c r="B977">
        <v>20</v>
      </c>
      <c r="C977">
        <v>0</v>
      </c>
      <c r="D977">
        <v>0</v>
      </c>
      <c r="E977">
        <v>0</v>
      </c>
      <c r="F977">
        <v>0</v>
      </c>
      <c r="G977">
        <v>0</v>
      </c>
      <c r="H977">
        <v>0</v>
      </c>
      <c r="I977">
        <v>0</v>
      </c>
      <c r="J977">
        <v>0</v>
      </c>
      <c r="K977">
        <v>0</v>
      </c>
    </row>
    <row r="978" spans="1:11">
      <c r="A978" t="s">
        <v>1726</v>
      </c>
      <c r="B978">
        <v>0</v>
      </c>
      <c r="C978">
        <v>0</v>
      </c>
      <c r="D978">
        <v>0</v>
      </c>
      <c r="E978">
        <v>0</v>
      </c>
      <c r="F978">
        <v>0</v>
      </c>
      <c r="G978">
        <v>0</v>
      </c>
      <c r="H978">
        <v>0</v>
      </c>
      <c r="I978">
        <v>0</v>
      </c>
      <c r="J978">
        <v>0</v>
      </c>
      <c r="K978">
        <v>0</v>
      </c>
    </row>
    <row r="979" spans="1:11">
      <c r="A979" t="s">
        <v>1877</v>
      </c>
      <c r="B979">
        <v>0</v>
      </c>
      <c r="C979">
        <v>0</v>
      </c>
      <c r="D979">
        <v>0</v>
      </c>
      <c r="E979">
        <v>0</v>
      </c>
      <c r="F979">
        <v>0</v>
      </c>
      <c r="G979">
        <v>0</v>
      </c>
      <c r="H979">
        <v>0</v>
      </c>
      <c r="I979">
        <v>0</v>
      </c>
      <c r="J979">
        <v>0</v>
      </c>
      <c r="K979">
        <v>0</v>
      </c>
    </row>
    <row r="980" spans="1:11">
      <c r="A980" t="s">
        <v>1859</v>
      </c>
      <c r="B980">
        <v>5</v>
      </c>
      <c r="C980">
        <v>0</v>
      </c>
      <c r="D980">
        <v>0</v>
      </c>
      <c r="E980">
        <v>0</v>
      </c>
      <c r="F980">
        <v>0</v>
      </c>
      <c r="G980">
        <v>0</v>
      </c>
      <c r="H980">
        <v>0</v>
      </c>
      <c r="I980">
        <v>0</v>
      </c>
      <c r="J980">
        <v>0</v>
      </c>
      <c r="K980">
        <v>0</v>
      </c>
    </row>
    <row r="981" spans="1:11">
      <c r="A981" t="s">
        <v>1703</v>
      </c>
      <c r="B981">
        <v>4</v>
      </c>
      <c r="C981">
        <v>0</v>
      </c>
      <c r="D981">
        <v>0</v>
      </c>
      <c r="E981">
        <v>0</v>
      </c>
      <c r="F981">
        <v>0</v>
      </c>
      <c r="G981">
        <v>0</v>
      </c>
      <c r="H981">
        <v>0</v>
      </c>
      <c r="I981">
        <v>0</v>
      </c>
      <c r="J981">
        <v>0</v>
      </c>
      <c r="K981">
        <v>0</v>
      </c>
    </row>
    <row r="982" spans="1:11">
      <c r="A982" t="s">
        <v>1756</v>
      </c>
      <c r="B982">
        <v>2</v>
      </c>
      <c r="C982">
        <v>0</v>
      </c>
      <c r="D982">
        <v>0</v>
      </c>
      <c r="E982">
        <v>0</v>
      </c>
      <c r="F982">
        <v>0</v>
      </c>
      <c r="G982">
        <v>0</v>
      </c>
      <c r="H982">
        <v>0</v>
      </c>
      <c r="I982">
        <v>0</v>
      </c>
      <c r="J982">
        <v>0</v>
      </c>
      <c r="K982">
        <v>0</v>
      </c>
    </row>
    <row r="983" spans="1:11">
      <c r="A983" t="s">
        <v>1838</v>
      </c>
      <c r="B983">
        <v>15</v>
      </c>
      <c r="C983">
        <v>0</v>
      </c>
      <c r="D983">
        <v>0</v>
      </c>
      <c r="E983">
        <v>0</v>
      </c>
      <c r="F983">
        <v>0</v>
      </c>
      <c r="G983">
        <v>0</v>
      </c>
      <c r="H983">
        <v>0</v>
      </c>
      <c r="I983">
        <v>0</v>
      </c>
      <c r="J983">
        <v>0</v>
      </c>
      <c r="K983">
        <v>0</v>
      </c>
    </row>
    <row r="984" spans="1:11">
      <c r="A984" t="s">
        <v>1710</v>
      </c>
      <c r="B984">
        <v>3</v>
      </c>
      <c r="C984">
        <v>0</v>
      </c>
      <c r="D984">
        <v>0</v>
      </c>
      <c r="E984">
        <v>0</v>
      </c>
      <c r="F984">
        <v>0</v>
      </c>
      <c r="G984">
        <v>0</v>
      </c>
      <c r="H984">
        <v>0</v>
      </c>
      <c r="I984">
        <v>0</v>
      </c>
      <c r="J984">
        <v>0</v>
      </c>
      <c r="K984">
        <v>0</v>
      </c>
    </row>
    <row r="985" spans="1:11">
      <c r="A985" t="s">
        <v>1822</v>
      </c>
      <c r="B985">
        <v>0</v>
      </c>
      <c r="C985">
        <v>0</v>
      </c>
      <c r="D985">
        <v>0</v>
      </c>
      <c r="E985">
        <v>0</v>
      </c>
      <c r="F985">
        <v>0</v>
      </c>
      <c r="G985">
        <v>0</v>
      </c>
      <c r="H985">
        <v>0</v>
      </c>
      <c r="I985">
        <v>0</v>
      </c>
      <c r="J985">
        <v>0</v>
      </c>
      <c r="K985">
        <v>0</v>
      </c>
    </row>
    <row r="986" spans="1:11">
      <c r="A986" t="s">
        <v>1707</v>
      </c>
      <c r="B986">
        <v>5</v>
      </c>
      <c r="C986">
        <v>0</v>
      </c>
      <c r="D986">
        <v>0</v>
      </c>
      <c r="E986">
        <v>0</v>
      </c>
      <c r="F986">
        <v>0</v>
      </c>
      <c r="G986">
        <v>0</v>
      </c>
      <c r="H986">
        <v>0</v>
      </c>
      <c r="I986">
        <v>0</v>
      </c>
      <c r="J986">
        <v>0</v>
      </c>
      <c r="K986">
        <v>0</v>
      </c>
    </row>
    <row r="987" spans="1:11">
      <c r="A987" t="s">
        <v>1708</v>
      </c>
      <c r="B987">
        <v>0</v>
      </c>
      <c r="C987">
        <v>0</v>
      </c>
      <c r="D987">
        <v>0</v>
      </c>
      <c r="E987">
        <v>0</v>
      </c>
      <c r="F987">
        <v>0</v>
      </c>
      <c r="G987">
        <v>0</v>
      </c>
      <c r="H987">
        <v>0</v>
      </c>
      <c r="I987">
        <v>0</v>
      </c>
      <c r="J987">
        <v>0</v>
      </c>
      <c r="K987">
        <v>0</v>
      </c>
    </row>
    <row r="988" spans="1:11">
      <c r="A988" t="s">
        <v>1722</v>
      </c>
      <c r="B988">
        <v>0</v>
      </c>
      <c r="C988">
        <v>0</v>
      </c>
      <c r="D988">
        <v>0</v>
      </c>
      <c r="E988">
        <v>0</v>
      </c>
      <c r="F988">
        <v>0</v>
      </c>
      <c r="G988">
        <v>0</v>
      </c>
      <c r="H988">
        <v>0</v>
      </c>
      <c r="I988">
        <v>0</v>
      </c>
      <c r="J988">
        <v>0</v>
      </c>
      <c r="K988">
        <v>0</v>
      </c>
    </row>
    <row r="989" spans="1:11">
      <c r="A989" t="s">
        <v>1737</v>
      </c>
      <c r="B989">
        <v>11</v>
      </c>
      <c r="C989">
        <v>0</v>
      </c>
      <c r="D989">
        <v>0</v>
      </c>
      <c r="E989">
        <v>0</v>
      </c>
      <c r="F989">
        <v>0</v>
      </c>
      <c r="G989">
        <v>0</v>
      </c>
      <c r="H989">
        <v>0</v>
      </c>
      <c r="I989">
        <v>0</v>
      </c>
      <c r="J989">
        <v>0</v>
      </c>
      <c r="K989">
        <v>0</v>
      </c>
    </row>
    <row r="990" spans="1:11">
      <c r="A990" t="s">
        <v>1720</v>
      </c>
      <c r="B990">
        <v>7</v>
      </c>
      <c r="C990">
        <v>0</v>
      </c>
      <c r="D990">
        <v>0</v>
      </c>
      <c r="E990">
        <v>0</v>
      </c>
      <c r="F990">
        <v>0</v>
      </c>
      <c r="G990">
        <v>0</v>
      </c>
      <c r="H990">
        <v>0</v>
      </c>
      <c r="I990">
        <v>0</v>
      </c>
      <c r="J990">
        <v>0</v>
      </c>
      <c r="K990">
        <v>0</v>
      </c>
    </row>
    <row r="991" spans="1:11">
      <c r="A991" t="s">
        <v>1778</v>
      </c>
      <c r="B991">
        <v>0</v>
      </c>
      <c r="C991">
        <v>0</v>
      </c>
      <c r="D991">
        <v>0</v>
      </c>
      <c r="E991">
        <v>0</v>
      </c>
      <c r="F991">
        <v>0</v>
      </c>
      <c r="G991">
        <v>0</v>
      </c>
      <c r="H991">
        <v>0</v>
      </c>
      <c r="I991">
        <v>0</v>
      </c>
      <c r="J991">
        <v>0</v>
      </c>
      <c r="K991">
        <v>0</v>
      </c>
    </row>
    <row r="992" spans="1:11">
      <c r="A992" t="s">
        <v>1817</v>
      </c>
      <c r="B992">
        <v>0</v>
      </c>
      <c r="C992">
        <v>0</v>
      </c>
      <c r="D992">
        <v>0</v>
      </c>
      <c r="E992">
        <v>0</v>
      </c>
      <c r="F992">
        <v>0</v>
      </c>
      <c r="G992">
        <v>0</v>
      </c>
      <c r="H992">
        <v>0</v>
      </c>
      <c r="I992">
        <v>0</v>
      </c>
      <c r="J992">
        <v>0</v>
      </c>
      <c r="K992">
        <v>0</v>
      </c>
    </row>
    <row r="993" spans="1:11">
      <c r="A993" t="s">
        <v>1870</v>
      </c>
      <c r="B993">
        <v>9</v>
      </c>
      <c r="C993">
        <v>0</v>
      </c>
      <c r="D993">
        <v>0</v>
      </c>
      <c r="E993">
        <v>0</v>
      </c>
      <c r="F993">
        <v>0</v>
      </c>
      <c r="G993">
        <v>0</v>
      </c>
      <c r="H993">
        <v>0</v>
      </c>
      <c r="I993">
        <v>0</v>
      </c>
      <c r="J993">
        <v>0</v>
      </c>
      <c r="K993">
        <v>0</v>
      </c>
    </row>
    <row r="994" spans="1:11">
      <c r="A994" t="s">
        <v>1735</v>
      </c>
      <c r="B994">
        <v>0</v>
      </c>
      <c r="C994">
        <v>0</v>
      </c>
      <c r="D994">
        <v>0</v>
      </c>
      <c r="E994">
        <v>0</v>
      </c>
      <c r="F994">
        <v>0</v>
      </c>
      <c r="G994">
        <v>0</v>
      </c>
      <c r="H994">
        <v>0</v>
      </c>
      <c r="I994">
        <v>0</v>
      </c>
      <c r="J994">
        <v>0</v>
      </c>
      <c r="K994">
        <v>0</v>
      </c>
    </row>
    <row r="995" spans="1:11">
      <c r="A995" t="s">
        <v>1771</v>
      </c>
      <c r="B995">
        <v>0</v>
      </c>
      <c r="C995">
        <v>0</v>
      </c>
      <c r="D995">
        <v>0</v>
      </c>
      <c r="E995">
        <v>0</v>
      </c>
      <c r="F995">
        <v>0</v>
      </c>
      <c r="G995">
        <v>0</v>
      </c>
      <c r="H995">
        <v>0</v>
      </c>
      <c r="I995">
        <v>0</v>
      </c>
      <c r="J995">
        <v>0</v>
      </c>
      <c r="K995">
        <v>0</v>
      </c>
    </row>
    <row r="996" spans="1:11">
      <c r="A996" t="s">
        <v>1730</v>
      </c>
      <c r="B996">
        <v>14</v>
      </c>
      <c r="C996">
        <v>0</v>
      </c>
      <c r="D996">
        <v>0</v>
      </c>
      <c r="E996">
        <v>0</v>
      </c>
      <c r="F996">
        <v>0</v>
      </c>
      <c r="G996">
        <v>0</v>
      </c>
      <c r="H996">
        <v>0</v>
      </c>
      <c r="I996">
        <v>0</v>
      </c>
      <c r="J996">
        <v>0</v>
      </c>
      <c r="K996">
        <v>0</v>
      </c>
    </row>
    <row r="997" spans="1:11">
      <c r="A997" t="s">
        <v>1780</v>
      </c>
      <c r="B997">
        <v>0</v>
      </c>
      <c r="C997">
        <v>0</v>
      </c>
      <c r="D997">
        <v>0</v>
      </c>
      <c r="E997">
        <v>0</v>
      </c>
      <c r="F997">
        <v>0</v>
      </c>
      <c r="G997">
        <v>0</v>
      </c>
      <c r="H997">
        <v>0</v>
      </c>
      <c r="I997">
        <v>0</v>
      </c>
      <c r="J997">
        <v>0</v>
      </c>
      <c r="K997">
        <v>0</v>
      </c>
    </row>
    <row r="998" spans="1:11">
      <c r="A998" t="s">
        <v>1782</v>
      </c>
      <c r="B998">
        <v>0</v>
      </c>
      <c r="C998">
        <v>0</v>
      </c>
      <c r="D998">
        <v>0</v>
      </c>
      <c r="E998">
        <v>0</v>
      </c>
      <c r="F998">
        <v>0</v>
      </c>
      <c r="G998">
        <v>0</v>
      </c>
      <c r="H998">
        <v>0</v>
      </c>
      <c r="I998">
        <v>0</v>
      </c>
      <c r="J998">
        <v>0</v>
      </c>
      <c r="K998">
        <v>0</v>
      </c>
    </row>
    <row r="999" spans="1:11">
      <c r="A999" t="s">
        <v>1749</v>
      </c>
      <c r="B999">
        <v>0</v>
      </c>
      <c r="C999">
        <v>0</v>
      </c>
      <c r="D999">
        <v>0</v>
      </c>
      <c r="E999">
        <v>0</v>
      </c>
      <c r="F999">
        <v>0</v>
      </c>
      <c r="G999">
        <v>0</v>
      </c>
      <c r="H999">
        <v>0</v>
      </c>
      <c r="I999">
        <v>0</v>
      </c>
      <c r="J999">
        <v>0</v>
      </c>
      <c r="K999">
        <v>0</v>
      </c>
    </row>
    <row r="1000" spans="1:11">
      <c r="A1000" t="s">
        <v>1886</v>
      </c>
      <c r="B1000">
        <v>5</v>
      </c>
      <c r="C1000">
        <v>0</v>
      </c>
      <c r="D1000">
        <v>0</v>
      </c>
      <c r="E1000">
        <v>0</v>
      </c>
      <c r="F1000">
        <v>0</v>
      </c>
      <c r="G1000">
        <v>0</v>
      </c>
      <c r="H1000">
        <v>0</v>
      </c>
      <c r="I1000">
        <v>0</v>
      </c>
      <c r="J1000">
        <v>0</v>
      </c>
      <c r="K1000">
        <v>0</v>
      </c>
    </row>
    <row r="1001" spans="1:11">
      <c r="A1001" t="s">
        <v>1823</v>
      </c>
      <c r="B1001">
        <v>2</v>
      </c>
      <c r="C1001">
        <v>0</v>
      </c>
      <c r="D1001">
        <v>0</v>
      </c>
      <c r="E1001">
        <v>0</v>
      </c>
      <c r="F1001">
        <v>0</v>
      </c>
      <c r="G1001">
        <v>0</v>
      </c>
      <c r="H1001">
        <v>0</v>
      </c>
      <c r="I1001">
        <v>0</v>
      </c>
      <c r="J1001">
        <v>0</v>
      </c>
      <c r="K1001">
        <v>0</v>
      </c>
    </row>
    <row r="1002" spans="1:11">
      <c r="A1002" t="s">
        <v>1852</v>
      </c>
      <c r="B1002">
        <v>0</v>
      </c>
      <c r="C1002">
        <v>0</v>
      </c>
      <c r="D1002">
        <v>0</v>
      </c>
      <c r="E1002">
        <v>0</v>
      </c>
      <c r="F1002">
        <v>0</v>
      </c>
      <c r="G1002">
        <v>0</v>
      </c>
      <c r="H1002">
        <v>0</v>
      </c>
      <c r="I1002">
        <v>0</v>
      </c>
      <c r="J1002">
        <v>0</v>
      </c>
      <c r="K1002">
        <v>0</v>
      </c>
    </row>
    <row r="1003" spans="1:11">
      <c r="A1003" t="s">
        <v>1761</v>
      </c>
      <c r="B1003">
        <v>0</v>
      </c>
      <c r="C1003">
        <v>0</v>
      </c>
      <c r="D1003">
        <v>0</v>
      </c>
      <c r="E1003">
        <v>0</v>
      </c>
      <c r="F1003">
        <v>0</v>
      </c>
      <c r="G1003">
        <v>0</v>
      </c>
      <c r="H1003">
        <v>0</v>
      </c>
      <c r="I1003">
        <v>0</v>
      </c>
      <c r="J1003">
        <v>0</v>
      </c>
      <c r="K1003">
        <v>0</v>
      </c>
    </row>
    <row r="1004" spans="1:11">
      <c r="A1004" t="s">
        <v>1772</v>
      </c>
      <c r="B1004">
        <v>6</v>
      </c>
      <c r="C1004">
        <v>0</v>
      </c>
      <c r="D1004">
        <v>0</v>
      </c>
      <c r="E1004">
        <v>0</v>
      </c>
      <c r="F1004">
        <v>0</v>
      </c>
      <c r="G1004">
        <v>0</v>
      </c>
      <c r="H1004">
        <v>0</v>
      </c>
      <c r="I1004">
        <v>0</v>
      </c>
      <c r="J1004">
        <v>0</v>
      </c>
      <c r="K1004">
        <v>0</v>
      </c>
    </row>
    <row r="1005" spans="1:11">
      <c r="A1005" t="s">
        <v>1835</v>
      </c>
      <c r="B1005">
        <v>4</v>
      </c>
      <c r="C1005">
        <v>0</v>
      </c>
      <c r="D1005">
        <v>0</v>
      </c>
      <c r="E1005">
        <v>0</v>
      </c>
      <c r="F1005">
        <v>0</v>
      </c>
      <c r="G1005">
        <v>0</v>
      </c>
      <c r="H1005">
        <v>0</v>
      </c>
      <c r="I1005">
        <v>0</v>
      </c>
      <c r="J1005">
        <v>0</v>
      </c>
      <c r="K1005">
        <v>0</v>
      </c>
    </row>
    <row r="1006" spans="1:11">
      <c r="A1006" t="s">
        <v>1754</v>
      </c>
      <c r="B1006">
        <v>0</v>
      </c>
      <c r="C1006">
        <v>0</v>
      </c>
      <c r="D1006">
        <v>0</v>
      </c>
      <c r="E1006">
        <v>0</v>
      </c>
      <c r="F1006">
        <v>0</v>
      </c>
      <c r="G1006">
        <v>0</v>
      </c>
      <c r="H1006">
        <v>0</v>
      </c>
      <c r="I1006">
        <v>0</v>
      </c>
      <c r="J1006">
        <v>0</v>
      </c>
      <c r="K1006">
        <v>0</v>
      </c>
    </row>
    <row r="1007" spans="1:11">
      <c r="A1007" t="s">
        <v>1864</v>
      </c>
      <c r="B1007">
        <v>5</v>
      </c>
      <c r="C1007">
        <v>0</v>
      </c>
      <c r="D1007">
        <v>0</v>
      </c>
      <c r="E1007">
        <v>0</v>
      </c>
      <c r="F1007">
        <v>0</v>
      </c>
      <c r="G1007">
        <v>0</v>
      </c>
      <c r="H1007">
        <v>0</v>
      </c>
      <c r="I1007">
        <v>0</v>
      </c>
      <c r="J1007">
        <v>0</v>
      </c>
      <c r="K1007">
        <v>0</v>
      </c>
    </row>
    <row r="1008" spans="1:11">
      <c r="A1008" t="s">
        <v>1854</v>
      </c>
      <c r="B1008">
        <v>1</v>
      </c>
      <c r="C1008">
        <v>0</v>
      </c>
      <c r="D1008">
        <v>0</v>
      </c>
      <c r="E1008">
        <v>0</v>
      </c>
      <c r="F1008">
        <v>0</v>
      </c>
      <c r="G1008">
        <v>0</v>
      </c>
      <c r="H1008">
        <v>0</v>
      </c>
      <c r="I1008">
        <v>0</v>
      </c>
      <c r="J1008">
        <v>0</v>
      </c>
      <c r="K1008">
        <v>0</v>
      </c>
    </row>
    <row r="1009" spans="1:11">
      <c r="A1009" t="s">
        <v>1691</v>
      </c>
      <c r="B1009">
        <v>6</v>
      </c>
      <c r="C1009">
        <v>0</v>
      </c>
      <c r="D1009">
        <v>0</v>
      </c>
      <c r="E1009">
        <v>0</v>
      </c>
      <c r="F1009">
        <v>0</v>
      </c>
      <c r="G1009">
        <v>0</v>
      </c>
      <c r="H1009">
        <v>0</v>
      </c>
      <c r="I1009">
        <v>0</v>
      </c>
      <c r="J1009">
        <v>0</v>
      </c>
      <c r="K1009">
        <v>0</v>
      </c>
    </row>
    <row r="1010" spans="1:11">
      <c r="A1010" t="s">
        <v>1725</v>
      </c>
      <c r="B1010">
        <v>5</v>
      </c>
      <c r="C1010">
        <v>0</v>
      </c>
      <c r="D1010">
        <v>0</v>
      </c>
      <c r="E1010">
        <v>0</v>
      </c>
      <c r="F1010">
        <v>0</v>
      </c>
      <c r="G1010">
        <v>0</v>
      </c>
      <c r="H1010">
        <v>0</v>
      </c>
      <c r="I1010">
        <v>0</v>
      </c>
      <c r="J1010">
        <v>0</v>
      </c>
      <c r="K1010">
        <v>0</v>
      </c>
    </row>
    <row r="1011" spans="1:11">
      <c r="A1011" t="s">
        <v>1876</v>
      </c>
      <c r="B1011">
        <v>0</v>
      </c>
      <c r="C1011">
        <v>0</v>
      </c>
      <c r="D1011">
        <v>0</v>
      </c>
      <c r="E1011">
        <v>0</v>
      </c>
      <c r="F1011">
        <v>0</v>
      </c>
      <c r="G1011">
        <v>0</v>
      </c>
      <c r="H1011">
        <v>0</v>
      </c>
      <c r="I1011">
        <v>0</v>
      </c>
      <c r="J1011">
        <v>0</v>
      </c>
      <c r="K1011">
        <v>0</v>
      </c>
    </row>
    <row r="1012" spans="1:11">
      <c r="A1012" t="s">
        <v>1858</v>
      </c>
      <c r="B1012">
        <v>0</v>
      </c>
      <c r="C1012">
        <v>0</v>
      </c>
      <c r="D1012">
        <v>0</v>
      </c>
      <c r="E1012">
        <v>0</v>
      </c>
      <c r="F1012">
        <v>0</v>
      </c>
      <c r="G1012">
        <v>0</v>
      </c>
      <c r="H1012">
        <v>0</v>
      </c>
      <c r="I1012">
        <v>0</v>
      </c>
      <c r="J1012">
        <v>0</v>
      </c>
      <c r="K1012">
        <v>0</v>
      </c>
    </row>
    <row r="1013" spans="1:11">
      <c r="A1013" t="s">
        <v>1538</v>
      </c>
      <c r="B1013">
        <v>65</v>
      </c>
      <c r="C1013">
        <v>50</v>
      </c>
      <c r="D1013">
        <v>15</v>
      </c>
      <c r="E1013">
        <v>0</v>
      </c>
      <c r="F1013">
        <v>0</v>
      </c>
      <c r="G1013">
        <v>0</v>
      </c>
      <c r="H1013">
        <v>0</v>
      </c>
      <c r="I1013">
        <v>0</v>
      </c>
      <c r="J1013">
        <v>0</v>
      </c>
      <c r="K1013">
        <v>0</v>
      </c>
    </row>
    <row r="1014" spans="1:11">
      <c r="A1014" t="s">
        <v>1539</v>
      </c>
      <c r="B1014">
        <v>49</v>
      </c>
      <c r="C1014">
        <v>37</v>
      </c>
      <c r="D1014">
        <v>12</v>
      </c>
      <c r="E1014">
        <v>0</v>
      </c>
      <c r="F1014">
        <v>0</v>
      </c>
      <c r="G1014">
        <v>0</v>
      </c>
      <c r="H1014">
        <v>0</v>
      </c>
      <c r="I1014">
        <v>0</v>
      </c>
      <c r="J1014">
        <v>0</v>
      </c>
      <c r="K1014">
        <v>0</v>
      </c>
    </row>
    <row r="1015" spans="1:11">
      <c r="A1015" t="s">
        <v>1534</v>
      </c>
      <c r="B1015">
        <v>57</v>
      </c>
      <c r="C1015">
        <v>43</v>
      </c>
      <c r="D1015">
        <v>14</v>
      </c>
      <c r="E1015">
        <v>0</v>
      </c>
      <c r="F1015">
        <v>0</v>
      </c>
      <c r="G1015">
        <v>0</v>
      </c>
      <c r="H1015">
        <v>0</v>
      </c>
      <c r="I1015">
        <v>0</v>
      </c>
      <c r="J1015">
        <v>0</v>
      </c>
      <c r="K1015">
        <v>0</v>
      </c>
    </row>
    <row r="1016" spans="1:11">
      <c r="A1016" t="s">
        <v>1498</v>
      </c>
      <c r="B1016">
        <v>54</v>
      </c>
      <c r="C1016">
        <v>41</v>
      </c>
      <c r="D1016">
        <v>13</v>
      </c>
      <c r="E1016">
        <v>0</v>
      </c>
      <c r="F1016">
        <v>0</v>
      </c>
      <c r="G1016">
        <v>0</v>
      </c>
      <c r="H1016">
        <v>0</v>
      </c>
      <c r="I1016">
        <v>0</v>
      </c>
      <c r="J1016">
        <v>0</v>
      </c>
      <c r="K1016">
        <v>0</v>
      </c>
    </row>
    <row r="1017" spans="1:11">
      <c r="A1017" t="s">
        <v>1537</v>
      </c>
      <c r="B1017">
        <v>112</v>
      </c>
      <c r="C1017">
        <v>85</v>
      </c>
      <c r="D1017">
        <v>27</v>
      </c>
      <c r="E1017">
        <v>0</v>
      </c>
      <c r="F1017">
        <v>0</v>
      </c>
      <c r="G1017">
        <v>0</v>
      </c>
      <c r="H1017">
        <v>0</v>
      </c>
      <c r="I1017">
        <v>0</v>
      </c>
      <c r="J1017">
        <v>0</v>
      </c>
      <c r="K1017">
        <v>0</v>
      </c>
    </row>
    <row r="1018" spans="1:11">
      <c r="A1018" t="s">
        <v>1469</v>
      </c>
      <c r="B1018">
        <v>67</v>
      </c>
      <c r="C1018">
        <v>51</v>
      </c>
      <c r="D1018">
        <v>16</v>
      </c>
      <c r="E1018">
        <v>0</v>
      </c>
      <c r="F1018">
        <v>0</v>
      </c>
      <c r="G1018">
        <v>0</v>
      </c>
      <c r="H1018">
        <v>0</v>
      </c>
      <c r="I1018">
        <v>0</v>
      </c>
      <c r="J1018">
        <v>0</v>
      </c>
      <c r="K1018">
        <v>0</v>
      </c>
    </row>
    <row r="1019" spans="1:11">
      <c r="A1019" t="s">
        <v>1497</v>
      </c>
      <c r="B1019">
        <v>73</v>
      </c>
      <c r="C1019">
        <v>55</v>
      </c>
      <c r="D1019">
        <v>18</v>
      </c>
      <c r="E1019">
        <v>0</v>
      </c>
      <c r="F1019">
        <v>0</v>
      </c>
      <c r="G1019">
        <v>0</v>
      </c>
      <c r="H1019">
        <v>0</v>
      </c>
      <c r="I1019">
        <v>0</v>
      </c>
      <c r="J1019">
        <v>0</v>
      </c>
      <c r="K1019">
        <v>0</v>
      </c>
    </row>
    <row r="1020" spans="1:11">
      <c r="A1020" t="s">
        <v>1492</v>
      </c>
      <c r="B1020">
        <v>71</v>
      </c>
      <c r="C1020">
        <v>54</v>
      </c>
      <c r="D1020">
        <v>17</v>
      </c>
      <c r="E1020">
        <v>0</v>
      </c>
      <c r="F1020">
        <v>0</v>
      </c>
      <c r="G1020">
        <v>0</v>
      </c>
      <c r="H1020">
        <v>0</v>
      </c>
      <c r="I1020">
        <v>0</v>
      </c>
      <c r="J1020">
        <v>0</v>
      </c>
      <c r="K1020">
        <v>0</v>
      </c>
    </row>
    <row r="1021" spans="1:11">
      <c r="A1021" t="s">
        <v>1550</v>
      </c>
      <c r="B1021">
        <v>77</v>
      </c>
      <c r="C1021">
        <v>59</v>
      </c>
      <c r="D1021">
        <v>18</v>
      </c>
      <c r="E1021">
        <v>0</v>
      </c>
      <c r="F1021">
        <v>0</v>
      </c>
      <c r="G1021">
        <v>0</v>
      </c>
      <c r="H1021">
        <v>0</v>
      </c>
      <c r="I1021">
        <v>0</v>
      </c>
      <c r="J1021">
        <v>0</v>
      </c>
      <c r="K1021">
        <v>0</v>
      </c>
    </row>
    <row r="1022" spans="1:11">
      <c r="A1022" t="s">
        <v>1529</v>
      </c>
      <c r="B1022">
        <v>79</v>
      </c>
      <c r="C1022">
        <v>60</v>
      </c>
      <c r="D1022">
        <v>19</v>
      </c>
      <c r="E1022">
        <v>0</v>
      </c>
      <c r="F1022">
        <v>0</v>
      </c>
      <c r="G1022">
        <v>0</v>
      </c>
      <c r="H1022">
        <v>0</v>
      </c>
      <c r="I1022">
        <v>0</v>
      </c>
      <c r="J1022">
        <v>0</v>
      </c>
      <c r="K1022">
        <v>0</v>
      </c>
    </row>
    <row r="1023" spans="1:11">
      <c r="A1023" t="s">
        <v>1486</v>
      </c>
      <c r="B1023">
        <v>64</v>
      </c>
      <c r="C1023">
        <v>49</v>
      </c>
      <c r="D1023">
        <v>15</v>
      </c>
      <c r="E1023">
        <v>0</v>
      </c>
      <c r="F1023">
        <v>0</v>
      </c>
      <c r="G1023">
        <v>0</v>
      </c>
      <c r="H1023">
        <v>0</v>
      </c>
      <c r="I1023">
        <v>0</v>
      </c>
      <c r="J1023">
        <v>0</v>
      </c>
      <c r="K1023">
        <v>0</v>
      </c>
    </row>
    <row r="1024" spans="1:11">
      <c r="A1024" t="s">
        <v>1489</v>
      </c>
      <c r="B1024">
        <v>69</v>
      </c>
      <c r="C1024">
        <v>52</v>
      </c>
      <c r="D1024">
        <v>17</v>
      </c>
      <c r="E1024">
        <v>0</v>
      </c>
      <c r="F1024">
        <v>0</v>
      </c>
      <c r="G1024">
        <v>0</v>
      </c>
      <c r="H1024">
        <v>0</v>
      </c>
      <c r="I1024">
        <v>0</v>
      </c>
      <c r="J1024">
        <v>0</v>
      </c>
      <c r="K1024">
        <v>0</v>
      </c>
    </row>
    <row r="1025" spans="1:11">
      <c r="A1025" t="s">
        <v>1547</v>
      </c>
      <c r="B1025">
        <v>93</v>
      </c>
      <c r="C1025">
        <v>70</v>
      </c>
      <c r="D1025">
        <v>23</v>
      </c>
      <c r="E1025">
        <v>0</v>
      </c>
      <c r="F1025">
        <v>0</v>
      </c>
      <c r="G1025">
        <v>0</v>
      </c>
      <c r="H1025">
        <v>0</v>
      </c>
      <c r="I1025">
        <v>0</v>
      </c>
      <c r="J1025">
        <v>0</v>
      </c>
      <c r="K1025">
        <v>0</v>
      </c>
    </row>
    <row r="1026" spans="1:11">
      <c r="A1026" t="s">
        <v>1546</v>
      </c>
      <c r="B1026">
        <v>35</v>
      </c>
      <c r="C1026">
        <v>27</v>
      </c>
      <c r="D1026">
        <v>8</v>
      </c>
      <c r="E1026">
        <v>0</v>
      </c>
      <c r="F1026">
        <v>0</v>
      </c>
      <c r="G1026">
        <v>0</v>
      </c>
      <c r="H1026">
        <v>0</v>
      </c>
      <c r="I1026">
        <v>0</v>
      </c>
      <c r="J1026">
        <v>0</v>
      </c>
      <c r="K1026">
        <v>0</v>
      </c>
    </row>
    <row r="1027" spans="1:11">
      <c r="A1027" t="s">
        <v>1653</v>
      </c>
      <c r="B1027">
        <v>5</v>
      </c>
      <c r="C1027">
        <v>0</v>
      </c>
      <c r="D1027">
        <v>0</v>
      </c>
      <c r="E1027">
        <v>0</v>
      </c>
      <c r="F1027">
        <v>0</v>
      </c>
      <c r="G1027">
        <v>0</v>
      </c>
      <c r="H1027">
        <v>0</v>
      </c>
      <c r="I1027">
        <v>0</v>
      </c>
      <c r="J1027">
        <v>0</v>
      </c>
      <c r="K1027">
        <v>0</v>
      </c>
    </row>
    <row r="1028" spans="1:11">
      <c r="A1028" t="s">
        <v>1654</v>
      </c>
      <c r="B1028">
        <v>13</v>
      </c>
      <c r="C1028">
        <v>0</v>
      </c>
      <c r="D1028">
        <v>0</v>
      </c>
      <c r="E1028">
        <v>0</v>
      </c>
      <c r="F1028">
        <v>0</v>
      </c>
      <c r="G1028">
        <v>0</v>
      </c>
      <c r="H1028">
        <v>0</v>
      </c>
      <c r="I1028">
        <v>0</v>
      </c>
      <c r="J1028">
        <v>0</v>
      </c>
      <c r="K1028">
        <v>0</v>
      </c>
    </row>
    <row r="1029" spans="1:11">
      <c r="A1029" t="s">
        <v>1655</v>
      </c>
      <c r="B1029">
        <v>17</v>
      </c>
      <c r="C1029">
        <v>0</v>
      </c>
      <c r="D1029">
        <v>0</v>
      </c>
      <c r="E1029">
        <v>0</v>
      </c>
      <c r="F1029">
        <v>0</v>
      </c>
      <c r="G1029">
        <v>0</v>
      </c>
      <c r="H1029">
        <v>0</v>
      </c>
      <c r="I1029">
        <v>0</v>
      </c>
      <c r="J1029">
        <v>0</v>
      </c>
      <c r="K1029">
        <v>0</v>
      </c>
    </row>
    <row r="1030" spans="1:11">
      <c r="A1030" t="s">
        <v>1656</v>
      </c>
      <c r="B1030">
        <v>7</v>
      </c>
      <c r="C1030">
        <v>0</v>
      </c>
      <c r="D1030">
        <v>0</v>
      </c>
      <c r="E1030">
        <v>0</v>
      </c>
      <c r="F1030">
        <v>0</v>
      </c>
      <c r="G1030">
        <v>0</v>
      </c>
      <c r="H1030">
        <v>0</v>
      </c>
      <c r="I1030">
        <v>0</v>
      </c>
      <c r="J1030">
        <v>0</v>
      </c>
      <c r="K1030">
        <v>0</v>
      </c>
    </row>
    <row r="1031" spans="1:11">
      <c r="A1031" t="s">
        <v>1657</v>
      </c>
      <c r="B1031">
        <v>2</v>
      </c>
      <c r="C1031">
        <v>0</v>
      </c>
      <c r="D1031">
        <v>0</v>
      </c>
      <c r="E1031">
        <v>0</v>
      </c>
      <c r="F1031">
        <v>0</v>
      </c>
      <c r="G1031">
        <v>0</v>
      </c>
      <c r="H1031">
        <v>0</v>
      </c>
      <c r="I1031">
        <v>0</v>
      </c>
      <c r="J1031">
        <v>0</v>
      </c>
      <c r="K1031">
        <v>0</v>
      </c>
    </row>
    <row r="1032" spans="1:11">
      <c r="A1032" t="s">
        <v>1658</v>
      </c>
      <c r="B1032">
        <v>5</v>
      </c>
      <c r="C1032">
        <v>0</v>
      </c>
      <c r="D1032">
        <v>0</v>
      </c>
      <c r="E1032">
        <v>0</v>
      </c>
      <c r="F1032">
        <v>0</v>
      </c>
      <c r="G1032">
        <v>0</v>
      </c>
      <c r="H1032">
        <v>0</v>
      </c>
      <c r="I1032">
        <v>0</v>
      </c>
      <c r="J1032">
        <v>0</v>
      </c>
      <c r="K1032">
        <v>0</v>
      </c>
    </row>
    <row r="1033" spans="1:11">
      <c r="A1033" t="s">
        <v>1659</v>
      </c>
      <c r="B1033">
        <v>3</v>
      </c>
      <c r="C1033">
        <v>0</v>
      </c>
      <c r="D1033">
        <v>0</v>
      </c>
      <c r="E1033">
        <v>0</v>
      </c>
      <c r="F1033">
        <v>0</v>
      </c>
      <c r="G1033">
        <v>0</v>
      </c>
      <c r="H1033">
        <v>0</v>
      </c>
      <c r="I1033">
        <v>0</v>
      </c>
      <c r="J1033">
        <v>0</v>
      </c>
      <c r="K1033">
        <v>0</v>
      </c>
    </row>
    <row r="1034" spans="1:11">
      <c r="A1034" t="s">
        <v>1660</v>
      </c>
      <c r="B1034">
        <v>7</v>
      </c>
      <c r="C1034">
        <v>0</v>
      </c>
      <c r="D1034">
        <v>0</v>
      </c>
      <c r="E1034">
        <v>0</v>
      </c>
      <c r="F1034">
        <v>0</v>
      </c>
      <c r="G1034">
        <v>0</v>
      </c>
      <c r="H1034">
        <v>0</v>
      </c>
      <c r="I1034">
        <v>0</v>
      </c>
      <c r="J1034">
        <v>0</v>
      </c>
      <c r="K1034">
        <v>0</v>
      </c>
    </row>
    <row r="1035" spans="1:11">
      <c r="A1035" t="s">
        <v>1661</v>
      </c>
      <c r="B1035">
        <v>12</v>
      </c>
      <c r="C1035">
        <v>0</v>
      </c>
      <c r="D1035">
        <v>0</v>
      </c>
      <c r="E1035">
        <v>0</v>
      </c>
      <c r="F1035">
        <v>0</v>
      </c>
      <c r="G1035">
        <v>0</v>
      </c>
      <c r="H1035">
        <v>0</v>
      </c>
      <c r="I1035">
        <v>0</v>
      </c>
      <c r="J1035">
        <v>0</v>
      </c>
      <c r="K1035">
        <v>0</v>
      </c>
    </row>
    <row r="1036" spans="1:11">
      <c r="A1036" t="s">
        <v>1662</v>
      </c>
      <c r="B1036">
        <v>8</v>
      </c>
      <c r="C1036">
        <v>0</v>
      </c>
      <c r="D1036">
        <v>0</v>
      </c>
      <c r="E1036">
        <v>0</v>
      </c>
      <c r="F1036">
        <v>0</v>
      </c>
      <c r="G1036">
        <v>0</v>
      </c>
      <c r="H1036">
        <v>0</v>
      </c>
      <c r="I1036">
        <v>0</v>
      </c>
      <c r="J1036">
        <v>0</v>
      </c>
      <c r="K1036">
        <v>0</v>
      </c>
    </row>
    <row r="1037" spans="1:11">
      <c r="A1037" t="s">
        <v>1663</v>
      </c>
      <c r="B1037">
        <v>8</v>
      </c>
      <c r="C1037">
        <v>0</v>
      </c>
      <c r="D1037">
        <v>0</v>
      </c>
      <c r="E1037">
        <v>0</v>
      </c>
      <c r="F1037">
        <v>0</v>
      </c>
      <c r="G1037">
        <v>0</v>
      </c>
      <c r="H1037">
        <v>0</v>
      </c>
      <c r="I1037">
        <v>0</v>
      </c>
      <c r="J1037">
        <v>0</v>
      </c>
      <c r="K1037">
        <v>0</v>
      </c>
    </row>
    <row r="1038" spans="1:11">
      <c r="A1038" t="s">
        <v>1664</v>
      </c>
      <c r="B1038">
        <v>7</v>
      </c>
      <c r="C1038">
        <v>0</v>
      </c>
      <c r="D1038">
        <v>0</v>
      </c>
      <c r="E1038">
        <v>0</v>
      </c>
      <c r="F1038">
        <v>0</v>
      </c>
      <c r="G1038">
        <v>0</v>
      </c>
      <c r="H1038">
        <v>0</v>
      </c>
      <c r="I1038">
        <v>0</v>
      </c>
      <c r="J1038">
        <v>0</v>
      </c>
      <c r="K1038">
        <v>0</v>
      </c>
    </row>
    <row r="1039" spans="1:11">
      <c r="A1039" t="s">
        <v>1665</v>
      </c>
      <c r="B1039">
        <v>9</v>
      </c>
      <c r="C1039">
        <v>0</v>
      </c>
      <c r="D1039">
        <v>0</v>
      </c>
      <c r="E1039">
        <v>0</v>
      </c>
      <c r="F1039">
        <v>0</v>
      </c>
      <c r="G1039">
        <v>0</v>
      </c>
      <c r="H1039">
        <v>0</v>
      </c>
      <c r="I1039">
        <v>0</v>
      </c>
      <c r="J1039">
        <v>0</v>
      </c>
      <c r="K1039">
        <v>0</v>
      </c>
    </row>
    <row r="1040" spans="1:11">
      <c r="A1040" t="s">
        <v>1666</v>
      </c>
      <c r="B1040">
        <v>8</v>
      </c>
      <c r="C1040">
        <v>0</v>
      </c>
      <c r="D1040">
        <v>0</v>
      </c>
      <c r="E1040">
        <v>0</v>
      </c>
      <c r="F1040">
        <v>0</v>
      </c>
      <c r="G1040">
        <v>0</v>
      </c>
      <c r="H1040">
        <v>0</v>
      </c>
      <c r="I1040">
        <v>0</v>
      </c>
      <c r="J1040">
        <v>0</v>
      </c>
      <c r="K1040">
        <v>0</v>
      </c>
    </row>
    <row r="1041" spans="1:11">
      <c r="A1041" t="s">
        <v>1667</v>
      </c>
      <c r="B1041">
        <v>4</v>
      </c>
      <c r="C1041">
        <v>0</v>
      </c>
      <c r="D1041">
        <v>0</v>
      </c>
      <c r="E1041">
        <v>0</v>
      </c>
      <c r="F1041">
        <v>0</v>
      </c>
      <c r="G1041">
        <v>0</v>
      </c>
      <c r="H1041">
        <v>0</v>
      </c>
      <c r="I1041">
        <v>0</v>
      </c>
      <c r="J1041">
        <v>0</v>
      </c>
      <c r="K1041">
        <v>0</v>
      </c>
    </row>
    <row r="1042" spans="1:11">
      <c r="A1042" t="s">
        <v>1668</v>
      </c>
      <c r="B1042">
        <v>9</v>
      </c>
      <c r="C1042">
        <v>0</v>
      </c>
      <c r="D1042">
        <v>0</v>
      </c>
      <c r="E1042">
        <v>0</v>
      </c>
      <c r="F1042">
        <v>0</v>
      </c>
      <c r="G1042">
        <v>0</v>
      </c>
      <c r="H1042">
        <v>0</v>
      </c>
      <c r="I1042">
        <v>0</v>
      </c>
      <c r="J1042">
        <v>0</v>
      </c>
      <c r="K1042">
        <v>0</v>
      </c>
    </row>
    <row r="1043" spans="1:11">
      <c r="A1043" t="s">
        <v>1669</v>
      </c>
      <c r="B1043">
        <v>0</v>
      </c>
      <c r="C1043">
        <v>0</v>
      </c>
      <c r="D1043">
        <v>0</v>
      </c>
      <c r="E1043">
        <v>0</v>
      </c>
      <c r="F1043">
        <v>0</v>
      </c>
      <c r="G1043">
        <v>0</v>
      </c>
      <c r="H1043">
        <v>0</v>
      </c>
      <c r="I1043">
        <v>0</v>
      </c>
      <c r="J1043">
        <v>0</v>
      </c>
      <c r="K1043">
        <v>0</v>
      </c>
    </row>
    <row r="1044" spans="1:11">
      <c r="A1044" t="s">
        <v>1670</v>
      </c>
      <c r="B1044">
        <v>6</v>
      </c>
      <c r="C1044">
        <v>0</v>
      </c>
      <c r="D1044">
        <v>0</v>
      </c>
      <c r="E1044">
        <v>0</v>
      </c>
      <c r="F1044">
        <v>0</v>
      </c>
      <c r="G1044">
        <v>0</v>
      </c>
      <c r="H1044">
        <v>0</v>
      </c>
      <c r="I1044">
        <v>0</v>
      </c>
      <c r="J1044">
        <v>0</v>
      </c>
      <c r="K1044">
        <v>0</v>
      </c>
    </row>
    <row r="1045" spans="1:11">
      <c r="A1045" t="s">
        <v>1671</v>
      </c>
      <c r="B1045">
        <v>9</v>
      </c>
      <c r="C1045">
        <v>0</v>
      </c>
      <c r="D1045">
        <v>0</v>
      </c>
      <c r="E1045">
        <v>0</v>
      </c>
      <c r="F1045">
        <v>0</v>
      </c>
      <c r="G1045">
        <v>0</v>
      </c>
      <c r="H1045">
        <v>0</v>
      </c>
      <c r="I1045">
        <v>0</v>
      </c>
      <c r="J1045">
        <v>0</v>
      </c>
      <c r="K1045">
        <v>0</v>
      </c>
    </row>
    <row r="1046" spans="1:11">
      <c r="A1046" t="s">
        <v>1672</v>
      </c>
      <c r="B1046">
        <v>4</v>
      </c>
      <c r="C1046">
        <v>0</v>
      </c>
      <c r="D1046">
        <v>0</v>
      </c>
      <c r="E1046">
        <v>0</v>
      </c>
      <c r="F1046">
        <v>0</v>
      </c>
      <c r="G1046">
        <v>0</v>
      </c>
      <c r="H1046">
        <v>0</v>
      </c>
      <c r="I1046">
        <v>0</v>
      </c>
      <c r="J1046">
        <v>0</v>
      </c>
      <c r="K1046">
        <v>0</v>
      </c>
    </row>
    <row r="1047" spans="1:11">
      <c r="A1047" t="s">
        <v>1673</v>
      </c>
      <c r="B1047">
        <v>0</v>
      </c>
      <c r="C1047">
        <v>0</v>
      </c>
      <c r="D1047">
        <v>0</v>
      </c>
      <c r="E1047">
        <v>0</v>
      </c>
      <c r="F1047">
        <v>0</v>
      </c>
      <c r="G1047">
        <v>0</v>
      </c>
      <c r="H1047">
        <v>0</v>
      </c>
      <c r="I1047">
        <v>0</v>
      </c>
      <c r="J1047">
        <v>0</v>
      </c>
      <c r="K1047">
        <v>0</v>
      </c>
    </row>
    <row r="1048" spans="1:11">
      <c r="A1048" t="s">
        <v>1674</v>
      </c>
      <c r="B1048">
        <v>5</v>
      </c>
      <c r="C1048">
        <v>0</v>
      </c>
      <c r="D1048">
        <v>0</v>
      </c>
      <c r="E1048">
        <v>0</v>
      </c>
      <c r="F1048">
        <v>0</v>
      </c>
      <c r="G1048">
        <v>0</v>
      </c>
      <c r="H1048">
        <v>0</v>
      </c>
      <c r="I1048">
        <v>0</v>
      </c>
      <c r="J1048">
        <v>0</v>
      </c>
      <c r="K1048">
        <v>0</v>
      </c>
    </row>
    <row r="1049" spans="1:11">
      <c r="A1049" t="s">
        <v>1675</v>
      </c>
      <c r="B1049">
        <v>19</v>
      </c>
      <c r="C1049">
        <v>0</v>
      </c>
      <c r="D1049">
        <v>0</v>
      </c>
      <c r="E1049">
        <v>0</v>
      </c>
      <c r="F1049">
        <v>0</v>
      </c>
      <c r="G1049">
        <v>0</v>
      </c>
      <c r="H1049">
        <v>0</v>
      </c>
      <c r="I1049">
        <v>0</v>
      </c>
      <c r="J1049">
        <v>0</v>
      </c>
      <c r="K1049">
        <v>0</v>
      </c>
    </row>
    <row r="1050" spans="1:11">
      <c r="A1050" t="s">
        <v>1676</v>
      </c>
      <c r="B1050">
        <v>10</v>
      </c>
      <c r="C1050">
        <v>0</v>
      </c>
      <c r="D1050">
        <v>0</v>
      </c>
      <c r="E1050">
        <v>0</v>
      </c>
      <c r="F1050">
        <v>0</v>
      </c>
      <c r="G1050">
        <v>0</v>
      </c>
      <c r="H1050">
        <v>0</v>
      </c>
      <c r="I1050">
        <v>0</v>
      </c>
      <c r="J1050">
        <v>0</v>
      </c>
      <c r="K1050">
        <v>0</v>
      </c>
    </row>
    <row r="1051" spans="1:11">
      <c r="A1051" t="s">
        <v>1677</v>
      </c>
      <c r="B1051">
        <v>20</v>
      </c>
      <c r="C1051">
        <v>0</v>
      </c>
      <c r="D1051">
        <v>0</v>
      </c>
      <c r="E1051">
        <v>0</v>
      </c>
      <c r="F1051">
        <v>0</v>
      </c>
      <c r="G1051">
        <v>0</v>
      </c>
      <c r="H1051">
        <v>0</v>
      </c>
      <c r="I1051">
        <v>0</v>
      </c>
      <c r="J1051">
        <v>0</v>
      </c>
      <c r="K1051">
        <v>0</v>
      </c>
    </row>
    <row r="1052" spans="1:11">
      <c r="A1052" t="s">
        <v>1678</v>
      </c>
      <c r="B1052">
        <v>19</v>
      </c>
      <c r="C1052">
        <v>0</v>
      </c>
      <c r="D1052">
        <v>0</v>
      </c>
      <c r="E1052">
        <v>0</v>
      </c>
      <c r="F1052">
        <v>0</v>
      </c>
      <c r="G1052">
        <v>0</v>
      </c>
      <c r="H1052">
        <v>0</v>
      </c>
      <c r="I1052">
        <v>0</v>
      </c>
      <c r="J1052">
        <v>0</v>
      </c>
      <c r="K1052">
        <v>0</v>
      </c>
    </row>
    <row r="1053" spans="1:11">
      <c r="A1053" t="s">
        <v>1679</v>
      </c>
      <c r="B1053">
        <v>21</v>
      </c>
      <c r="C1053">
        <v>0</v>
      </c>
      <c r="D1053">
        <v>0</v>
      </c>
      <c r="E1053">
        <v>0</v>
      </c>
      <c r="F1053">
        <v>0</v>
      </c>
      <c r="G1053">
        <v>0</v>
      </c>
      <c r="H1053">
        <v>0</v>
      </c>
      <c r="I1053">
        <v>0</v>
      </c>
      <c r="J1053">
        <v>0</v>
      </c>
      <c r="K1053">
        <v>0</v>
      </c>
    </row>
    <row r="1054" spans="1:11">
      <c r="A1054" t="s">
        <v>1680</v>
      </c>
      <c r="B1054">
        <v>0</v>
      </c>
      <c r="C1054">
        <v>0</v>
      </c>
      <c r="D1054">
        <v>0</v>
      </c>
      <c r="E1054">
        <v>0</v>
      </c>
      <c r="F1054">
        <v>0</v>
      </c>
      <c r="G1054">
        <v>0</v>
      </c>
      <c r="H1054">
        <v>0</v>
      </c>
      <c r="I1054">
        <v>0</v>
      </c>
      <c r="J1054">
        <v>0</v>
      </c>
      <c r="K1054">
        <v>0</v>
      </c>
    </row>
    <row r="1055" spans="1:11">
      <c r="A1055" t="s">
        <v>1681</v>
      </c>
      <c r="B1055">
        <v>30</v>
      </c>
      <c r="C1055">
        <v>0</v>
      </c>
      <c r="D1055">
        <v>0</v>
      </c>
      <c r="E1055">
        <v>0</v>
      </c>
      <c r="F1055">
        <v>0</v>
      </c>
      <c r="G1055">
        <v>0</v>
      </c>
      <c r="H1055">
        <v>0</v>
      </c>
      <c r="I1055">
        <v>0</v>
      </c>
      <c r="J1055">
        <v>0</v>
      </c>
      <c r="K1055">
        <v>0</v>
      </c>
    </row>
    <row r="1056" spans="1:11">
      <c r="A1056" t="s">
        <v>1682</v>
      </c>
      <c r="B1056">
        <v>7</v>
      </c>
      <c r="C1056">
        <v>0</v>
      </c>
      <c r="D1056">
        <v>0</v>
      </c>
      <c r="E1056">
        <v>0</v>
      </c>
      <c r="F1056">
        <v>0</v>
      </c>
      <c r="G1056">
        <v>0</v>
      </c>
      <c r="H1056">
        <v>0</v>
      </c>
      <c r="I1056">
        <v>0</v>
      </c>
      <c r="J1056">
        <v>0</v>
      </c>
      <c r="K1056">
        <v>0</v>
      </c>
    </row>
    <row r="1057" spans="1:11">
      <c r="A1057" t="s">
        <v>1683</v>
      </c>
      <c r="B1057">
        <v>5</v>
      </c>
      <c r="C1057">
        <v>0</v>
      </c>
      <c r="D1057">
        <v>0</v>
      </c>
      <c r="E1057">
        <v>0</v>
      </c>
      <c r="F1057">
        <v>0</v>
      </c>
      <c r="G1057">
        <v>0</v>
      </c>
      <c r="H1057">
        <v>0</v>
      </c>
      <c r="I1057">
        <v>0</v>
      </c>
      <c r="J1057">
        <v>0</v>
      </c>
      <c r="K1057">
        <v>0</v>
      </c>
    </row>
    <row r="1058" spans="1:11">
      <c r="A1058" t="s">
        <v>1684</v>
      </c>
      <c r="B1058">
        <v>5</v>
      </c>
      <c r="C1058">
        <v>0</v>
      </c>
      <c r="D1058">
        <v>0</v>
      </c>
      <c r="E1058">
        <v>0</v>
      </c>
      <c r="F1058">
        <v>0</v>
      </c>
      <c r="G1058">
        <v>0</v>
      </c>
      <c r="H1058">
        <v>0</v>
      </c>
      <c r="I1058">
        <v>0</v>
      </c>
      <c r="J1058">
        <v>0</v>
      </c>
      <c r="K1058">
        <v>0</v>
      </c>
    </row>
    <row r="1059" spans="1:11">
      <c r="A1059" t="s">
        <v>1274</v>
      </c>
      <c r="B1059">
        <v>2</v>
      </c>
      <c r="C1059">
        <v>0</v>
      </c>
      <c r="D1059">
        <v>0</v>
      </c>
      <c r="E1059">
        <v>0</v>
      </c>
      <c r="F1059">
        <v>0</v>
      </c>
      <c r="G1059">
        <v>0</v>
      </c>
      <c r="H1059">
        <v>2</v>
      </c>
      <c r="I1059">
        <v>0</v>
      </c>
      <c r="J1059">
        <v>0</v>
      </c>
      <c r="K1059">
        <v>0</v>
      </c>
    </row>
    <row r="1060" spans="1:11">
      <c r="A1060" t="s">
        <v>1275</v>
      </c>
      <c r="B1060">
        <v>2</v>
      </c>
      <c r="C1060">
        <v>0</v>
      </c>
      <c r="D1060">
        <v>0</v>
      </c>
      <c r="E1060">
        <v>0</v>
      </c>
      <c r="F1060">
        <v>0</v>
      </c>
      <c r="G1060">
        <v>0</v>
      </c>
      <c r="H1060">
        <v>2</v>
      </c>
      <c r="I1060">
        <v>0</v>
      </c>
      <c r="J1060">
        <v>0</v>
      </c>
      <c r="K1060">
        <v>0</v>
      </c>
    </row>
    <row r="1061" spans="1:11">
      <c r="A1061" t="s">
        <v>1276</v>
      </c>
      <c r="B1061">
        <v>2</v>
      </c>
      <c r="C1061">
        <v>0</v>
      </c>
      <c r="D1061">
        <v>0</v>
      </c>
      <c r="E1061">
        <v>0</v>
      </c>
      <c r="F1061">
        <v>0</v>
      </c>
      <c r="G1061">
        <v>0</v>
      </c>
      <c r="H1061">
        <v>2</v>
      </c>
      <c r="I1061">
        <v>0</v>
      </c>
      <c r="J1061">
        <v>0</v>
      </c>
      <c r="K1061">
        <v>0</v>
      </c>
    </row>
    <row r="1062" spans="1:11">
      <c r="A1062" t="s">
        <v>1277</v>
      </c>
      <c r="B1062">
        <v>2</v>
      </c>
      <c r="C1062">
        <v>0</v>
      </c>
      <c r="D1062">
        <v>0</v>
      </c>
      <c r="E1062">
        <v>0</v>
      </c>
      <c r="F1062">
        <v>0</v>
      </c>
      <c r="G1062">
        <v>0</v>
      </c>
      <c r="H1062">
        <v>2</v>
      </c>
      <c r="I1062">
        <v>0</v>
      </c>
      <c r="J1062">
        <v>0</v>
      </c>
      <c r="K1062">
        <v>0</v>
      </c>
    </row>
    <row r="1063" spans="1:11">
      <c r="A1063" t="s">
        <v>392</v>
      </c>
      <c r="B1063">
        <v>4</v>
      </c>
      <c r="C1063">
        <v>0</v>
      </c>
      <c r="D1063">
        <v>1</v>
      </c>
      <c r="E1063">
        <v>1</v>
      </c>
      <c r="F1063">
        <v>1</v>
      </c>
      <c r="G1063">
        <v>0</v>
      </c>
      <c r="H1063">
        <v>1</v>
      </c>
      <c r="I1063">
        <v>0</v>
      </c>
      <c r="J1063">
        <v>0</v>
      </c>
      <c r="K1063">
        <v>0</v>
      </c>
    </row>
    <row r="1064" spans="1:11">
      <c r="A1064" t="s">
        <v>393</v>
      </c>
      <c r="B1064">
        <v>211</v>
      </c>
      <c r="C1064">
        <v>0</v>
      </c>
      <c r="D1064">
        <v>45</v>
      </c>
      <c r="E1064">
        <v>44</v>
      </c>
      <c r="F1064">
        <v>44</v>
      </c>
      <c r="G1064">
        <v>0</v>
      </c>
      <c r="H1064">
        <v>44</v>
      </c>
      <c r="I1064">
        <v>34</v>
      </c>
      <c r="J1064">
        <v>0</v>
      </c>
      <c r="K1064">
        <v>0</v>
      </c>
    </row>
    <row r="1065" spans="1:11">
      <c r="A1065" t="s">
        <v>394</v>
      </c>
      <c r="B1065">
        <v>11</v>
      </c>
      <c r="C1065">
        <v>0</v>
      </c>
      <c r="D1065">
        <v>3</v>
      </c>
      <c r="E1065">
        <v>2</v>
      </c>
      <c r="F1065">
        <v>2</v>
      </c>
      <c r="G1065">
        <v>0</v>
      </c>
      <c r="H1065">
        <v>2</v>
      </c>
      <c r="I1065">
        <v>2</v>
      </c>
      <c r="J1065">
        <v>0</v>
      </c>
      <c r="K1065">
        <v>0</v>
      </c>
    </row>
    <row r="1066" spans="1:11">
      <c r="A1066" t="s">
        <v>395</v>
      </c>
      <c r="B1066">
        <v>49</v>
      </c>
      <c r="C1066">
        <v>0</v>
      </c>
      <c r="D1066">
        <v>13</v>
      </c>
      <c r="E1066">
        <v>12</v>
      </c>
      <c r="F1066">
        <v>12</v>
      </c>
      <c r="G1066">
        <v>0</v>
      </c>
      <c r="H1066">
        <v>12</v>
      </c>
      <c r="I1066">
        <v>0</v>
      </c>
      <c r="J1066">
        <v>0</v>
      </c>
      <c r="K1066">
        <v>0</v>
      </c>
    </row>
    <row r="1067" spans="1:11">
      <c r="A1067" t="s">
        <v>396</v>
      </c>
      <c r="B1067">
        <v>9</v>
      </c>
      <c r="C1067">
        <v>0</v>
      </c>
      <c r="D1067">
        <v>2</v>
      </c>
      <c r="E1067">
        <v>2</v>
      </c>
      <c r="F1067">
        <v>2</v>
      </c>
      <c r="G1067">
        <v>0</v>
      </c>
      <c r="H1067">
        <v>2</v>
      </c>
      <c r="I1067">
        <v>1</v>
      </c>
      <c r="J1067">
        <v>0</v>
      </c>
      <c r="K1067">
        <v>0</v>
      </c>
    </row>
    <row r="1068" spans="1:11">
      <c r="A1068" t="s">
        <v>397</v>
      </c>
      <c r="B1068">
        <v>121</v>
      </c>
      <c r="C1068">
        <v>0</v>
      </c>
      <c r="D1068">
        <v>26</v>
      </c>
      <c r="E1068">
        <v>26</v>
      </c>
      <c r="F1068">
        <v>25</v>
      </c>
      <c r="G1068">
        <v>0</v>
      </c>
      <c r="H1068">
        <v>25</v>
      </c>
      <c r="I1068">
        <v>19</v>
      </c>
      <c r="J1068">
        <v>0</v>
      </c>
      <c r="K1068">
        <v>0</v>
      </c>
    </row>
    <row r="1069" spans="1:11">
      <c r="A1069" t="s">
        <v>398</v>
      </c>
      <c r="B1069">
        <v>10</v>
      </c>
      <c r="C1069">
        <v>0</v>
      </c>
      <c r="D1069">
        <v>2</v>
      </c>
      <c r="E1069">
        <v>2</v>
      </c>
      <c r="F1069">
        <v>2</v>
      </c>
      <c r="G1069">
        <v>0</v>
      </c>
      <c r="H1069">
        <v>2</v>
      </c>
      <c r="I1069">
        <v>2</v>
      </c>
      <c r="J1069">
        <v>0</v>
      </c>
      <c r="K1069">
        <v>0</v>
      </c>
    </row>
    <row r="1070" spans="1:11">
      <c r="A1070" t="s">
        <v>399</v>
      </c>
      <c r="B1070">
        <v>108</v>
      </c>
      <c r="C1070">
        <v>0</v>
      </c>
      <c r="D1070">
        <v>23</v>
      </c>
      <c r="E1070">
        <v>23</v>
      </c>
      <c r="F1070">
        <v>23</v>
      </c>
      <c r="G1070">
        <v>0</v>
      </c>
      <c r="H1070">
        <v>22</v>
      </c>
      <c r="I1070">
        <v>17</v>
      </c>
      <c r="J1070">
        <v>0</v>
      </c>
      <c r="K1070">
        <v>0</v>
      </c>
    </row>
    <row r="1071" spans="1:11">
      <c r="A1071" t="s">
        <v>400</v>
      </c>
      <c r="B1071">
        <v>17</v>
      </c>
      <c r="C1071">
        <v>0</v>
      </c>
      <c r="D1071">
        <v>4</v>
      </c>
      <c r="E1071">
        <v>4</v>
      </c>
      <c r="F1071">
        <v>3</v>
      </c>
      <c r="G1071">
        <v>0</v>
      </c>
      <c r="H1071">
        <v>3</v>
      </c>
      <c r="I1071">
        <v>3</v>
      </c>
      <c r="J1071">
        <v>0</v>
      </c>
      <c r="K1071">
        <v>0</v>
      </c>
    </row>
    <row r="1072" spans="1:11">
      <c r="A1072" t="s">
        <v>401</v>
      </c>
      <c r="B1072">
        <v>171</v>
      </c>
      <c r="C1072">
        <v>0</v>
      </c>
      <c r="D1072">
        <v>45</v>
      </c>
      <c r="E1072">
        <v>45</v>
      </c>
      <c r="F1072">
        <v>0</v>
      </c>
      <c r="G1072">
        <v>0</v>
      </c>
      <c r="H1072">
        <v>45</v>
      </c>
      <c r="I1072">
        <v>36</v>
      </c>
      <c r="J1072">
        <v>0</v>
      </c>
      <c r="K1072">
        <v>0</v>
      </c>
    </row>
    <row r="1073" spans="1:11">
      <c r="A1073" t="s">
        <v>402</v>
      </c>
      <c r="B1073">
        <v>266</v>
      </c>
      <c r="C1073">
        <v>0</v>
      </c>
      <c r="D1073">
        <v>56</v>
      </c>
      <c r="E1073">
        <v>56</v>
      </c>
      <c r="F1073">
        <v>56</v>
      </c>
      <c r="G1073">
        <v>0</v>
      </c>
      <c r="H1073">
        <v>56</v>
      </c>
      <c r="I1073">
        <v>42</v>
      </c>
      <c r="J1073">
        <v>0</v>
      </c>
      <c r="K1073">
        <v>0</v>
      </c>
    </row>
    <row r="1074" spans="1:11">
      <c r="A1074" t="s">
        <v>403</v>
      </c>
      <c r="B1074">
        <v>3</v>
      </c>
      <c r="C1074">
        <v>0</v>
      </c>
      <c r="D1074">
        <v>1</v>
      </c>
      <c r="E1074">
        <v>1</v>
      </c>
      <c r="F1074">
        <v>1</v>
      </c>
      <c r="G1074">
        <v>0</v>
      </c>
      <c r="H1074">
        <v>0</v>
      </c>
      <c r="I1074">
        <v>0</v>
      </c>
      <c r="J1074">
        <v>0</v>
      </c>
      <c r="K1074">
        <v>0</v>
      </c>
    </row>
    <row r="1075" spans="1:11">
      <c r="A1075" t="s">
        <v>404</v>
      </c>
      <c r="B1075">
        <v>24</v>
      </c>
      <c r="C1075">
        <v>0</v>
      </c>
      <c r="D1075">
        <v>5</v>
      </c>
      <c r="E1075">
        <v>5</v>
      </c>
      <c r="F1075">
        <v>5</v>
      </c>
      <c r="G1075">
        <v>0</v>
      </c>
      <c r="H1075">
        <v>5</v>
      </c>
      <c r="I1075">
        <v>4</v>
      </c>
      <c r="J1075">
        <v>0</v>
      </c>
      <c r="K1075">
        <v>0</v>
      </c>
    </row>
    <row r="1076" spans="1:11">
      <c r="A1076" t="s">
        <v>405</v>
      </c>
      <c r="B1076">
        <v>100</v>
      </c>
      <c r="C1076">
        <v>0</v>
      </c>
      <c r="D1076">
        <v>21</v>
      </c>
      <c r="E1076">
        <v>21</v>
      </c>
      <c r="F1076">
        <v>21</v>
      </c>
      <c r="G1076">
        <v>0</v>
      </c>
      <c r="H1076">
        <v>21</v>
      </c>
      <c r="I1076">
        <v>16</v>
      </c>
      <c r="J1076">
        <v>0</v>
      </c>
      <c r="K1076">
        <v>0</v>
      </c>
    </row>
    <row r="1077" spans="1:11">
      <c r="A1077" t="s">
        <v>406</v>
      </c>
      <c r="B1077">
        <v>9</v>
      </c>
      <c r="C1077">
        <v>0</v>
      </c>
      <c r="D1077">
        <v>2</v>
      </c>
      <c r="E1077">
        <v>2</v>
      </c>
      <c r="F1077">
        <v>2</v>
      </c>
      <c r="G1077">
        <v>0</v>
      </c>
      <c r="H1077">
        <v>2</v>
      </c>
      <c r="I1077">
        <v>1</v>
      </c>
      <c r="J1077">
        <v>0</v>
      </c>
      <c r="K1077">
        <v>0</v>
      </c>
    </row>
    <row r="1078" spans="1:11">
      <c r="A1078" t="s">
        <v>407</v>
      </c>
      <c r="B1078">
        <v>136</v>
      </c>
      <c r="C1078">
        <v>0</v>
      </c>
      <c r="D1078">
        <v>29</v>
      </c>
      <c r="E1078">
        <v>29</v>
      </c>
      <c r="F1078">
        <v>29</v>
      </c>
      <c r="G1078">
        <v>0</v>
      </c>
      <c r="H1078">
        <v>28</v>
      </c>
      <c r="I1078">
        <v>21</v>
      </c>
      <c r="J1078">
        <v>0</v>
      </c>
      <c r="K1078">
        <v>0</v>
      </c>
    </row>
    <row r="1079" spans="1:11">
      <c r="A1079" t="s">
        <v>408</v>
      </c>
      <c r="B1079">
        <v>8</v>
      </c>
      <c r="C1079">
        <v>0</v>
      </c>
      <c r="D1079">
        <v>2</v>
      </c>
      <c r="E1079">
        <v>2</v>
      </c>
      <c r="F1079">
        <v>2</v>
      </c>
      <c r="G1079">
        <v>0</v>
      </c>
      <c r="H1079">
        <v>1</v>
      </c>
      <c r="I1079">
        <v>1</v>
      </c>
      <c r="J1079">
        <v>0</v>
      </c>
      <c r="K1079">
        <v>0</v>
      </c>
    </row>
    <row r="1080" spans="1:11">
      <c r="A1080" t="s">
        <v>694</v>
      </c>
      <c r="B1080">
        <v>13</v>
      </c>
      <c r="C1080">
        <v>0</v>
      </c>
      <c r="D1080">
        <v>4</v>
      </c>
      <c r="E1080">
        <v>3</v>
      </c>
      <c r="F1080">
        <v>0</v>
      </c>
      <c r="G1080">
        <v>0</v>
      </c>
      <c r="H1080">
        <v>3</v>
      </c>
      <c r="I1080">
        <v>3</v>
      </c>
      <c r="J1080">
        <v>0</v>
      </c>
      <c r="K1080">
        <v>0</v>
      </c>
    </row>
    <row r="1081" spans="1:11">
      <c r="A1081" t="s">
        <v>533</v>
      </c>
      <c r="B1081">
        <v>0</v>
      </c>
      <c r="C1081">
        <v>0</v>
      </c>
      <c r="D1081">
        <v>0</v>
      </c>
      <c r="E1081">
        <v>0</v>
      </c>
      <c r="F1081">
        <v>0</v>
      </c>
      <c r="G1081">
        <v>0</v>
      </c>
      <c r="H1081">
        <v>0</v>
      </c>
      <c r="I1081">
        <v>0</v>
      </c>
      <c r="J1081">
        <v>0</v>
      </c>
      <c r="K1081">
        <v>0</v>
      </c>
    </row>
    <row r="1082" spans="1:11">
      <c r="A1082" t="s">
        <v>534</v>
      </c>
      <c r="B1082">
        <v>9</v>
      </c>
      <c r="C1082">
        <v>0</v>
      </c>
      <c r="D1082">
        <v>3</v>
      </c>
      <c r="E1082">
        <v>2</v>
      </c>
      <c r="F1082">
        <v>2</v>
      </c>
      <c r="G1082">
        <v>0</v>
      </c>
      <c r="H1082">
        <v>2</v>
      </c>
      <c r="I1082">
        <v>0</v>
      </c>
      <c r="J1082">
        <v>0</v>
      </c>
      <c r="K1082">
        <v>0</v>
      </c>
    </row>
    <row r="1083" spans="1:11">
      <c r="A1083" t="s">
        <v>409</v>
      </c>
      <c r="B1083">
        <v>135</v>
      </c>
      <c r="C1083">
        <v>0</v>
      </c>
      <c r="D1083">
        <v>29</v>
      </c>
      <c r="E1083">
        <v>29</v>
      </c>
      <c r="F1083">
        <v>28</v>
      </c>
      <c r="G1083">
        <v>0</v>
      </c>
      <c r="H1083">
        <v>28</v>
      </c>
      <c r="I1083">
        <v>21</v>
      </c>
      <c r="J1083">
        <v>0</v>
      </c>
      <c r="K1083">
        <v>0</v>
      </c>
    </row>
    <row r="1084" spans="1:11">
      <c r="A1084" t="s">
        <v>410</v>
      </c>
      <c r="B1084">
        <v>216</v>
      </c>
      <c r="C1084">
        <v>0</v>
      </c>
      <c r="D1084">
        <v>46</v>
      </c>
      <c r="E1084">
        <v>46</v>
      </c>
      <c r="F1084">
        <v>45</v>
      </c>
      <c r="G1084">
        <v>0</v>
      </c>
      <c r="H1084">
        <v>45</v>
      </c>
      <c r="I1084">
        <v>34</v>
      </c>
      <c r="J1084">
        <v>0</v>
      </c>
      <c r="K1084">
        <v>0</v>
      </c>
    </row>
    <row r="1085" spans="1:11">
      <c r="A1085" t="s">
        <v>687</v>
      </c>
      <c r="B1085">
        <v>12</v>
      </c>
      <c r="C1085">
        <v>0</v>
      </c>
      <c r="D1085">
        <v>3</v>
      </c>
      <c r="E1085">
        <v>3</v>
      </c>
      <c r="F1085">
        <v>0</v>
      </c>
      <c r="G1085">
        <v>0</v>
      </c>
      <c r="H1085">
        <v>3</v>
      </c>
      <c r="I1085">
        <v>3</v>
      </c>
      <c r="J1085">
        <v>0</v>
      </c>
      <c r="K1085">
        <v>0</v>
      </c>
    </row>
    <row r="1086" spans="1:11">
      <c r="A1086" t="s">
        <v>411</v>
      </c>
      <c r="B1086">
        <v>337</v>
      </c>
      <c r="C1086">
        <v>0</v>
      </c>
      <c r="D1086">
        <v>71</v>
      </c>
      <c r="E1086">
        <v>71</v>
      </c>
      <c r="F1086">
        <v>71</v>
      </c>
      <c r="G1086">
        <v>0</v>
      </c>
      <c r="H1086">
        <v>71</v>
      </c>
      <c r="I1086">
        <v>53</v>
      </c>
      <c r="J1086">
        <v>0</v>
      </c>
      <c r="K1086">
        <v>0</v>
      </c>
    </row>
    <row r="1087" spans="1:11">
      <c r="A1087" t="s">
        <v>412</v>
      </c>
      <c r="B1087">
        <v>109</v>
      </c>
      <c r="C1087">
        <v>0</v>
      </c>
      <c r="D1087">
        <v>37</v>
      </c>
      <c r="E1087">
        <v>36</v>
      </c>
      <c r="F1087">
        <v>0</v>
      </c>
      <c r="G1087">
        <v>0</v>
      </c>
      <c r="H1087">
        <v>36</v>
      </c>
      <c r="I1087">
        <v>0</v>
      </c>
      <c r="J1087">
        <v>0</v>
      </c>
      <c r="K1087">
        <v>0</v>
      </c>
    </row>
    <row r="1088" spans="1:11">
      <c r="A1088" t="s">
        <v>413</v>
      </c>
      <c r="B1088">
        <v>26</v>
      </c>
      <c r="C1088">
        <v>0</v>
      </c>
      <c r="D1088">
        <v>6</v>
      </c>
      <c r="E1088">
        <v>6</v>
      </c>
      <c r="F1088">
        <v>5</v>
      </c>
      <c r="G1088">
        <v>0</v>
      </c>
      <c r="H1088">
        <v>5</v>
      </c>
      <c r="I1088">
        <v>4</v>
      </c>
      <c r="J1088">
        <v>0</v>
      </c>
      <c r="K1088">
        <v>0</v>
      </c>
    </row>
    <row r="1089" spans="1:11">
      <c r="A1089" t="s">
        <v>686</v>
      </c>
      <c r="B1089">
        <v>6</v>
      </c>
      <c r="C1089">
        <v>0</v>
      </c>
      <c r="D1089">
        <v>2</v>
      </c>
      <c r="E1089">
        <v>2</v>
      </c>
      <c r="F1089">
        <v>0</v>
      </c>
      <c r="G1089">
        <v>0</v>
      </c>
      <c r="H1089">
        <v>2</v>
      </c>
      <c r="I1089">
        <v>0</v>
      </c>
      <c r="J1089">
        <v>0</v>
      </c>
      <c r="K1089">
        <v>0</v>
      </c>
    </row>
    <row r="1090" spans="1:11">
      <c r="A1090" t="s">
        <v>414</v>
      </c>
      <c r="B1090">
        <v>68</v>
      </c>
      <c r="C1090">
        <v>0</v>
      </c>
      <c r="D1090">
        <v>17</v>
      </c>
      <c r="E1090">
        <v>17</v>
      </c>
      <c r="F1090">
        <v>17</v>
      </c>
      <c r="G1090">
        <v>0</v>
      </c>
      <c r="H1090">
        <v>17</v>
      </c>
      <c r="I1090">
        <v>0</v>
      </c>
      <c r="J1090">
        <v>0</v>
      </c>
      <c r="K1090">
        <v>0</v>
      </c>
    </row>
    <row r="1091" spans="1:11">
      <c r="A1091" t="s">
        <v>415</v>
      </c>
      <c r="B1091">
        <v>8</v>
      </c>
      <c r="C1091">
        <v>0</v>
      </c>
      <c r="D1091">
        <v>2</v>
      </c>
      <c r="E1091">
        <v>2</v>
      </c>
      <c r="F1091">
        <v>2</v>
      </c>
      <c r="G1091">
        <v>0</v>
      </c>
      <c r="H1091">
        <v>2</v>
      </c>
      <c r="I1091">
        <v>0</v>
      </c>
      <c r="J1091">
        <v>0</v>
      </c>
      <c r="K1091">
        <v>0</v>
      </c>
    </row>
    <row r="1092" spans="1:11">
      <c r="A1092" t="s">
        <v>416</v>
      </c>
      <c r="B1092">
        <v>206</v>
      </c>
      <c r="C1092">
        <v>0</v>
      </c>
      <c r="D1092">
        <v>44</v>
      </c>
      <c r="E1092">
        <v>43</v>
      </c>
      <c r="F1092">
        <v>43</v>
      </c>
      <c r="G1092">
        <v>0</v>
      </c>
      <c r="H1092">
        <v>43</v>
      </c>
      <c r="I1092">
        <v>33</v>
      </c>
      <c r="J1092">
        <v>0</v>
      </c>
      <c r="K1092">
        <v>0</v>
      </c>
    </row>
    <row r="1093" spans="1:11">
      <c r="A1093" t="s">
        <v>417</v>
      </c>
      <c r="B1093">
        <v>192</v>
      </c>
      <c r="C1093">
        <v>0</v>
      </c>
      <c r="D1093">
        <v>41</v>
      </c>
      <c r="E1093">
        <v>41</v>
      </c>
      <c r="F1093">
        <v>40</v>
      </c>
      <c r="G1093">
        <v>0</v>
      </c>
      <c r="H1093">
        <v>40</v>
      </c>
      <c r="I1093">
        <v>30</v>
      </c>
      <c r="J1093">
        <v>0</v>
      </c>
      <c r="K1093">
        <v>0</v>
      </c>
    </row>
    <row r="1094" spans="1:11">
      <c r="A1094" t="s">
        <v>688</v>
      </c>
      <c r="B1094">
        <v>74</v>
      </c>
      <c r="C1094">
        <v>0</v>
      </c>
      <c r="D1094">
        <v>26</v>
      </c>
      <c r="E1094">
        <v>26</v>
      </c>
      <c r="F1094">
        <v>0</v>
      </c>
      <c r="G1094">
        <v>0</v>
      </c>
      <c r="H1094">
        <v>0</v>
      </c>
      <c r="I1094">
        <v>22</v>
      </c>
      <c r="J1094">
        <v>0</v>
      </c>
      <c r="K1094">
        <v>0</v>
      </c>
    </row>
    <row r="1095" spans="1:11">
      <c r="A1095" t="s">
        <v>418</v>
      </c>
      <c r="B1095">
        <v>297</v>
      </c>
      <c r="C1095">
        <v>0</v>
      </c>
      <c r="D1095">
        <v>63</v>
      </c>
      <c r="E1095">
        <v>63</v>
      </c>
      <c r="F1095">
        <v>62</v>
      </c>
      <c r="G1095">
        <v>0</v>
      </c>
      <c r="H1095">
        <v>62</v>
      </c>
      <c r="I1095">
        <v>47</v>
      </c>
      <c r="J1095">
        <v>0</v>
      </c>
      <c r="K1095">
        <v>0</v>
      </c>
    </row>
    <row r="1096" spans="1:11">
      <c r="A1096" t="s">
        <v>684</v>
      </c>
      <c r="B1096">
        <v>11</v>
      </c>
      <c r="C1096">
        <v>0</v>
      </c>
      <c r="D1096">
        <v>4</v>
      </c>
      <c r="E1096">
        <v>4</v>
      </c>
      <c r="F1096">
        <v>0</v>
      </c>
      <c r="G1096">
        <v>0</v>
      </c>
      <c r="H1096">
        <v>0</v>
      </c>
      <c r="I1096">
        <v>3</v>
      </c>
      <c r="J1096">
        <v>0</v>
      </c>
      <c r="K1096">
        <v>0</v>
      </c>
    </row>
    <row r="1097" spans="1:11">
      <c r="A1097" t="s">
        <v>419</v>
      </c>
      <c r="B1097">
        <v>25</v>
      </c>
      <c r="C1097">
        <v>0</v>
      </c>
      <c r="D1097">
        <v>7</v>
      </c>
      <c r="E1097">
        <v>6</v>
      </c>
      <c r="F1097">
        <v>6</v>
      </c>
      <c r="G1097">
        <v>0</v>
      </c>
      <c r="H1097">
        <v>6</v>
      </c>
      <c r="I1097">
        <v>0</v>
      </c>
      <c r="J1097">
        <v>0</v>
      </c>
      <c r="K1097">
        <v>0</v>
      </c>
    </row>
    <row r="1098" spans="1:11">
      <c r="A1098" t="s">
        <v>420</v>
      </c>
      <c r="B1098">
        <v>101</v>
      </c>
      <c r="C1098">
        <v>0</v>
      </c>
      <c r="D1098">
        <v>26</v>
      </c>
      <c r="E1098">
        <v>25</v>
      </c>
      <c r="F1098">
        <v>25</v>
      </c>
      <c r="G1098">
        <v>0</v>
      </c>
      <c r="H1098">
        <v>25</v>
      </c>
      <c r="I1098">
        <v>0</v>
      </c>
      <c r="J1098">
        <v>0</v>
      </c>
      <c r="K1098">
        <v>0</v>
      </c>
    </row>
    <row r="1099" spans="1:11">
      <c r="A1099" t="s">
        <v>535</v>
      </c>
      <c r="B1099">
        <v>11</v>
      </c>
      <c r="C1099">
        <v>0</v>
      </c>
      <c r="D1099">
        <v>3</v>
      </c>
      <c r="E1099">
        <v>2</v>
      </c>
      <c r="F1099">
        <v>2</v>
      </c>
      <c r="G1099">
        <v>0</v>
      </c>
      <c r="H1099">
        <v>2</v>
      </c>
      <c r="I1099">
        <v>2</v>
      </c>
      <c r="J1099">
        <v>0</v>
      </c>
      <c r="K1099">
        <v>0</v>
      </c>
    </row>
    <row r="1100" spans="1:11">
      <c r="A1100" t="s">
        <v>421</v>
      </c>
      <c r="B1100">
        <v>7</v>
      </c>
      <c r="C1100">
        <v>0</v>
      </c>
      <c r="D1100">
        <v>2</v>
      </c>
      <c r="E1100">
        <v>2</v>
      </c>
      <c r="F1100">
        <v>1</v>
      </c>
      <c r="G1100">
        <v>0</v>
      </c>
      <c r="H1100">
        <v>1</v>
      </c>
      <c r="I1100">
        <v>1</v>
      </c>
      <c r="J1100">
        <v>0</v>
      </c>
      <c r="K1100">
        <v>0</v>
      </c>
    </row>
    <row r="1101" spans="1:11">
      <c r="A1101" t="s">
        <v>422</v>
      </c>
      <c r="B1101">
        <v>0</v>
      </c>
      <c r="C1101">
        <v>0</v>
      </c>
      <c r="D1101">
        <v>0</v>
      </c>
      <c r="E1101">
        <v>0</v>
      </c>
      <c r="F1101">
        <v>0</v>
      </c>
      <c r="G1101">
        <v>0</v>
      </c>
      <c r="H1101">
        <v>0</v>
      </c>
      <c r="I1101">
        <v>0</v>
      </c>
      <c r="J1101">
        <v>0</v>
      </c>
      <c r="K1101">
        <v>0</v>
      </c>
    </row>
    <row r="1102" spans="1:11">
      <c r="A1102" t="s">
        <v>423</v>
      </c>
      <c r="B1102">
        <v>9</v>
      </c>
      <c r="C1102">
        <v>0</v>
      </c>
      <c r="D1102">
        <v>2</v>
      </c>
      <c r="E1102">
        <v>2</v>
      </c>
      <c r="F1102">
        <v>2</v>
      </c>
      <c r="G1102">
        <v>0</v>
      </c>
      <c r="H1102">
        <v>2</v>
      </c>
      <c r="I1102">
        <v>1</v>
      </c>
      <c r="J1102">
        <v>0</v>
      </c>
      <c r="K1102">
        <v>0</v>
      </c>
    </row>
    <row r="1103" spans="1:11">
      <c r="A1103" t="s">
        <v>424</v>
      </c>
      <c r="B1103">
        <v>104</v>
      </c>
      <c r="C1103">
        <v>0</v>
      </c>
      <c r="D1103">
        <v>22</v>
      </c>
      <c r="E1103">
        <v>22</v>
      </c>
      <c r="F1103">
        <v>22</v>
      </c>
      <c r="G1103">
        <v>0</v>
      </c>
      <c r="H1103">
        <v>22</v>
      </c>
      <c r="I1103">
        <v>16</v>
      </c>
      <c r="J1103">
        <v>0</v>
      </c>
      <c r="K1103">
        <v>0</v>
      </c>
    </row>
    <row r="1104" spans="1:11">
      <c r="A1104" t="s">
        <v>425</v>
      </c>
      <c r="B1104">
        <v>11</v>
      </c>
      <c r="C1104">
        <v>0</v>
      </c>
      <c r="D1104">
        <v>3</v>
      </c>
      <c r="E1104">
        <v>2</v>
      </c>
      <c r="F1104">
        <v>2</v>
      </c>
      <c r="G1104">
        <v>0</v>
      </c>
      <c r="H1104">
        <v>2</v>
      </c>
      <c r="I1104">
        <v>2</v>
      </c>
      <c r="J1104">
        <v>0</v>
      </c>
      <c r="K1104">
        <v>0</v>
      </c>
    </row>
    <row r="1105" spans="1:11">
      <c r="A1105" t="s">
        <v>426</v>
      </c>
      <c r="B1105">
        <v>84</v>
      </c>
      <c r="C1105">
        <v>0</v>
      </c>
      <c r="D1105">
        <v>21</v>
      </c>
      <c r="E1105">
        <v>21</v>
      </c>
      <c r="F1105">
        <v>21</v>
      </c>
      <c r="G1105">
        <v>0</v>
      </c>
      <c r="H1105">
        <v>21</v>
      </c>
      <c r="I1105">
        <v>0</v>
      </c>
      <c r="J1105">
        <v>0</v>
      </c>
      <c r="K1105">
        <v>0</v>
      </c>
    </row>
    <row r="1106" spans="1:11">
      <c r="A1106" t="s">
        <v>427</v>
      </c>
      <c r="B1106">
        <v>13</v>
      </c>
      <c r="C1106">
        <v>0</v>
      </c>
      <c r="D1106">
        <v>3</v>
      </c>
      <c r="E1106">
        <v>3</v>
      </c>
      <c r="F1106">
        <v>3</v>
      </c>
      <c r="G1106">
        <v>0</v>
      </c>
      <c r="H1106">
        <v>2</v>
      </c>
      <c r="I1106">
        <v>2</v>
      </c>
      <c r="J1106">
        <v>0</v>
      </c>
      <c r="K1106">
        <v>0</v>
      </c>
    </row>
    <row r="1107" spans="1:11">
      <c r="A1107" t="s">
        <v>428</v>
      </c>
      <c r="B1107">
        <v>94</v>
      </c>
      <c r="C1107">
        <v>0</v>
      </c>
      <c r="D1107">
        <v>20</v>
      </c>
      <c r="E1107">
        <v>20</v>
      </c>
      <c r="F1107">
        <v>20</v>
      </c>
      <c r="G1107">
        <v>0</v>
      </c>
      <c r="H1107">
        <v>20</v>
      </c>
      <c r="I1107">
        <v>14</v>
      </c>
      <c r="J1107">
        <v>0</v>
      </c>
      <c r="K1107">
        <v>0</v>
      </c>
    </row>
    <row r="1108" spans="1:11">
      <c r="A1108" t="s">
        <v>429</v>
      </c>
      <c r="B1108">
        <v>8</v>
      </c>
      <c r="C1108">
        <v>0</v>
      </c>
      <c r="D1108">
        <v>2</v>
      </c>
      <c r="E1108">
        <v>2</v>
      </c>
      <c r="F1108">
        <v>2</v>
      </c>
      <c r="G1108">
        <v>0</v>
      </c>
      <c r="H1108">
        <v>1</v>
      </c>
      <c r="I1108">
        <v>1</v>
      </c>
      <c r="J1108">
        <v>0</v>
      </c>
      <c r="K1108">
        <v>0</v>
      </c>
    </row>
    <row r="1109" spans="1:11">
      <c r="A1109" t="s">
        <v>430</v>
      </c>
      <c r="B1109">
        <v>179</v>
      </c>
      <c r="C1109">
        <v>0</v>
      </c>
      <c r="D1109">
        <v>38</v>
      </c>
      <c r="E1109">
        <v>38</v>
      </c>
      <c r="F1109">
        <v>38</v>
      </c>
      <c r="G1109">
        <v>0</v>
      </c>
      <c r="H1109">
        <v>37</v>
      </c>
      <c r="I1109">
        <v>28</v>
      </c>
      <c r="J1109">
        <v>0</v>
      </c>
      <c r="K1109">
        <v>0</v>
      </c>
    </row>
    <row r="1110" spans="1:11">
      <c r="A1110" t="s">
        <v>431</v>
      </c>
      <c r="B1110">
        <v>4</v>
      </c>
      <c r="C1110">
        <v>0</v>
      </c>
      <c r="D1110">
        <v>1</v>
      </c>
      <c r="E1110">
        <v>1</v>
      </c>
      <c r="F1110">
        <v>1</v>
      </c>
      <c r="G1110">
        <v>0</v>
      </c>
      <c r="H1110">
        <v>1</v>
      </c>
      <c r="I1110">
        <v>0</v>
      </c>
      <c r="J1110">
        <v>0</v>
      </c>
      <c r="K1110">
        <v>0</v>
      </c>
    </row>
    <row r="1111" spans="1:11">
      <c r="A1111" t="s">
        <v>432</v>
      </c>
      <c r="B1111">
        <v>57</v>
      </c>
      <c r="C1111">
        <v>0</v>
      </c>
      <c r="D1111">
        <v>15</v>
      </c>
      <c r="E1111">
        <v>15</v>
      </c>
      <c r="F1111">
        <v>0</v>
      </c>
      <c r="G1111">
        <v>0</v>
      </c>
      <c r="H1111">
        <v>15</v>
      </c>
      <c r="I1111">
        <v>12</v>
      </c>
      <c r="J1111">
        <v>0</v>
      </c>
      <c r="K1111">
        <v>0</v>
      </c>
    </row>
    <row r="1112" spans="1:11">
      <c r="A1112" t="s">
        <v>433</v>
      </c>
      <c r="B1112">
        <v>112</v>
      </c>
      <c r="C1112">
        <v>0</v>
      </c>
      <c r="D1112">
        <v>24</v>
      </c>
      <c r="E1112">
        <v>24</v>
      </c>
      <c r="F1112">
        <v>24</v>
      </c>
      <c r="G1112">
        <v>0</v>
      </c>
      <c r="H1112">
        <v>23</v>
      </c>
      <c r="I1112">
        <v>17</v>
      </c>
      <c r="J1112">
        <v>0</v>
      </c>
      <c r="K1112">
        <v>0</v>
      </c>
    </row>
    <row r="1113" spans="1:11">
      <c r="A1113" t="s">
        <v>675</v>
      </c>
      <c r="B1113">
        <v>4</v>
      </c>
      <c r="C1113">
        <v>0</v>
      </c>
      <c r="D1113">
        <v>1</v>
      </c>
      <c r="E1113">
        <v>1</v>
      </c>
      <c r="F1113">
        <v>1</v>
      </c>
      <c r="G1113">
        <v>0</v>
      </c>
      <c r="H1113">
        <v>1</v>
      </c>
      <c r="I1113">
        <v>0</v>
      </c>
      <c r="J1113">
        <v>0</v>
      </c>
      <c r="K1113">
        <v>0</v>
      </c>
    </row>
    <row r="1114" spans="1:11">
      <c r="A1114" t="s">
        <v>434</v>
      </c>
      <c r="B1114">
        <v>27</v>
      </c>
      <c r="C1114">
        <v>0</v>
      </c>
      <c r="D1114">
        <v>6</v>
      </c>
      <c r="E1114">
        <v>6</v>
      </c>
      <c r="F1114">
        <v>6</v>
      </c>
      <c r="G1114">
        <v>0</v>
      </c>
      <c r="H1114">
        <v>5</v>
      </c>
      <c r="I1114">
        <v>4</v>
      </c>
      <c r="J1114">
        <v>0</v>
      </c>
      <c r="K1114">
        <v>0</v>
      </c>
    </row>
    <row r="1115" spans="1:11">
      <c r="A1115" t="s">
        <v>435</v>
      </c>
      <c r="B1115">
        <v>114</v>
      </c>
      <c r="C1115">
        <v>0</v>
      </c>
      <c r="D1115">
        <v>24</v>
      </c>
      <c r="E1115">
        <v>24</v>
      </c>
      <c r="F1115">
        <v>24</v>
      </c>
      <c r="G1115">
        <v>0</v>
      </c>
      <c r="H1115">
        <v>24</v>
      </c>
      <c r="I1115">
        <v>18</v>
      </c>
      <c r="J1115">
        <v>0</v>
      </c>
      <c r="K1115">
        <v>0</v>
      </c>
    </row>
    <row r="1116" spans="1:11">
      <c r="A1116" t="s">
        <v>436</v>
      </c>
      <c r="B1116">
        <v>10</v>
      </c>
      <c r="C1116">
        <v>0</v>
      </c>
      <c r="D1116">
        <v>2</v>
      </c>
      <c r="E1116">
        <v>2</v>
      </c>
      <c r="F1116">
        <v>2</v>
      </c>
      <c r="G1116">
        <v>0</v>
      </c>
      <c r="H1116">
        <v>2</v>
      </c>
      <c r="I1116">
        <v>2</v>
      </c>
      <c r="J1116">
        <v>0</v>
      </c>
      <c r="K1116">
        <v>0</v>
      </c>
    </row>
    <row r="1117" spans="1:11">
      <c r="A1117" t="s">
        <v>437</v>
      </c>
      <c r="B1117">
        <v>120</v>
      </c>
      <c r="C1117">
        <v>0</v>
      </c>
      <c r="D1117">
        <v>26</v>
      </c>
      <c r="E1117">
        <v>25</v>
      </c>
      <c r="F1117">
        <v>25</v>
      </c>
      <c r="G1117">
        <v>0</v>
      </c>
      <c r="H1117">
        <v>25</v>
      </c>
      <c r="I1117">
        <v>19</v>
      </c>
      <c r="J1117">
        <v>0</v>
      </c>
      <c r="K1117">
        <v>0</v>
      </c>
    </row>
    <row r="1118" spans="1:11">
      <c r="A1118" t="s">
        <v>438</v>
      </c>
      <c r="B1118">
        <v>21</v>
      </c>
      <c r="C1118">
        <v>0</v>
      </c>
      <c r="D1118">
        <v>5</v>
      </c>
      <c r="E1118">
        <v>4</v>
      </c>
      <c r="F1118">
        <v>4</v>
      </c>
      <c r="G1118">
        <v>0</v>
      </c>
      <c r="H1118">
        <v>4</v>
      </c>
      <c r="I1118">
        <v>4</v>
      </c>
      <c r="J1118">
        <v>0</v>
      </c>
      <c r="K1118">
        <v>0</v>
      </c>
    </row>
    <row r="1119" spans="1:11">
      <c r="A1119" t="s">
        <v>536</v>
      </c>
      <c r="B1119">
        <v>16</v>
      </c>
      <c r="C1119">
        <v>0</v>
      </c>
      <c r="D1119">
        <v>4</v>
      </c>
      <c r="E1119">
        <v>4</v>
      </c>
      <c r="F1119">
        <v>0</v>
      </c>
      <c r="G1119">
        <v>0</v>
      </c>
      <c r="H1119">
        <v>4</v>
      </c>
      <c r="I1119">
        <v>4</v>
      </c>
      <c r="J1119">
        <v>0</v>
      </c>
      <c r="K1119">
        <v>0</v>
      </c>
    </row>
    <row r="1120" spans="1:11">
      <c r="A1120" t="s">
        <v>439</v>
      </c>
      <c r="B1120">
        <v>0</v>
      </c>
      <c r="C1120">
        <v>0</v>
      </c>
      <c r="D1120">
        <v>0</v>
      </c>
      <c r="E1120">
        <v>0</v>
      </c>
      <c r="F1120">
        <v>0</v>
      </c>
      <c r="G1120">
        <v>0</v>
      </c>
      <c r="H1120">
        <v>0</v>
      </c>
      <c r="I1120">
        <v>0</v>
      </c>
      <c r="J1120">
        <v>0</v>
      </c>
      <c r="K1120">
        <v>0</v>
      </c>
    </row>
    <row r="1121" spans="1:11">
      <c r="A1121" t="s">
        <v>440</v>
      </c>
      <c r="B1121">
        <v>7</v>
      </c>
      <c r="C1121">
        <v>0</v>
      </c>
      <c r="D1121">
        <v>2</v>
      </c>
      <c r="E1121">
        <v>2</v>
      </c>
      <c r="F1121">
        <v>2</v>
      </c>
      <c r="G1121">
        <v>0</v>
      </c>
      <c r="H1121">
        <v>1</v>
      </c>
      <c r="I1121">
        <v>0</v>
      </c>
      <c r="J1121">
        <v>0</v>
      </c>
      <c r="K1121">
        <v>0</v>
      </c>
    </row>
    <row r="1122" spans="1:11">
      <c r="A1122" t="s">
        <v>441</v>
      </c>
      <c r="B1122">
        <v>114</v>
      </c>
      <c r="C1122">
        <v>0</v>
      </c>
      <c r="D1122">
        <v>24</v>
      </c>
      <c r="E1122">
        <v>24</v>
      </c>
      <c r="F1122">
        <v>24</v>
      </c>
      <c r="G1122">
        <v>0</v>
      </c>
      <c r="H1122">
        <v>24</v>
      </c>
      <c r="I1122">
        <v>18</v>
      </c>
      <c r="J1122">
        <v>0</v>
      </c>
      <c r="K1122">
        <v>0</v>
      </c>
    </row>
    <row r="1123" spans="1:11">
      <c r="A1123" t="s">
        <v>442</v>
      </c>
      <c r="B1123">
        <v>26</v>
      </c>
      <c r="C1123">
        <v>0</v>
      </c>
      <c r="D1123">
        <v>6</v>
      </c>
      <c r="E1123">
        <v>6</v>
      </c>
      <c r="F1123">
        <v>5</v>
      </c>
      <c r="G1123">
        <v>0</v>
      </c>
      <c r="H1123">
        <v>5</v>
      </c>
      <c r="I1123">
        <v>4</v>
      </c>
      <c r="J1123">
        <v>0</v>
      </c>
      <c r="K1123">
        <v>0</v>
      </c>
    </row>
    <row r="1124" spans="1:11">
      <c r="A1124" t="s">
        <v>537</v>
      </c>
      <c r="B1124">
        <v>10</v>
      </c>
      <c r="C1124">
        <v>0</v>
      </c>
      <c r="D1124">
        <v>3</v>
      </c>
      <c r="E1124">
        <v>3</v>
      </c>
      <c r="F1124">
        <v>0</v>
      </c>
      <c r="G1124">
        <v>0</v>
      </c>
      <c r="H1124">
        <v>2</v>
      </c>
      <c r="I1124">
        <v>2</v>
      </c>
      <c r="J1124">
        <v>0</v>
      </c>
      <c r="K1124">
        <v>0</v>
      </c>
    </row>
    <row r="1125" spans="1:11">
      <c r="A1125" t="s">
        <v>443</v>
      </c>
      <c r="B1125">
        <v>40</v>
      </c>
      <c r="C1125">
        <v>0</v>
      </c>
      <c r="D1125">
        <v>9</v>
      </c>
      <c r="E1125">
        <v>9</v>
      </c>
      <c r="F1125">
        <v>8</v>
      </c>
      <c r="G1125">
        <v>0</v>
      </c>
      <c r="H1125">
        <v>8</v>
      </c>
      <c r="I1125">
        <v>6</v>
      </c>
      <c r="J1125">
        <v>0</v>
      </c>
      <c r="K1125">
        <v>0</v>
      </c>
    </row>
    <row r="1126" spans="1:11">
      <c r="A1126" t="s">
        <v>444</v>
      </c>
      <c r="B1126">
        <v>170</v>
      </c>
      <c r="C1126">
        <v>0</v>
      </c>
      <c r="D1126">
        <v>57</v>
      </c>
      <c r="E1126">
        <v>57</v>
      </c>
      <c r="F1126">
        <v>0</v>
      </c>
      <c r="G1126">
        <v>0</v>
      </c>
      <c r="H1126">
        <v>56</v>
      </c>
      <c r="I1126">
        <v>0</v>
      </c>
      <c r="J1126">
        <v>0</v>
      </c>
      <c r="K1126">
        <v>0</v>
      </c>
    </row>
    <row r="1127" spans="1:11">
      <c r="A1127" t="s">
        <v>445</v>
      </c>
      <c r="B1127">
        <v>26</v>
      </c>
      <c r="C1127">
        <v>0</v>
      </c>
      <c r="D1127">
        <v>6</v>
      </c>
      <c r="E1127">
        <v>6</v>
      </c>
      <c r="F1127">
        <v>5</v>
      </c>
      <c r="G1127">
        <v>0</v>
      </c>
      <c r="H1127">
        <v>5</v>
      </c>
      <c r="I1127">
        <v>4</v>
      </c>
      <c r="J1127">
        <v>0</v>
      </c>
      <c r="K1127">
        <v>0</v>
      </c>
    </row>
    <row r="1128" spans="1:11">
      <c r="A1128" t="s">
        <v>693</v>
      </c>
      <c r="B1128">
        <v>4</v>
      </c>
      <c r="C1128">
        <v>0</v>
      </c>
      <c r="D1128">
        <v>2</v>
      </c>
      <c r="E1128">
        <v>1</v>
      </c>
      <c r="F1128">
        <v>0</v>
      </c>
      <c r="G1128">
        <v>0</v>
      </c>
      <c r="H1128">
        <v>1</v>
      </c>
      <c r="I1128">
        <v>0</v>
      </c>
      <c r="J1128">
        <v>0</v>
      </c>
      <c r="K1128">
        <v>0</v>
      </c>
    </row>
    <row r="1129" spans="1:11">
      <c r="A1129" t="s">
        <v>446</v>
      </c>
      <c r="B1129">
        <v>102</v>
      </c>
      <c r="C1129">
        <v>0</v>
      </c>
      <c r="D1129">
        <v>26</v>
      </c>
      <c r="E1129">
        <v>26</v>
      </c>
      <c r="F1129">
        <v>25</v>
      </c>
      <c r="G1129">
        <v>0</v>
      </c>
      <c r="H1129">
        <v>25</v>
      </c>
      <c r="I1129">
        <v>0</v>
      </c>
      <c r="J1129">
        <v>0</v>
      </c>
      <c r="K1129">
        <v>0</v>
      </c>
    </row>
    <row r="1130" spans="1:11">
      <c r="A1130" t="s">
        <v>447</v>
      </c>
      <c r="B1130">
        <v>17</v>
      </c>
      <c r="C1130">
        <v>0</v>
      </c>
      <c r="D1130">
        <v>5</v>
      </c>
      <c r="E1130">
        <v>4</v>
      </c>
      <c r="F1130">
        <v>4</v>
      </c>
      <c r="G1130">
        <v>0</v>
      </c>
      <c r="H1130">
        <v>4</v>
      </c>
      <c r="I1130">
        <v>0</v>
      </c>
      <c r="J1130">
        <v>0</v>
      </c>
      <c r="K1130">
        <v>0</v>
      </c>
    </row>
    <row r="1131" spans="1:11">
      <c r="A1131" t="s">
        <v>448</v>
      </c>
      <c r="B1131">
        <v>39</v>
      </c>
      <c r="C1131">
        <v>0</v>
      </c>
      <c r="D1131">
        <v>9</v>
      </c>
      <c r="E1131">
        <v>8</v>
      </c>
      <c r="F1131">
        <v>8</v>
      </c>
      <c r="G1131">
        <v>0</v>
      </c>
      <c r="H1131">
        <v>8</v>
      </c>
      <c r="I1131">
        <v>6</v>
      </c>
      <c r="J1131">
        <v>0</v>
      </c>
      <c r="K1131">
        <v>0</v>
      </c>
    </row>
    <row r="1132" spans="1:11">
      <c r="A1132" t="s">
        <v>449</v>
      </c>
      <c r="B1132">
        <v>60</v>
      </c>
      <c r="C1132">
        <v>0</v>
      </c>
      <c r="D1132">
        <v>13</v>
      </c>
      <c r="E1132">
        <v>13</v>
      </c>
      <c r="F1132">
        <v>13</v>
      </c>
      <c r="G1132">
        <v>0</v>
      </c>
      <c r="H1132">
        <v>12</v>
      </c>
      <c r="I1132">
        <v>9</v>
      </c>
      <c r="J1132">
        <v>0</v>
      </c>
      <c r="K1132">
        <v>0</v>
      </c>
    </row>
    <row r="1133" spans="1:11">
      <c r="A1133" t="s">
        <v>682</v>
      </c>
      <c r="B1133">
        <v>23</v>
      </c>
      <c r="C1133">
        <v>0</v>
      </c>
      <c r="D1133">
        <v>8</v>
      </c>
      <c r="E1133">
        <v>8</v>
      </c>
      <c r="F1133">
        <v>0</v>
      </c>
      <c r="G1133">
        <v>0</v>
      </c>
      <c r="H1133">
        <v>0</v>
      </c>
      <c r="I1133">
        <v>7</v>
      </c>
      <c r="J1133">
        <v>0</v>
      </c>
      <c r="K1133">
        <v>0</v>
      </c>
    </row>
    <row r="1134" spans="1:11">
      <c r="A1134" t="s">
        <v>450</v>
      </c>
      <c r="B1134">
        <v>68</v>
      </c>
      <c r="C1134">
        <v>0</v>
      </c>
      <c r="D1134">
        <v>15</v>
      </c>
      <c r="E1134">
        <v>15</v>
      </c>
      <c r="F1134">
        <v>14</v>
      </c>
      <c r="G1134">
        <v>0</v>
      </c>
      <c r="H1134">
        <v>14</v>
      </c>
      <c r="I1134">
        <v>10</v>
      </c>
      <c r="J1134">
        <v>0</v>
      </c>
      <c r="K1134">
        <v>0</v>
      </c>
    </row>
    <row r="1135" spans="1:11">
      <c r="A1135" t="s">
        <v>683</v>
      </c>
      <c r="B1135">
        <v>15</v>
      </c>
      <c r="C1135">
        <v>0</v>
      </c>
      <c r="D1135">
        <v>5</v>
      </c>
      <c r="E1135">
        <v>5</v>
      </c>
      <c r="F1135">
        <v>0</v>
      </c>
      <c r="G1135">
        <v>0</v>
      </c>
      <c r="H1135">
        <v>0</v>
      </c>
      <c r="I1135">
        <v>5</v>
      </c>
      <c r="J1135">
        <v>0</v>
      </c>
      <c r="K1135">
        <v>0</v>
      </c>
    </row>
    <row r="1136" spans="1:11">
      <c r="A1136" t="s">
        <v>451</v>
      </c>
      <c r="B1136">
        <v>49</v>
      </c>
      <c r="C1136">
        <v>0</v>
      </c>
      <c r="D1136">
        <v>13</v>
      </c>
      <c r="E1136">
        <v>12</v>
      </c>
      <c r="F1136">
        <v>12</v>
      </c>
      <c r="G1136">
        <v>0</v>
      </c>
      <c r="H1136">
        <v>12</v>
      </c>
      <c r="I1136">
        <v>0</v>
      </c>
      <c r="J1136">
        <v>0</v>
      </c>
      <c r="K1136">
        <v>0</v>
      </c>
    </row>
    <row r="1137" spans="1:11">
      <c r="A1137" t="s">
        <v>452</v>
      </c>
      <c r="B1137">
        <v>18</v>
      </c>
      <c r="C1137">
        <v>0</v>
      </c>
      <c r="D1137">
        <v>5</v>
      </c>
      <c r="E1137">
        <v>5</v>
      </c>
      <c r="F1137">
        <v>4</v>
      </c>
      <c r="G1137">
        <v>0</v>
      </c>
      <c r="H1137">
        <v>4</v>
      </c>
      <c r="I1137">
        <v>0</v>
      </c>
      <c r="J1137">
        <v>0</v>
      </c>
      <c r="K1137">
        <v>0</v>
      </c>
    </row>
    <row r="1138" spans="1:11">
      <c r="A1138" t="s">
        <v>453</v>
      </c>
      <c r="B1138">
        <v>0</v>
      </c>
      <c r="C1138">
        <v>0</v>
      </c>
      <c r="D1138">
        <v>0</v>
      </c>
      <c r="E1138">
        <v>0</v>
      </c>
      <c r="F1138">
        <v>0</v>
      </c>
      <c r="G1138">
        <v>0</v>
      </c>
      <c r="H1138">
        <v>0</v>
      </c>
      <c r="I1138">
        <v>0</v>
      </c>
      <c r="J1138">
        <v>0</v>
      </c>
      <c r="K1138">
        <v>0</v>
      </c>
    </row>
    <row r="1139" spans="1:11">
      <c r="A1139" t="s">
        <v>454</v>
      </c>
      <c r="B1139">
        <v>6</v>
      </c>
      <c r="C1139">
        <v>0</v>
      </c>
      <c r="D1139">
        <v>2</v>
      </c>
      <c r="E1139">
        <v>1</v>
      </c>
      <c r="F1139">
        <v>1</v>
      </c>
      <c r="G1139">
        <v>0</v>
      </c>
      <c r="H1139">
        <v>1</v>
      </c>
      <c r="I1139">
        <v>1</v>
      </c>
      <c r="J1139">
        <v>0</v>
      </c>
      <c r="K1139">
        <v>0</v>
      </c>
    </row>
    <row r="1140" spans="1:11">
      <c r="A1140" t="s">
        <v>455</v>
      </c>
      <c r="B1140">
        <v>0</v>
      </c>
      <c r="C1140">
        <v>0</v>
      </c>
      <c r="D1140">
        <v>0</v>
      </c>
      <c r="E1140">
        <v>0</v>
      </c>
      <c r="F1140">
        <v>0</v>
      </c>
      <c r="G1140">
        <v>0</v>
      </c>
      <c r="H1140">
        <v>0</v>
      </c>
      <c r="I1140">
        <v>0</v>
      </c>
      <c r="J1140">
        <v>0</v>
      </c>
      <c r="K1140">
        <v>0</v>
      </c>
    </row>
    <row r="1141" spans="1:11">
      <c r="A1141" t="s">
        <v>1752</v>
      </c>
      <c r="B1141">
        <v>6</v>
      </c>
      <c r="C1141">
        <v>0</v>
      </c>
      <c r="D1141">
        <v>0</v>
      </c>
      <c r="E1141">
        <v>0</v>
      </c>
      <c r="F1141">
        <v>0</v>
      </c>
      <c r="G1141">
        <v>0</v>
      </c>
      <c r="H1141">
        <v>0</v>
      </c>
      <c r="I1141">
        <v>0</v>
      </c>
      <c r="J1141">
        <v>0</v>
      </c>
      <c r="K1141">
        <v>0</v>
      </c>
    </row>
    <row r="1142" spans="1:11">
      <c r="A1142" t="s">
        <v>1739</v>
      </c>
      <c r="B1142">
        <v>5</v>
      </c>
      <c r="C1142">
        <v>0</v>
      </c>
      <c r="D1142">
        <v>0</v>
      </c>
      <c r="E1142">
        <v>0</v>
      </c>
      <c r="F1142">
        <v>0</v>
      </c>
      <c r="G1142">
        <v>0</v>
      </c>
      <c r="H1142">
        <v>0</v>
      </c>
      <c r="I1142">
        <v>0</v>
      </c>
      <c r="J1142">
        <v>0</v>
      </c>
      <c r="K1142">
        <v>0</v>
      </c>
    </row>
    <row r="1143" spans="1:11">
      <c r="A1143" t="s">
        <v>1724</v>
      </c>
      <c r="B1143">
        <v>20</v>
      </c>
      <c r="C1143">
        <v>0</v>
      </c>
      <c r="D1143">
        <v>0</v>
      </c>
      <c r="E1143">
        <v>0</v>
      </c>
      <c r="F1143">
        <v>0</v>
      </c>
      <c r="G1143">
        <v>0</v>
      </c>
      <c r="H1143">
        <v>0</v>
      </c>
      <c r="I1143">
        <v>0</v>
      </c>
      <c r="J1143">
        <v>0</v>
      </c>
      <c r="K1143">
        <v>0</v>
      </c>
    </row>
    <row r="1144" spans="1:11">
      <c r="A1144" t="s">
        <v>1850</v>
      </c>
      <c r="B1144">
        <v>5</v>
      </c>
      <c r="C1144">
        <v>0</v>
      </c>
      <c r="D1144">
        <v>0</v>
      </c>
      <c r="E1144">
        <v>0</v>
      </c>
      <c r="F1144">
        <v>0</v>
      </c>
      <c r="G1144">
        <v>0</v>
      </c>
      <c r="H1144">
        <v>0</v>
      </c>
      <c r="I1144">
        <v>0</v>
      </c>
      <c r="J1144">
        <v>0</v>
      </c>
      <c r="K1144">
        <v>0</v>
      </c>
    </row>
    <row r="1145" spans="1:11">
      <c r="A1145" t="s">
        <v>1758</v>
      </c>
      <c r="B1145">
        <v>0</v>
      </c>
      <c r="C1145">
        <v>0</v>
      </c>
      <c r="D1145">
        <v>0</v>
      </c>
      <c r="E1145">
        <v>0</v>
      </c>
      <c r="F1145">
        <v>0</v>
      </c>
      <c r="G1145">
        <v>0</v>
      </c>
      <c r="H1145">
        <v>0</v>
      </c>
      <c r="I1145">
        <v>0</v>
      </c>
      <c r="J1145">
        <v>0</v>
      </c>
      <c r="K1145">
        <v>0</v>
      </c>
    </row>
    <row r="1146" spans="1:11">
      <c r="A1146" t="s">
        <v>1729</v>
      </c>
      <c r="B1146">
        <v>9</v>
      </c>
      <c r="C1146">
        <v>0</v>
      </c>
      <c r="D1146">
        <v>0</v>
      </c>
      <c r="E1146">
        <v>0</v>
      </c>
      <c r="F1146">
        <v>0</v>
      </c>
      <c r="G1146">
        <v>0</v>
      </c>
      <c r="H1146">
        <v>0</v>
      </c>
      <c r="I1146">
        <v>0</v>
      </c>
      <c r="J1146">
        <v>0</v>
      </c>
      <c r="K1146">
        <v>0</v>
      </c>
    </row>
    <row r="1147" spans="1:11">
      <c r="A1147" t="s">
        <v>1712</v>
      </c>
      <c r="B1147">
        <v>0</v>
      </c>
      <c r="C1147">
        <v>0</v>
      </c>
      <c r="D1147">
        <v>0</v>
      </c>
      <c r="E1147">
        <v>0</v>
      </c>
      <c r="F1147">
        <v>0</v>
      </c>
      <c r="G1147">
        <v>0</v>
      </c>
      <c r="H1147">
        <v>0</v>
      </c>
      <c r="I1147">
        <v>0</v>
      </c>
      <c r="J1147">
        <v>0</v>
      </c>
      <c r="K1147">
        <v>0</v>
      </c>
    </row>
    <row r="1148" spans="1:11">
      <c r="A1148" t="s">
        <v>1713</v>
      </c>
      <c r="B1148">
        <v>1</v>
      </c>
      <c r="C1148">
        <v>0</v>
      </c>
      <c r="D1148">
        <v>0</v>
      </c>
      <c r="E1148">
        <v>0</v>
      </c>
      <c r="F1148">
        <v>0</v>
      </c>
      <c r="G1148">
        <v>0</v>
      </c>
      <c r="H1148">
        <v>0</v>
      </c>
      <c r="I1148">
        <v>0</v>
      </c>
      <c r="J1148">
        <v>0</v>
      </c>
      <c r="K1148">
        <v>0</v>
      </c>
    </row>
    <row r="1149" spans="1:11">
      <c r="A1149" t="s">
        <v>1702</v>
      </c>
      <c r="B1149">
        <v>20</v>
      </c>
      <c r="C1149">
        <v>0</v>
      </c>
      <c r="D1149">
        <v>0</v>
      </c>
      <c r="E1149">
        <v>0</v>
      </c>
      <c r="F1149">
        <v>0</v>
      </c>
      <c r="G1149">
        <v>0</v>
      </c>
      <c r="H1149">
        <v>0</v>
      </c>
      <c r="I1149">
        <v>0</v>
      </c>
      <c r="J1149">
        <v>0</v>
      </c>
      <c r="K1149">
        <v>0</v>
      </c>
    </row>
    <row r="1150" spans="1:11">
      <c r="A1150" t="s">
        <v>1862</v>
      </c>
      <c r="B1150">
        <v>4</v>
      </c>
      <c r="C1150">
        <v>0</v>
      </c>
      <c r="D1150">
        <v>0</v>
      </c>
      <c r="E1150">
        <v>0</v>
      </c>
      <c r="F1150">
        <v>0</v>
      </c>
      <c r="G1150">
        <v>0</v>
      </c>
      <c r="H1150">
        <v>0</v>
      </c>
      <c r="I1150">
        <v>0</v>
      </c>
      <c r="J1150">
        <v>0</v>
      </c>
      <c r="K1150">
        <v>0</v>
      </c>
    </row>
    <row r="1151" spans="1:11">
      <c r="A1151" t="s">
        <v>1840</v>
      </c>
      <c r="B1151">
        <v>8</v>
      </c>
      <c r="C1151">
        <v>0</v>
      </c>
      <c r="D1151">
        <v>0</v>
      </c>
      <c r="E1151">
        <v>0</v>
      </c>
      <c r="F1151">
        <v>0</v>
      </c>
      <c r="G1151">
        <v>0</v>
      </c>
      <c r="H1151">
        <v>0</v>
      </c>
      <c r="I1151">
        <v>0</v>
      </c>
      <c r="J1151">
        <v>0</v>
      </c>
      <c r="K1151">
        <v>0</v>
      </c>
    </row>
    <row r="1152" spans="1:11">
      <c r="A1152" t="s">
        <v>1809</v>
      </c>
      <c r="B1152">
        <v>0</v>
      </c>
      <c r="C1152">
        <v>0</v>
      </c>
      <c r="D1152">
        <v>0</v>
      </c>
      <c r="E1152">
        <v>0</v>
      </c>
      <c r="F1152">
        <v>0</v>
      </c>
      <c r="G1152">
        <v>0</v>
      </c>
      <c r="H1152">
        <v>0</v>
      </c>
      <c r="I1152">
        <v>0</v>
      </c>
      <c r="J1152">
        <v>0</v>
      </c>
      <c r="K1152">
        <v>0</v>
      </c>
    </row>
    <row r="1153" spans="1:11">
      <c r="A1153" t="s">
        <v>1831</v>
      </c>
      <c r="B1153">
        <v>0</v>
      </c>
      <c r="C1153">
        <v>0</v>
      </c>
      <c r="D1153">
        <v>0</v>
      </c>
      <c r="E1153">
        <v>0</v>
      </c>
      <c r="F1153">
        <v>0</v>
      </c>
      <c r="G1153">
        <v>0</v>
      </c>
      <c r="H1153">
        <v>0</v>
      </c>
      <c r="I1153">
        <v>0</v>
      </c>
      <c r="J1153">
        <v>0</v>
      </c>
      <c r="K1153">
        <v>0</v>
      </c>
    </row>
    <row r="1154" spans="1:11">
      <c r="A1154" t="s">
        <v>1777</v>
      </c>
      <c r="B1154">
        <v>2</v>
      </c>
      <c r="C1154">
        <v>0</v>
      </c>
      <c r="D1154">
        <v>0</v>
      </c>
      <c r="E1154">
        <v>0</v>
      </c>
      <c r="F1154">
        <v>0</v>
      </c>
      <c r="G1154">
        <v>0</v>
      </c>
      <c r="H1154">
        <v>0</v>
      </c>
      <c r="I1154">
        <v>0</v>
      </c>
      <c r="J1154">
        <v>0</v>
      </c>
      <c r="K1154">
        <v>0</v>
      </c>
    </row>
    <row r="1155" spans="1:11">
      <c r="A1155" t="s">
        <v>1896</v>
      </c>
      <c r="B1155">
        <v>9</v>
      </c>
      <c r="C1155">
        <v>0</v>
      </c>
      <c r="D1155">
        <v>0</v>
      </c>
      <c r="E1155">
        <v>0</v>
      </c>
      <c r="F1155">
        <v>0</v>
      </c>
      <c r="G1155">
        <v>0</v>
      </c>
      <c r="H1155">
        <v>0</v>
      </c>
      <c r="I1155">
        <v>0</v>
      </c>
      <c r="J1155">
        <v>0</v>
      </c>
      <c r="K1155">
        <v>0</v>
      </c>
    </row>
    <row r="1156" spans="1:11">
      <c r="A1156" t="s">
        <v>1734</v>
      </c>
      <c r="B1156">
        <v>5</v>
      </c>
      <c r="C1156">
        <v>0</v>
      </c>
      <c r="D1156">
        <v>0</v>
      </c>
      <c r="E1156">
        <v>0</v>
      </c>
      <c r="F1156">
        <v>0</v>
      </c>
      <c r="G1156">
        <v>0</v>
      </c>
      <c r="H1156">
        <v>0</v>
      </c>
      <c r="I1156">
        <v>0</v>
      </c>
      <c r="J1156">
        <v>0</v>
      </c>
      <c r="K1156">
        <v>0</v>
      </c>
    </row>
    <row r="1157" spans="1:11">
      <c r="A1157" t="s">
        <v>1832</v>
      </c>
      <c r="B1157">
        <v>13</v>
      </c>
      <c r="C1157">
        <v>0</v>
      </c>
      <c r="D1157">
        <v>0</v>
      </c>
      <c r="E1157">
        <v>0</v>
      </c>
      <c r="F1157">
        <v>0</v>
      </c>
      <c r="G1157">
        <v>0</v>
      </c>
      <c r="H1157">
        <v>0</v>
      </c>
      <c r="I1157">
        <v>0</v>
      </c>
      <c r="J1157">
        <v>0</v>
      </c>
      <c r="K1157">
        <v>0</v>
      </c>
    </row>
    <row r="1158" spans="1:11">
      <c r="A1158" t="s">
        <v>1745</v>
      </c>
      <c r="B1158">
        <v>7</v>
      </c>
      <c r="C1158">
        <v>0</v>
      </c>
      <c r="D1158">
        <v>0</v>
      </c>
      <c r="E1158">
        <v>0</v>
      </c>
      <c r="F1158">
        <v>0</v>
      </c>
      <c r="G1158">
        <v>0</v>
      </c>
      <c r="H1158">
        <v>0</v>
      </c>
      <c r="I1158">
        <v>0</v>
      </c>
      <c r="J1158">
        <v>0</v>
      </c>
      <c r="K1158">
        <v>0</v>
      </c>
    </row>
    <row r="1159" spans="1:11">
      <c r="A1159" t="s">
        <v>456</v>
      </c>
      <c r="B1159">
        <v>1</v>
      </c>
      <c r="C1159">
        <v>0</v>
      </c>
      <c r="D1159">
        <v>0</v>
      </c>
      <c r="E1159">
        <v>0</v>
      </c>
      <c r="F1159">
        <v>1</v>
      </c>
      <c r="G1159">
        <v>0</v>
      </c>
      <c r="H1159">
        <v>0</v>
      </c>
      <c r="I1159">
        <v>0</v>
      </c>
      <c r="J1159">
        <v>0</v>
      </c>
      <c r="K1159">
        <v>0</v>
      </c>
    </row>
    <row r="1160" spans="1:11">
      <c r="A1160" t="s">
        <v>457</v>
      </c>
      <c r="B1160">
        <v>0</v>
      </c>
      <c r="C1160">
        <v>0</v>
      </c>
      <c r="D1160">
        <v>0</v>
      </c>
      <c r="E1160">
        <v>0</v>
      </c>
      <c r="F1160">
        <v>0</v>
      </c>
      <c r="G1160">
        <v>0</v>
      </c>
      <c r="H1160">
        <v>0</v>
      </c>
      <c r="I1160">
        <v>0</v>
      </c>
      <c r="J1160">
        <v>0</v>
      </c>
      <c r="K1160">
        <v>0</v>
      </c>
    </row>
    <row r="1161" spans="1:11">
      <c r="A1161" t="s">
        <v>628</v>
      </c>
      <c r="B1161">
        <v>0</v>
      </c>
      <c r="C1161">
        <v>0</v>
      </c>
      <c r="D1161">
        <v>0</v>
      </c>
      <c r="E1161">
        <v>0</v>
      </c>
      <c r="F1161">
        <v>0</v>
      </c>
      <c r="G1161">
        <v>0</v>
      </c>
      <c r="H1161">
        <v>0</v>
      </c>
      <c r="I1161">
        <v>0</v>
      </c>
      <c r="J1161">
        <v>0</v>
      </c>
      <c r="K1161">
        <v>0</v>
      </c>
    </row>
    <row r="1162" spans="1:11">
      <c r="A1162" t="s">
        <v>630</v>
      </c>
      <c r="B1162">
        <v>3</v>
      </c>
      <c r="C1162">
        <v>0</v>
      </c>
      <c r="D1162">
        <v>0</v>
      </c>
      <c r="E1162">
        <v>0</v>
      </c>
      <c r="F1162">
        <v>2</v>
      </c>
      <c r="G1162">
        <v>0</v>
      </c>
      <c r="H1162">
        <v>1</v>
      </c>
      <c r="I1162">
        <v>0</v>
      </c>
      <c r="J1162">
        <v>0</v>
      </c>
      <c r="K1162">
        <v>0</v>
      </c>
    </row>
    <row r="1163" spans="1:11">
      <c r="A1163" t="s">
        <v>631</v>
      </c>
      <c r="B1163">
        <v>0</v>
      </c>
      <c r="C1163">
        <v>0</v>
      </c>
      <c r="D1163">
        <v>0</v>
      </c>
      <c r="E1163">
        <v>0</v>
      </c>
      <c r="F1163">
        <v>0</v>
      </c>
      <c r="G1163">
        <v>0</v>
      </c>
      <c r="H1163">
        <v>0</v>
      </c>
      <c r="I1163">
        <v>0</v>
      </c>
      <c r="J1163">
        <v>0</v>
      </c>
      <c r="K1163">
        <v>0</v>
      </c>
    </row>
    <row r="1164" spans="1:11">
      <c r="A1164" t="s">
        <v>633</v>
      </c>
      <c r="B1164">
        <v>0</v>
      </c>
      <c r="C1164">
        <v>0</v>
      </c>
      <c r="D1164">
        <v>0</v>
      </c>
      <c r="E1164">
        <v>0</v>
      </c>
      <c r="F1164">
        <v>0</v>
      </c>
      <c r="G1164">
        <v>0</v>
      </c>
      <c r="H1164">
        <v>0</v>
      </c>
      <c r="I1164">
        <v>0</v>
      </c>
      <c r="J1164">
        <v>0</v>
      </c>
      <c r="K1164">
        <v>0</v>
      </c>
    </row>
    <row r="1165" spans="1:11">
      <c r="A1165" t="s">
        <v>458</v>
      </c>
      <c r="B1165">
        <v>3</v>
      </c>
      <c r="C1165">
        <v>0</v>
      </c>
      <c r="D1165">
        <v>0</v>
      </c>
      <c r="E1165">
        <v>0</v>
      </c>
      <c r="F1165">
        <v>2</v>
      </c>
      <c r="G1165">
        <v>0</v>
      </c>
      <c r="H1165">
        <v>1</v>
      </c>
      <c r="I1165">
        <v>0</v>
      </c>
      <c r="J1165">
        <v>0</v>
      </c>
      <c r="K1165">
        <v>0</v>
      </c>
    </row>
    <row r="1166" spans="1:11">
      <c r="A1166" t="s">
        <v>459</v>
      </c>
      <c r="B1166">
        <v>6</v>
      </c>
      <c r="C1166">
        <v>0</v>
      </c>
      <c r="D1166">
        <v>0</v>
      </c>
      <c r="E1166">
        <v>0</v>
      </c>
      <c r="F1166">
        <v>0</v>
      </c>
      <c r="G1166">
        <v>0</v>
      </c>
      <c r="H1166">
        <v>6</v>
      </c>
      <c r="I1166">
        <v>0</v>
      </c>
      <c r="J1166">
        <v>0</v>
      </c>
      <c r="K1166">
        <v>0</v>
      </c>
    </row>
    <row r="1167" spans="1:11">
      <c r="A1167" t="s">
        <v>634</v>
      </c>
      <c r="B1167">
        <v>8</v>
      </c>
      <c r="C1167">
        <v>0</v>
      </c>
      <c r="D1167">
        <v>0</v>
      </c>
      <c r="E1167">
        <v>0</v>
      </c>
      <c r="F1167">
        <v>4</v>
      </c>
      <c r="G1167">
        <v>0</v>
      </c>
      <c r="H1167">
        <v>4</v>
      </c>
      <c r="I1167">
        <v>0</v>
      </c>
      <c r="J1167">
        <v>0</v>
      </c>
      <c r="K1167">
        <v>0</v>
      </c>
    </row>
    <row r="1168" spans="1:11">
      <c r="A1168" t="s">
        <v>460</v>
      </c>
      <c r="B1168">
        <v>1</v>
      </c>
      <c r="C1168">
        <v>0</v>
      </c>
      <c r="D1168">
        <v>0</v>
      </c>
      <c r="E1168">
        <v>0</v>
      </c>
      <c r="F1168">
        <v>1</v>
      </c>
      <c r="G1168">
        <v>0</v>
      </c>
      <c r="H1168">
        <v>0</v>
      </c>
      <c r="I1168">
        <v>0</v>
      </c>
      <c r="J1168">
        <v>0</v>
      </c>
      <c r="K1168">
        <v>0</v>
      </c>
    </row>
    <row r="1169" spans="1:11">
      <c r="A1169" t="s">
        <v>635</v>
      </c>
      <c r="B1169">
        <v>7</v>
      </c>
      <c r="C1169">
        <v>0</v>
      </c>
      <c r="D1169">
        <v>0</v>
      </c>
      <c r="E1169">
        <v>0</v>
      </c>
      <c r="F1169">
        <v>4</v>
      </c>
      <c r="G1169">
        <v>0</v>
      </c>
      <c r="H1169">
        <v>3</v>
      </c>
      <c r="I1169">
        <v>0</v>
      </c>
      <c r="J1169">
        <v>0</v>
      </c>
      <c r="K1169">
        <v>0</v>
      </c>
    </row>
    <row r="1170" spans="1:11">
      <c r="A1170" t="s">
        <v>637</v>
      </c>
      <c r="B1170">
        <v>0</v>
      </c>
      <c r="C1170">
        <v>0</v>
      </c>
      <c r="D1170">
        <v>0</v>
      </c>
      <c r="E1170">
        <v>0</v>
      </c>
      <c r="F1170">
        <v>0</v>
      </c>
      <c r="G1170">
        <v>0</v>
      </c>
      <c r="H1170">
        <v>0</v>
      </c>
      <c r="I1170">
        <v>0</v>
      </c>
      <c r="J1170">
        <v>0</v>
      </c>
      <c r="K1170">
        <v>0</v>
      </c>
    </row>
    <row r="1171" spans="1:11">
      <c r="A1171" t="s">
        <v>461</v>
      </c>
      <c r="B1171">
        <v>1</v>
      </c>
      <c r="C1171">
        <v>0</v>
      </c>
      <c r="D1171">
        <v>0</v>
      </c>
      <c r="E1171">
        <v>0</v>
      </c>
      <c r="F1171">
        <v>0</v>
      </c>
      <c r="G1171">
        <v>0</v>
      </c>
      <c r="H1171">
        <v>1</v>
      </c>
      <c r="I1171">
        <v>0</v>
      </c>
      <c r="J1171">
        <v>0</v>
      </c>
      <c r="K1171">
        <v>0</v>
      </c>
    </row>
    <row r="1172" spans="1:11">
      <c r="A1172" t="s">
        <v>639</v>
      </c>
      <c r="B1172">
        <v>3</v>
      </c>
      <c r="C1172">
        <v>0</v>
      </c>
      <c r="D1172">
        <v>0</v>
      </c>
      <c r="E1172">
        <v>0</v>
      </c>
      <c r="F1172">
        <v>2</v>
      </c>
      <c r="G1172">
        <v>0</v>
      </c>
      <c r="H1172">
        <v>1</v>
      </c>
      <c r="I1172">
        <v>0</v>
      </c>
      <c r="J1172">
        <v>0</v>
      </c>
      <c r="K1172">
        <v>0</v>
      </c>
    </row>
    <row r="1173" spans="1:11">
      <c r="A1173" t="s">
        <v>462</v>
      </c>
      <c r="B1173">
        <v>0</v>
      </c>
      <c r="C1173">
        <v>0</v>
      </c>
      <c r="D1173">
        <v>0</v>
      </c>
      <c r="E1173">
        <v>0</v>
      </c>
      <c r="F1173">
        <v>0</v>
      </c>
      <c r="G1173">
        <v>0</v>
      </c>
      <c r="H1173">
        <v>0</v>
      </c>
      <c r="I1173">
        <v>0</v>
      </c>
      <c r="J1173">
        <v>0</v>
      </c>
      <c r="K1173">
        <v>0</v>
      </c>
    </row>
    <row r="1174" spans="1:11">
      <c r="A1174" t="s">
        <v>463</v>
      </c>
      <c r="B1174">
        <v>1</v>
      </c>
      <c r="C1174">
        <v>0</v>
      </c>
      <c r="D1174">
        <v>0</v>
      </c>
      <c r="E1174">
        <v>0</v>
      </c>
      <c r="F1174">
        <v>1</v>
      </c>
      <c r="G1174">
        <v>0</v>
      </c>
      <c r="H1174">
        <v>0</v>
      </c>
      <c r="I1174">
        <v>0</v>
      </c>
      <c r="J1174">
        <v>0</v>
      </c>
      <c r="K1174">
        <v>0</v>
      </c>
    </row>
    <row r="1175" spans="1:11">
      <c r="A1175" t="s">
        <v>640</v>
      </c>
      <c r="B1175">
        <v>0</v>
      </c>
      <c r="C1175">
        <v>0</v>
      </c>
      <c r="D1175">
        <v>0</v>
      </c>
      <c r="E1175">
        <v>0</v>
      </c>
      <c r="F1175">
        <v>0</v>
      </c>
      <c r="G1175">
        <v>0</v>
      </c>
      <c r="H1175">
        <v>0</v>
      </c>
      <c r="I1175">
        <v>0</v>
      </c>
      <c r="J1175">
        <v>0</v>
      </c>
      <c r="K1175">
        <v>0</v>
      </c>
    </row>
    <row r="1176" spans="1:11">
      <c r="A1176" t="s">
        <v>464</v>
      </c>
      <c r="B1176">
        <v>0</v>
      </c>
      <c r="C1176">
        <v>0</v>
      </c>
      <c r="D1176">
        <v>0</v>
      </c>
      <c r="E1176">
        <v>0</v>
      </c>
      <c r="F1176">
        <v>0</v>
      </c>
      <c r="G1176">
        <v>0</v>
      </c>
      <c r="H1176">
        <v>0</v>
      </c>
      <c r="I1176">
        <v>0</v>
      </c>
      <c r="J1176">
        <v>0</v>
      </c>
      <c r="K1176">
        <v>0</v>
      </c>
    </row>
    <row r="1177" spans="1:11">
      <c r="A1177" t="s">
        <v>642</v>
      </c>
      <c r="B1177">
        <v>6</v>
      </c>
      <c r="C1177">
        <v>0</v>
      </c>
      <c r="D1177">
        <v>0</v>
      </c>
      <c r="E1177">
        <v>0</v>
      </c>
      <c r="F1177">
        <v>3</v>
      </c>
      <c r="G1177">
        <v>0</v>
      </c>
      <c r="H1177">
        <v>3</v>
      </c>
      <c r="I1177">
        <v>0</v>
      </c>
      <c r="J1177">
        <v>0</v>
      </c>
      <c r="K1177">
        <v>0</v>
      </c>
    </row>
    <row r="1178" spans="1:11">
      <c r="A1178" t="s">
        <v>465</v>
      </c>
      <c r="B1178">
        <v>0</v>
      </c>
      <c r="C1178">
        <v>0</v>
      </c>
      <c r="D1178">
        <v>0</v>
      </c>
      <c r="E1178">
        <v>0</v>
      </c>
      <c r="F1178">
        <v>0</v>
      </c>
      <c r="G1178">
        <v>0</v>
      </c>
      <c r="H1178">
        <v>0</v>
      </c>
      <c r="I1178">
        <v>0</v>
      </c>
      <c r="J1178">
        <v>0</v>
      </c>
      <c r="K1178">
        <v>0</v>
      </c>
    </row>
    <row r="1179" spans="1:11">
      <c r="A1179" t="s">
        <v>466</v>
      </c>
      <c r="B1179">
        <v>4</v>
      </c>
      <c r="C1179">
        <v>0</v>
      </c>
      <c r="D1179">
        <v>0</v>
      </c>
      <c r="E1179">
        <v>0</v>
      </c>
      <c r="F1179">
        <v>2</v>
      </c>
      <c r="G1179">
        <v>0</v>
      </c>
      <c r="H1179">
        <v>1</v>
      </c>
      <c r="I1179">
        <v>1</v>
      </c>
      <c r="J1179">
        <v>0</v>
      </c>
      <c r="K1179">
        <v>0</v>
      </c>
    </row>
    <row r="1180" spans="1:11">
      <c r="A1180" t="s">
        <v>627</v>
      </c>
      <c r="B1180">
        <v>4</v>
      </c>
      <c r="C1180">
        <v>0</v>
      </c>
      <c r="D1180">
        <v>0</v>
      </c>
      <c r="E1180">
        <v>0</v>
      </c>
      <c r="F1180">
        <v>2</v>
      </c>
      <c r="G1180">
        <v>0</v>
      </c>
      <c r="H1180">
        <v>2</v>
      </c>
      <c r="I1180">
        <v>0</v>
      </c>
      <c r="J1180">
        <v>0</v>
      </c>
      <c r="K1180">
        <v>0</v>
      </c>
    </row>
    <row r="1181" spans="1:11">
      <c r="A1181" t="s">
        <v>467</v>
      </c>
      <c r="B1181">
        <v>1</v>
      </c>
      <c r="C1181">
        <v>0</v>
      </c>
      <c r="D1181">
        <v>0</v>
      </c>
      <c r="E1181">
        <v>0</v>
      </c>
      <c r="F1181">
        <v>0</v>
      </c>
      <c r="G1181">
        <v>0</v>
      </c>
      <c r="H1181">
        <v>1</v>
      </c>
      <c r="I1181">
        <v>0</v>
      </c>
      <c r="J1181">
        <v>0</v>
      </c>
      <c r="K1181">
        <v>0</v>
      </c>
    </row>
    <row r="1182" spans="1:11">
      <c r="A1182" t="s">
        <v>629</v>
      </c>
      <c r="B1182">
        <v>0</v>
      </c>
      <c r="C1182">
        <v>0</v>
      </c>
      <c r="D1182">
        <v>0</v>
      </c>
      <c r="E1182">
        <v>0</v>
      </c>
      <c r="F1182">
        <v>0</v>
      </c>
      <c r="G1182">
        <v>0</v>
      </c>
      <c r="H1182">
        <v>0</v>
      </c>
      <c r="I1182">
        <v>0</v>
      </c>
      <c r="J1182">
        <v>0</v>
      </c>
      <c r="K1182">
        <v>0</v>
      </c>
    </row>
    <row r="1183" spans="1:11">
      <c r="A1183" t="s">
        <v>538</v>
      </c>
      <c r="B1183">
        <v>2</v>
      </c>
      <c r="C1183">
        <v>0</v>
      </c>
      <c r="D1183">
        <v>0</v>
      </c>
      <c r="E1183">
        <v>0</v>
      </c>
      <c r="F1183">
        <v>1</v>
      </c>
      <c r="G1183">
        <v>0</v>
      </c>
      <c r="H1183">
        <v>1</v>
      </c>
      <c r="I1183">
        <v>0</v>
      </c>
      <c r="J1183">
        <v>0</v>
      </c>
      <c r="K1183">
        <v>0</v>
      </c>
    </row>
    <row r="1184" spans="1:11">
      <c r="A1184" t="s">
        <v>632</v>
      </c>
      <c r="B1184">
        <v>0</v>
      </c>
      <c r="C1184">
        <v>0</v>
      </c>
      <c r="D1184">
        <v>0</v>
      </c>
      <c r="E1184">
        <v>0</v>
      </c>
      <c r="F1184">
        <v>0</v>
      </c>
      <c r="G1184">
        <v>0</v>
      </c>
      <c r="H1184">
        <v>0</v>
      </c>
      <c r="I1184">
        <v>0</v>
      </c>
      <c r="J1184">
        <v>0</v>
      </c>
      <c r="K1184">
        <v>0</v>
      </c>
    </row>
    <row r="1185" spans="1:11">
      <c r="A1185" t="s">
        <v>468</v>
      </c>
      <c r="B1185">
        <v>0</v>
      </c>
      <c r="C1185">
        <v>0</v>
      </c>
      <c r="D1185">
        <v>0</v>
      </c>
      <c r="E1185">
        <v>0</v>
      </c>
      <c r="F1185">
        <v>0</v>
      </c>
      <c r="G1185">
        <v>0</v>
      </c>
      <c r="H1185">
        <v>0</v>
      </c>
      <c r="I1185">
        <v>0</v>
      </c>
      <c r="J1185">
        <v>0</v>
      </c>
      <c r="K1185">
        <v>0</v>
      </c>
    </row>
    <row r="1186" spans="1:11">
      <c r="A1186" t="s">
        <v>469</v>
      </c>
      <c r="B1186">
        <v>1</v>
      </c>
      <c r="C1186">
        <v>0</v>
      </c>
      <c r="D1186">
        <v>0</v>
      </c>
      <c r="E1186">
        <v>0</v>
      </c>
      <c r="F1186">
        <v>1</v>
      </c>
      <c r="G1186">
        <v>0</v>
      </c>
      <c r="H1186">
        <v>0</v>
      </c>
      <c r="I1186">
        <v>0</v>
      </c>
      <c r="J1186">
        <v>0</v>
      </c>
      <c r="K1186">
        <v>0</v>
      </c>
    </row>
    <row r="1187" spans="1:11">
      <c r="A1187" t="s">
        <v>470</v>
      </c>
      <c r="B1187">
        <v>18</v>
      </c>
      <c r="C1187">
        <v>0</v>
      </c>
      <c r="D1187">
        <v>0</v>
      </c>
      <c r="E1187">
        <v>0</v>
      </c>
      <c r="F1187">
        <v>0</v>
      </c>
      <c r="G1187">
        <v>0</v>
      </c>
      <c r="H1187">
        <v>18</v>
      </c>
      <c r="I1187">
        <v>0</v>
      </c>
      <c r="J1187">
        <v>0</v>
      </c>
      <c r="K1187">
        <v>0</v>
      </c>
    </row>
    <row r="1188" spans="1:11">
      <c r="A1188" t="s">
        <v>539</v>
      </c>
      <c r="B1188">
        <v>7</v>
      </c>
      <c r="C1188">
        <v>0</v>
      </c>
      <c r="D1188">
        <v>0</v>
      </c>
      <c r="E1188">
        <v>0</v>
      </c>
      <c r="F1188">
        <v>4</v>
      </c>
      <c r="G1188">
        <v>0</v>
      </c>
      <c r="H1188">
        <v>3</v>
      </c>
      <c r="I1188">
        <v>0</v>
      </c>
      <c r="J1188">
        <v>0</v>
      </c>
      <c r="K1188">
        <v>0</v>
      </c>
    </row>
    <row r="1189" spans="1:11">
      <c r="A1189" t="s">
        <v>471</v>
      </c>
      <c r="B1189">
        <v>2</v>
      </c>
      <c r="C1189">
        <v>0</v>
      </c>
      <c r="D1189">
        <v>0</v>
      </c>
      <c r="E1189">
        <v>0</v>
      </c>
      <c r="F1189">
        <v>1</v>
      </c>
      <c r="G1189">
        <v>0</v>
      </c>
      <c r="H1189">
        <v>1</v>
      </c>
      <c r="I1189">
        <v>0</v>
      </c>
      <c r="J1189">
        <v>0</v>
      </c>
      <c r="K1189">
        <v>0</v>
      </c>
    </row>
    <row r="1190" spans="1:11">
      <c r="A1190" t="s">
        <v>636</v>
      </c>
      <c r="B1190">
        <v>6</v>
      </c>
      <c r="C1190">
        <v>0</v>
      </c>
      <c r="D1190">
        <v>0</v>
      </c>
      <c r="E1190">
        <v>0</v>
      </c>
      <c r="F1190">
        <v>3</v>
      </c>
      <c r="G1190">
        <v>0</v>
      </c>
      <c r="H1190">
        <v>3</v>
      </c>
      <c r="I1190">
        <v>0</v>
      </c>
      <c r="J1190">
        <v>0</v>
      </c>
      <c r="K1190">
        <v>0</v>
      </c>
    </row>
    <row r="1191" spans="1:11">
      <c r="A1191" t="s">
        <v>638</v>
      </c>
      <c r="B1191">
        <v>0</v>
      </c>
      <c r="C1191">
        <v>0</v>
      </c>
      <c r="D1191">
        <v>0</v>
      </c>
      <c r="E1191">
        <v>0</v>
      </c>
      <c r="F1191">
        <v>0</v>
      </c>
      <c r="G1191">
        <v>0</v>
      </c>
      <c r="H1191">
        <v>0</v>
      </c>
      <c r="I1191">
        <v>0</v>
      </c>
      <c r="J1191">
        <v>0</v>
      </c>
      <c r="K1191">
        <v>0</v>
      </c>
    </row>
    <row r="1192" spans="1:11">
      <c r="A1192" t="s">
        <v>472</v>
      </c>
      <c r="B1192">
        <v>0</v>
      </c>
      <c r="C1192">
        <v>0</v>
      </c>
      <c r="D1192">
        <v>0</v>
      </c>
      <c r="E1192">
        <v>0</v>
      </c>
      <c r="F1192">
        <v>0</v>
      </c>
      <c r="G1192">
        <v>0</v>
      </c>
      <c r="H1192">
        <v>0</v>
      </c>
      <c r="I1192">
        <v>0</v>
      </c>
      <c r="J1192">
        <v>0</v>
      </c>
      <c r="K1192">
        <v>0</v>
      </c>
    </row>
    <row r="1193" spans="1:11">
      <c r="A1193" t="s">
        <v>473</v>
      </c>
      <c r="B1193">
        <v>0</v>
      </c>
      <c r="C1193">
        <v>0</v>
      </c>
      <c r="D1193">
        <v>0</v>
      </c>
      <c r="E1193">
        <v>0</v>
      </c>
      <c r="F1193">
        <v>0</v>
      </c>
      <c r="G1193">
        <v>0</v>
      </c>
      <c r="H1193">
        <v>0</v>
      </c>
      <c r="I1193">
        <v>0</v>
      </c>
      <c r="J1193">
        <v>0</v>
      </c>
      <c r="K1193">
        <v>0</v>
      </c>
    </row>
    <row r="1194" spans="1:11">
      <c r="A1194" t="s">
        <v>474</v>
      </c>
      <c r="B1194">
        <v>0</v>
      </c>
      <c r="C1194">
        <v>0</v>
      </c>
      <c r="D1194">
        <v>0</v>
      </c>
      <c r="E1194">
        <v>0</v>
      </c>
      <c r="F1194">
        <v>0</v>
      </c>
      <c r="G1194">
        <v>0</v>
      </c>
      <c r="H1194">
        <v>0</v>
      </c>
      <c r="I1194">
        <v>0</v>
      </c>
      <c r="J1194">
        <v>0</v>
      </c>
      <c r="K1194">
        <v>0</v>
      </c>
    </row>
    <row r="1195" spans="1:11">
      <c r="A1195" t="s">
        <v>475</v>
      </c>
      <c r="B1195">
        <v>0</v>
      </c>
      <c r="C1195">
        <v>0</v>
      </c>
      <c r="D1195">
        <v>0</v>
      </c>
      <c r="E1195">
        <v>0</v>
      </c>
      <c r="F1195">
        <v>0</v>
      </c>
      <c r="G1195">
        <v>0</v>
      </c>
      <c r="H1195">
        <v>0</v>
      </c>
      <c r="I1195">
        <v>0</v>
      </c>
      <c r="J1195">
        <v>0</v>
      </c>
      <c r="K1195">
        <v>0</v>
      </c>
    </row>
    <row r="1196" spans="1:11">
      <c r="A1196" t="s">
        <v>641</v>
      </c>
      <c r="B1196">
        <v>0</v>
      </c>
      <c r="C1196">
        <v>0</v>
      </c>
      <c r="D1196">
        <v>0</v>
      </c>
      <c r="E1196">
        <v>0</v>
      </c>
      <c r="F1196">
        <v>0</v>
      </c>
      <c r="G1196">
        <v>0</v>
      </c>
      <c r="H1196">
        <v>0</v>
      </c>
      <c r="I1196">
        <v>0</v>
      </c>
      <c r="J1196">
        <v>0</v>
      </c>
      <c r="K1196">
        <v>0</v>
      </c>
    </row>
    <row r="1197" spans="1:11">
      <c r="A1197" t="s">
        <v>476</v>
      </c>
      <c r="B1197">
        <v>0</v>
      </c>
      <c r="C1197">
        <v>0</v>
      </c>
      <c r="D1197">
        <v>0</v>
      </c>
      <c r="E1197">
        <v>0</v>
      </c>
      <c r="F1197">
        <v>0</v>
      </c>
      <c r="G1197">
        <v>0</v>
      </c>
      <c r="H1197">
        <v>0</v>
      </c>
      <c r="I1197">
        <v>0</v>
      </c>
      <c r="J1197">
        <v>0</v>
      </c>
      <c r="K1197">
        <v>0</v>
      </c>
    </row>
    <row r="1198" spans="1:11">
      <c r="A1198" t="s">
        <v>477</v>
      </c>
      <c r="B1198">
        <v>2</v>
      </c>
      <c r="C1198">
        <v>0</v>
      </c>
      <c r="D1198">
        <v>0</v>
      </c>
      <c r="E1198">
        <v>0</v>
      </c>
      <c r="F1198">
        <v>1</v>
      </c>
      <c r="G1198">
        <v>0</v>
      </c>
      <c r="H1198">
        <v>1</v>
      </c>
      <c r="I1198">
        <v>0</v>
      </c>
      <c r="J1198">
        <v>0</v>
      </c>
      <c r="K1198">
        <v>0</v>
      </c>
    </row>
    <row r="1199" spans="1:11">
      <c r="A1199" t="s">
        <v>478</v>
      </c>
      <c r="B1199">
        <v>0</v>
      </c>
      <c r="C1199">
        <v>0</v>
      </c>
      <c r="D1199">
        <v>0</v>
      </c>
      <c r="E1199">
        <v>0</v>
      </c>
      <c r="F1199">
        <v>0</v>
      </c>
      <c r="G1199">
        <v>0</v>
      </c>
      <c r="H1199">
        <v>0</v>
      </c>
      <c r="I1199">
        <v>0</v>
      </c>
      <c r="J1199">
        <v>0</v>
      </c>
      <c r="K1199">
        <v>0</v>
      </c>
    </row>
    <row r="1200" spans="1:11">
      <c r="A1200" t="s">
        <v>479</v>
      </c>
      <c r="B1200">
        <v>1</v>
      </c>
      <c r="C1200">
        <v>0</v>
      </c>
      <c r="D1200">
        <v>0</v>
      </c>
      <c r="E1200">
        <v>0</v>
      </c>
      <c r="F1200">
        <v>1</v>
      </c>
      <c r="G1200">
        <v>0</v>
      </c>
      <c r="H1200">
        <v>0</v>
      </c>
      <c r="I1200">
        <v>0</v>
      </c>
      <c r="J1200">
        <v>0</v>
      </c>
      <c r="K1200">
        <v>0</v>
      </c>
    </row>
    <row r="1201" spans="2:11">
      <c r="B1201">
        <v>5</v>
      </c>
      <c r="C1201">
        <v>0</v>
      </c>
      <c r="D1201">
        <v>0</v>
      </c>
      <c r="E1201">
        <v>0</v>
      </c>
      <c r="F1201">
        <v>0</v>
      </c>
      <c r="G1201">
        <v>0</v>
      </c>
      <c r="H1201">
        <v>0</v>
      </c>
      <c r="I1201">
        <v>0</v>
      </c>
      <c r="J1201">
        <v>0</v>
      </c>
      <c r="K1201">
        <v>0</v>
      </c>
    </row>
    <row r="1202" spans="2:11">
      <c r="B1202">
        <v>5</v>
      </c>
      <c r="C1202">
        <v>0</v>
      </c>
      <c r="D1202">
        <v>0</v>
      </c>
      <c r="E1202">
        <v>0</v>
      </c>
      <c r="F1202">
        <v>0</v>
      </c>
      <c r="G1202">
        <v>0</v>
      </c>
      <c r="H1202">
        <v>0</v>
      </c>
      <c r="I1202">
        <v>0</v>
      </c>
      <c r="J1202">
        <v>0</v>
      </c>
      <c r="K1202">
        <v>0</v>
      </c>
    </row>
    <row r="1203" spans="2:11">
      <c r="B1203">
        <v>4</v>
      </c>
      <c r="C1203">
        <v>0</v>
      </c>
      <c r="D1203">
        <v>0</v>
      </c>
      <c r="E1203">
        <v>0</v>
      </c>
      <c r="F1203">
        <v>0</v>
      </c>
      <c r="G1203">
        <v>0</v>
      </c>
      <c r="H1203">
        <v>0</v>
      </c>
      <c r="I1203">
        <v>0</v>
      </c>
      <c r="J1203">
        <v>0</v>
      </c>
      <c r="K1203">
        <v>0</v>
      </c>
    </row>
    <row r="1204" spans="2:11">
      <c r="B1204">
        <v>5</v>
      </c>
      <c r="C1204">
        <v>0</v>
      </c>
      <c r="D1204">
        <v>0</v>
      </c>
      <c r="E1204">
        <v>0</v>
      </c>
      <c r="F1204">
        <v>0</v>
      </c>
      <c r="G1204">
        <v>0</v>
      </c>
      <c r="H1204">
        <v>0</v>
      </c>
      <c r="I1204">
        <v>0</v>
      </c>
      <c r="J1204">
        <v>0</v>
      </c>
      <c r="K1204">
        <v>0</v>
      </c>
    </row>
    <row r="1205" spans="2:11">
      <c r="B1205">
        <v>3</v>
      </c>
      <c r="C1205">
        <v>0</v>
      </c>
      <c r="D1205">
        <v>0</v>
      </c>
      <c r="E1205">
        <v>0</v>
      </c>
      <c r="F1205">
        <v>0</v>
      </c>
      <c r="G1205">
        <v>0</v>
      </c>
      <c r="H1205">
        <v>0</v>
      </c>
      <c r="I1205">
        <v>0</v>
      </c>
      <c r="J1205">
        <v>0</v>
      </c>
      <c r="K1205">
        <v>0</v>
      </c>
    </row>
    <row r="1206" spans="2:11">
      <c r="B1206">
        <v>5</v>
      </c>
      <c r="C1206">
        <v>0</v>
      </c>
      <c r="D1206">
        <v>0</v>
      </c>
      <c r="E1206">
        <v>0</v>
      </c>
      <c r="F1206">
        <v>0</v>
      </c>
      <c r="G1206">
        <v>0</v>
      </c>
      <c r="H1206">
        <v>0</v>
      </c>
      <c r="I1206">
        <v>0</v>
      </c>
      <c r="J1206">
        <v>0</v>
      </c>
      <c r="K1206">
        <v>0</v>
      </c>
    </row>
    <row r="1207" spans="2:11">
      <c r="B1207">
        <v>5</v>
      </c>
      <c r="C1207">
        <v>0</v>
      </c>
      <c r="D1207">
        <v>0</v>
      </c>
      <c r="E1207">
        <v>0</v>
      </c>
      <c r="F1207">
        <v>0</v>
      </c>
      <c r="G1207">
        <v>0</v>
      </c>
      <c r="H1207">
        <v>0</v>
      </c>
      <c r="I1207">
        <v>0</v>
      </c>
      <c r="J1207">
        <v>0</v>
      </c>
      <c r="K1207">
        <v>0</v>
      </c>
    </row>
    <row r="1208" spans="2:11">
      <c r="B1208">
        <v>8</v>
      </c>
      <c r="C1208">
        <v>0</v>
      </c>
      <c r="D1208">
        <v>0</v>
      </c>
      <c r="E1208">
        <v>0</v>
      </c>
      <c r="F1208">
        <v>0</v>
      </c>
      <c r="G1208">
        <v>0</v>
      </c>
      <c r="H1208">
        <v>0</v>
      </c>
      <c r="I1208">
        <v>0</v>
      </c>
      <c r="J1208">
        <v>0</v>
      </c>
      <c r="K1208">
        <v>0</v>
      </c>
    </row>
    <row r="1209" spans="2:11">
      <c r="B1209">
        <v>5</v>
      </c>
      <c r="C1209">
        <v>0</v>
      </c>
      <c r="D1209">
        <v>0</v>
      </c>
      <c r="E1209">
        <v>0</v>
      </c>
      <c r="F1209">
        <v>0</v>
      </c>
      <c r="G1209">
        <v>0</v>
      </c>
      <c r="H1209">
        <v>0</v>
      </c>
      <c r="I1209">
        <v>0</v>
      </c>
      <c r="J1209">
        <v>0</v>
      </c>
      <c r="K1209">
        <v>0</v>
      </c>
    </row>
    <row r="1210" spans="2:11">
      <c r="B1210">
        <v>10</v>
      </c>
      <c r="C1210">
        <v>0</v>
      </c>
      <c r="D1210">
        <v>0</v>
      </c>
      <c r="E1210">
        <v>0</v>
      </c>
      <c r="F1210">
        <v>0</v>
      </c>
      <c r="G1210">
        <v>0</v>
      </c>
      <c r="H1210">
        <v>0</v>
      </c>
      <c r="I1210">
        <v>0</v>
      </c>
      <c r="J1210">
        <v>0</v>
      </c>
      <c r="K1210">
        <v>0</v>
      </c>
    </row>
    <row r="1211" spans="2:11">
      <c r="B1211">
        <v>9</v>
      </c>
      <c r="C1211">
        <v>0</v>
      </c>
      <c r="D1211">
        <v>0</v>
      </c>
      <c r="E1211">
        <v>0</v>
      </c>
      <c r="F1211">
        <v>0</v>
      </c>
      <c r="G1211">
        <v>0</v>
      </c>
      <c r="H1211">
        <v>0</v>
      </c>
      <c r="I1211">
        <v>0</v>
      </c>
      <c r="J1211">
        <v>0</v>
      </c>
      <c r="K1211">
        <v>0</v>
      </c>
    </row>
  </sheetData>
  <autoFilter ref="A2:K1206" xr:uid="{8CCC98CF-8B23-C14A-A5A9-BB2F6431F8FD}"/>
  <sortState ref="A4:K1200">
    <sortCondition ref="A4:A1200"/>
  </sortState>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UpdateOnHand">
                <anchor moveWithCells="1" sizeWithCells="1">
                  <from>
                    <xdr:col>12</xdr:col>
                    <xdr:colOff>266700</xdr:colOff>
                    <xdr:row>0</xdr:row>
                    <xdr:rowOff>177800</xdr:rowOff>
                  </from>
                  <to>
                    <xdr:col>14</xdr:col>
                    <xdr:colOff>139700</xdr:colOff>
                    <xdr:row>3</xdr:row>
                    <xdr:rowOff>38100</xdr:rowOff>
                  </to>
                </anchor>
              </controlPr>
            </control>
          </mc:Choice>
        </mc:AlternateContent>
        <mc:AlternateContent xmlns:mc="http://schemas.openxmlformats.org/markup-compatibility/2006">
          <mc:Choice Requires="x14">
            <control shapeId="20482" r:id="rId5" name="Button 2">
              <controlPr defaultSize="0" print="0" autoFill="0" autoPict="0" macro="[0]!Allocate">
                <anchor moveWithCells="1" sizeWithCells="1">
                  <from>
                    <xdr:col>12</xdr:col>
                    <xdr:colOff>292100</xdr:colOff>
                    <xdr:row>4</xdr:row>
                    <xdr:rowOff>63500</xdr:rowOff>
                  </from>
                  <to>
                    <xdr:col>14</xdr:col>
                    <xdr:colOff>165100</xdr:colOff>
                    <xdr:row>6</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I17"/>
  <sheetViews>
    <sheetView topLeftCell="C1" workbookViewId="0">
      <selection activeCell="E7" sqref="E7"/>
    </sheetView>
  </sheetViews>
  <sheetFormatPr baseColWidth="10" defaultColWidth="11" defaultRowHeight="16"/>
  <cols>
    <col min="1" max="1" width="25.33203125" customWidth="1"/>
    <col min="2" max="2" width="97.5" customWidth="1"/>
    <col min="9" max="9" width="10.83203125" style="51"/>
  </cols>
  <sheetData>
    <row r="1" spans="1:9">
      <c r="A1" s="23"/>
      <c r="B1" s="23"/>
      <c r="C1" s="23"/>
      <c r="D1" s="23"/>
      <c r="E1" s="23"/>
      <c r="F1" s="23"/>
      <c r="G1" s="23"/>
      <c r="H1" s="23"/>
      <c r="I1" s="50" t="s">
        <v>1284</v>
      </c>
    </row>
    <row r="2" spans="1:9" ht="60" customHeight="1">
      <c r="A2" s="23" t="s">
        <v>1285</v>
      </c>
      <c r="B2" t="s">
        <v>1953</v>
      </c>
      <c r="C2" s="23"/>
      <c r="D2" s="23"/>
      <c r="E2" s="23"/>
      <c r="F2" s="23"/>
      <c r="G2" s="23"/>
      <c r="H2" s="23"/>
      <c r="I2" s="50" t="s">
        <v>1298</v>
      </c>
    </row>
    <row r="3" spans="1:9">
      <c r="B3" t="s">
        <v>1902</v>
      </c>
      <c r="I3" s="51" t="s">
        <v>929</v>
      </c>
    </row>
    <row r="4" spans="1:9">
      <c r="I4" s="51" t="s">
        <v>929</v>
      </c>
    </row>
    <row r="5" spans="1:9">
      <c r="I5" s="51" t="s">
        <v>1686</v>
      </c>
    </row>
    <row r="6" spans="1:9">
      <c r="I6" s="51" t="s">
        <v>1687</v>
      </c>
    </row>
    <row r="7" spans="1:9">
      <c r="B7" s="23"/>
      <c r="I7" s="51" t="s">
        <v>1688</v>
      </c>
    </row>
    <row r="8" spans="1:9">
      <c r="I8" s="51" t="s">
        <v>1689</v>
      </c>
    </row>
    <row r="9" spans="1:9">
      <c r="I9" s="51" t="s">
        <v>1690</v>
      </c>
    </row>
    <row r="10" spans="1:9">
      <c r="I10" s="51" t="s">
        <v>904</v>
      </c>
    </row>
    <row r="11" spans="1:9">
      <c r="I11" s="51" t="s">
        <v>929</v>
      </c>
    </row>
    <row r="12" spans="1:9">
      <c r="I12" s="51" t="s">
        <v>1298</v>
      </c>
    </row>
    <row r="13" spans="1:9">
      <c r="I13" s="51" t="s">
        <v>899</v>
      </c>
    </row>
    <row r="14" spans="1:9">
      <c r="I14" s="51" t="s">
        <v>904</v>
      </c>
    </row>
    <row r="15" spans="1:9">
      <c r="I15" s="51" t="s">
        <v>1456</v>
      </c>
    </row>
    <row r="16" spans="1:9">
      <c r="I16" s="51" t="s">
        <v>1298</v>
      </c>
    </row>
    <row r="17" spans="9:9">
      <c r="I17" s="51" t="s">
        <v>929</v>
      </c>
    </row>
  </sheetData>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BrowseXlsFile">
                <anchor moveWithCells="1" sizeWithCells="1">
                  <from>
                    <xdr:col>2</xdr:col>
                    <xdr:colOff>190500</xdr:colOff>
                    <xdr:row>0</xdr:row>
                    <xdr:rowOff>177800</xdr:rowOff>
                  </from>
                  <to>
                    <xdr:col>5</xdr:col>
                    <xdr:colOff>355600</xdr:colOff>
                    <xdr:row>3</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687"/>
  <sheetViews>
    <sheetView topLeftCell="A292" workbookViewId="0">
      <selection activeCell="D332" sqref="D332"/>
    </sheetView>
  </sheetViews>
  <sheetFormatPr baseColWidth="10" defaultColWidth="11" defaultRowHeight="16"/>
  <cols>
    <col min="1" max="1" width="11" style="116"/>
    <col min="2" max="2" width="17.6640625" style="116" customWidth="1"/>
    <col min="3" max="3" width="11" style="116"/>
    <col min="4" max="4" width="13.1640625" style="116" bestFit="1" customWidth="1"/>
    <col min="5" max="5" width="12.33203125" style="116" bestFit="1" customWidth="1"/>
    <col min="6" max="16384" width="11" style="116"/>
  </cols>
  <sheetData>
    <row r="1" spans="1:5">
      <c r="A1" s="116" t="s">
        <v>695</v>
      </c>
      <c r="B1" s="116" t="s">
        <v>0</v>
      </c>
      <c r="C1" s="116" t="s">
        <v>696</v>
      </c>
      <c r="D1" s="116" t="s">
        <v>697</v>
      </c>
      <c r="E1" s="116" t="s">
        <v>698</v>
      </c>
    </row>
    <row r="2" spans="1:5">
      <c r="A2" s="116" t="s">
        <v>699</v>
      </c>
      <c r="B2" s="116" t="s">
        <v>722</v>
      </c>
      <c r="C2" s="116">
        <v>172</v>
      </c>
      <c r="D2" s="116" t="s">
        <v>723</v>
      </c>
      <c r="E2" s="116" t="s">
        <v>165</v>
      </c>
    </row>
    <row r="3" spans="1:5">
      <c r="A3" s="116" t="s">
        <v>699</v>
      </c>
      <c r="B3" s="116" t="s">
        <v>724</v>
      </c>
      <c r="C3" s="116">
        <v>0</v>
      </c>
      <c r="D3" s="116" t="s">
        <v>725</v>
      </c>
      <c r="E3" s="116" t="s">
        <v>166</v>
      </c>
    </row>
    <row r="4" spans="1:5">
      <c r="A4" s="116" t="s">
        <v>699</v>
      </c>
      <c r="B4" s="130" t="s">
        <v>770</v>
      </c>
      <c r="C4" s="116">
        <v>33</v>
      </c>
      <c r="D4" s="116" t="s">
        <v>771</v>
      </c>
      <c r="E4" s="130" t="s">
        <v>182</v>
      </c>
    </row>
    <row r="5" spans="1:5">
      <c r="A5" s="116" t="s">
        <v>699</v>
      </c>
      <c r="B5" s="130" t="s">
        <v>784</v>
      </c>
      <c r="C5" s="116">
        <v>13</v>
      </c>
      <c r="D5" s="116" t="s">
        <v>785</v>
      </c>
      <c r="E5" s="130" t="s">
        <v>188</v>
      </c>
    </row>
    <row r="6" spans="1:5">
      <c r="A6" s="116" t="s">
        <v>699</v>
      </c>
      <c r="B6" s="130" t="s">
        <v>756</v>
      </c>
      <c r="C6" s="116">
        <v>135</v>
      </c>
      <c r="D6" s="116" t="s">
        <v>757</v>
      </c>
      <c r="E6" s="130" t="s">
        <v>178</v>
      </c>
    </row>
    <row r="7" spans="1:5">
      <c r="A7" s="116" t="s">
        <v>699</v>
      </c>
      <c r="B7" s="130" t="s">
        <v>762</v>
      </c>
      <c r="C7" s="116">
        <v>14</v>
      </c>
      <c r="D7" s="116" t="s">
        <v>763</v>
      </c>
      <c r="E7" s="130" t="s">
        <v>544</v>
      </c>
    </row>
    <row r="8" spans="1:5">
      <c r="A8" s="116" t="s">
        <v>699</v>
      </c>
      <c r="B8" s="130" t="s">
        <v>752</v>
      </c>
      <c r="C8" s="116">
        <v>100</v>
      </c>
      <c r="D8" s="116" t="s">
        <v>753</v>
      </c>
      <c r="E8" s="130" t="s">
        <v>176</v>
      </c>
    </row>
    <row r="9" spans="1:5">
      <c r="A9" s="116" t="s">
        <v>699</v>
      </c>
      <c r="B9" s="116" t="s">
        <v>728</v>
      </c>
      <c r="C9" s="116">
        <v>137</v>
      </c>
      <c r="D9" s="116" t="s">
        <v>729</v>
      </c>
      <c r="E9" s="116" t="s">
        <v>167</v>
      </c>
    </row>
    <row r="10" spans="1:5">
      <c r="A10" s="116" t="s">
        <v>699</v>
      </c>
      <c r="B10" s="116" t="s">
        <v>700</v>
      </c>
      <c r="C10" s="116">
        <v>161</v>
      </c>
      <c r="D10" s="116" t="s">
        <v>701</v>
      </c>
      <c r="E10" s="116" t="s">
        <v>156</v>
      </c>
    </row>
    <row r="11" spans="1:5">
      <c r="A11" s="116" t="s">
        <v>699</v>
      </c>
      <c r="B11" s="116" t="s">
        <v>706</v>
      </c>
      <c r="C11" s="116">
        <v>131</v>
      </c>
      <c r="D11" s="116" t="s">
        <v>707</v>
      </c>
      <c r="E11" s="116" t="s">
        <v>159</v>
      </c>
    </row>
    <row r="12" spans="1:5">
      <c r="A12" s="116" t="s">
        <v>699</v>
      </c>
      <c r="B12" s="130" t="s">
        <v>804</v>
      </c>
      <c r="C12" s="116">
        <v>59</v>
      </c>
      <c r="D12" s="116" t="s">
        <v>805</v>
      </c>
      <c r="E12" s="130" t="s">
        <v>197</v>
      </c>
    </row>
    <row r="13" spans="1:5">
      <c r="A13" s="116" t="s">
        <v>699</v>
      </c>
      <c r="B13" s="130" t="s">
        <v>750</v>
      </c>
      <c r="C13" s="116">
        <v>34</v>
      </c>
      <c r="D13" s="116" t="s">
        <v>751</v>
      </c>
      <c r="E13" s="130" t="s">
        <v>175</v>
      </c>
    </row>
    <row r="14" spans="1:5">
      <c r="A14" s="116" t="s">
        <v>699</v>
      </c>
      <c r="B14" s="116" t="s">
        <v>710</v>
      </c>
      <c r="C14" s="116">
        <v>164</v>
      </c>
      <c r="D14" s="116" t="s">
        <v>711</v>
      </c>
      <c r="E14" s="116" t="s">
        <v>161</v>
      </c>
    </row>
    <row r="15" spans="1:5">
      <c r="A15" s="116" t="s">
        <v>699</v>
      </c>
      <c r="B15" s="130" t="s">
        <v>758</v>
      </c>
      <c r="C15" s="116">
        <v>32</v>
      </c>
      <c r="D15" s="116" t="s">
        <v>759</v>
      </c>
      <c r="E15" s="130" t="s">
        <v>179</v>
      </c>
    </row>
    <row r="16" spans="1:5">
      <c r="A16" s="116" t="s">
        <v>699</v>
      </c>
      <c r="B16" s="130" t="s">
        <v>802</v>
      </c>
      <c r="C16" s="116">
        <v>73</v>
      </c>
      <c r="D16" s="116" t="s">
        <v>803</v>
      </c>
      <c r="E16" s="130" t="s">
        <v>196</v>
      </c>
    </row>
    <row r="17" spans="1:5">
      <c r="A17" s="116" t="s">
        <v>699</v>
      </c>
      <c r="B17" s="130" t="s">
        <v>774</v>
      </c>
      <c r="C17" s="116">
        <v>134</v>
      </c>
      <c r="D17" s="116" t="s">
        <v>775</v>
      </c>
      <c r="E17" s="130" t="s">
        <v>184</v>
      </c>
    </row>
    <row r="18" spans="1:5">
      <c r="A18" s="116" t="s">
        <v>699</v>
      </c>
      <c r="B18" s="130" t="s">
        <v>806</v>
      </c>
      <c r="C18" s="116">
        <v>93</v>
      </c>
      <c r="D18" s="116" t="s">
        <v>807</v>
      </c>
      <c r="E18" s="130" t="s">
        <v>198</v>
      </c>
    </row>
    <row r="19" spans="1:5">
      <c r="A19" s="116" t="s">
        <v>699</v>
      </c>
      <c r="B19" s="130" t="s">
        <v>740</v>
      </c>
      <c r="C19" s="116">
        <v>62</v>
      </c>
      <c r="D19" s="116" t="s">
        <v>741</v>
      </c>
      <c r="E19" s="130" t="s">
        <v>171</v>
      </c>
    </row>
    <row r="20" spans="1:5">
      <c r="A20" s="116" t="s">
        <v>699</v>
      </c>
      <c r="B20" s="116" t="s">
        <v>726</v>
      </c>
      <c r="C20" s="116">
        <v>83</v>
      </c>
      <c r="D20" s="116" t="s">
        <v>727</v>
      </c>
      <c r="E20" s="116" t="s">
        <v>541</v>
      </c>
    </row>
    <row r="21" spans="1:5">
      <c r="A21" s="116" t="s">
        <v>699</v>
      </c>
      <c r="B21" s="130" t="s">
        <v>824</v>
      </c>
      <c r="C21" s="130">
        <v>68</v>
      </c>
      <c r="D21" s="130" t="s">
        <v>825</v>
      </c>
      <c r="E21" s="130" t="s">
        <v>205</v>
      </c>
    </row>
    <row r="22" spans="1:5">
      <c r="A22" s="116" t="s">
        <v>699</v>
      </c>
      <c r="B22" s="116" t="s">
        <v>718</v>
      </c>
      <c r="C22" s="116">
        <v>43</v>
      </c>
      <c r="D22" s="116" t="s">
        <v>719</v>
      </c>
      <c r="E22" s="116" t="s">
        <v>163</v>
      </c>
    </row>
    <row r="23" spans="1:5">
      <c r="A23" s="116" t="s">
        <v>699</v>
      </c>
      <c r="B23" s="130" t="s">
        <v>778</v>
      </c>
      <c r="C23" s="116">
        <v>142</v>
      </c>
      <c r="D23" s="116" t="s">
        <v>779</v>
      </c>
      <c r="E23" s="130" t="s">
        <v>185</v>
      </c>
    </row>
    <row r="24" spans="1:5">
      <c r="A24" s="116" t="s">
        <v>699</v>
      </c>
      <c r="B24" s="130" t="s">
        <v>782</v>
      </c>
      <c r="C24" s="116">
        <v>114</v>
      </c>
      <c r="D24" s="116" t="s">
        <v>783</v>
      </c>
      <c r="E24" s="130" t="s">
        <v>187</v>
      </c>
    </row>
    <row r="25" spans="1:5">
      <c r="A25" s="116" t="s">
        <v>699</v>
      </c>
      <c r="B25" s="130" t="s">
        <v>780</v>
      </c>
      <c r="C25" s="116">
        <v>58</v>
      </c>
      <c r="D25" s="116" t="s">
        <v>781</v>
      </c>
      <c r="E25" s="130" t="s">
        <v>186</v>
      </c>
    </row>
    <row r="26" spans="1:5">
      <c r="A26" s="116" t="s">
        <v>699</v>
      </c>
      <c r="B26" s="130" t="s">
        <v>788</v>
      </c>
      <c r="C26" s="116">
        <v>236</v>
      </c>
      <c r="D26" s="116" t="s">
        <v>789</v>
      </c>
      <c r="E26" s="130" t="s">
        <v>190</v>
      </c>
    </row>
    <row r="27" spans="1:5">
      <c r="A27" s="116" t="s">
        <v>699</v>
      </c>
      <c r="B27" s="116" t="s">
        <v>730</v>
      </c>
      <c r="C27" s="116">
        <v>0</v>
      </c>
      <c r="D27" s="116" t="s">
        <v>731</v>
      </c>
      <c r="E27" s="116" t="s">
        <v>168</v>
      </c>
    </row>
    <row r="28" spans="1:5">
      <c r="A28" s="116" t="s">
        <v>699</v>
      </c>
      <c r="B28" s="116" t="s">
        <v>702</v>
      </c>
      <c r="C28" s="116">
        <v>0</v>
      </c>
      <c r="D28" s="116" t="s">
        <v>703</v>
      </c>
      <c r="E28" s="116" t="s">
        <v>157</v>
      </c>
    </row>
    <row r="29" spans="1:5">
      <c r="A29" s="116" t="s">
        <v>699</v>
      </c>
      <c r="B29" s="130" t="s">
        <v>742</v>
      </c>
      <c r="C29" s="116">
        <v>0</v>
      </c>
      <c r="D29" s="116" t="s">
        <v>743</v>
      </c>
      <c r="E29" s="130" t="s">
        <v>172</v>
      </c>
    </row>
    <row r="30" spans="1:5">
      <c r="A30" s="116" t="s">
        <v>699</v>
      </c>
      <c r="B30" s="130" t="s">
        <v>764</v>
      </c>
      <c r="C30" s="116">
        <v>0</v>
      </c>
      <c r="D30" s="116" t="s">
        <v>765</v>
      </c>
      <c r="E30" s="130" t="s">
        <v>550</v>
      </c>
    </row>
    <row r="31" spans="1:5">
      <c r="A31" s="116" t="s">
        <v>699</v>
      </c>
      <c r="B31" s="130" t="s">
        <v>772</v>
      </c>
      <c r="C31" s="116">
        <v>47</v>
      </c>
      <c r="D31" s="116" t="s">
        <v>773</v>
      </c>
      <c r="E31" s="130" t="s">
        <v>183</v>
      </c>
    </row>
    <row r="32" spans="1:5">
      <c r="A32" s="116" t="s">
        <v>699</v>
      </c>
      <c r="B32" s="130" t="s">
        <v>776</v>
      </c>
      <c r="C32" s="116">
        <v>0</v>
      </c>
      <c r="D32" s="116" t="s">
        <v>777</v>
      </c>
      <c r="E32" s="130" t="s">
        <v>551</v>
      </c>
    </row>
    <row r="33" spans="1:5">
      <c r="A33" s="116" t="s">
        <v>699</v>
      </c>
      <c r="B33" s="130" t="s">
        <v>822</v>
      </c>
      <c r="C33" s="130">
        <v>86</v>
      </c>
      <c r="D33" s="130" t="s">
        <v>823</v>
      </c>
      <c r="E33" s="130" t="s">
        <v>204</v>
      </c>
    </row>
    <row r="34" spans="1:5">
      <c r="A34" s="116" t="s">
        <v>699</v>
      </c>
      <c r="B34" s="130" t="s">
        <v>798</v>
      </c>
      <c r="C34" s="116">
        <v>26</v>
      </c>
      <c r="D34" s="116" t="s">
        <v>799</v>
      </c>
      <c r="E34" s="130" t="s">
        <v>194</v>
      </c>
    </row>
    <row r="35" spans="1:5">
      <c r="A35" s="116" t="s">
        <v>699</v>
      </c>
      <c r="B35" s="116" t="s">
        <v>708</v>
      </c>
      <c r="C35" s="116">
        <v>47</v>
      </c>
      <c r="D35" s="116" t="s">
        <v>709</v>
      </c>
      <c r="E35" s="116" t="s">
        <v>160</v>
      </c>
    </row>
    <row r="36" spans="1:5">
      <c r="A36" s="116" t="s">
        <v>699</v>
      </c>
      <c r="B36" s="130" t="s">
        <v>830</v>
      </c>
      <c r="C36" s="130">
        <v>81</v>
      </c>
      <c r="D36" s="130" t="s">
        <v>831</v>
      </c>
      <c r="E36" s="130" t="s">
        <v>208</v>
      </c>
    </row>
    <row r="37" spans="1:5">
      <c r="A37" s="116" t="s">
        <v>699</v>
      </c>
      <c r="B37" s="130" t="s">
        <v>828</v>
      </c>
      <c r="C37" s="130">
        <v>30</v>
      </c>
      <c r="D37" s="130" t="s">
        <v>829</v>
      </c>
      <c r="E37" s="130" t="s">
        <v>207</v>
      </c>
    </row>
    <row r="38" spans="1:5">
      <c r="A38" s="116" t="s">
        <v>699</v>
      </c>
      <c r="B38" s="130" t="s">
        <v>810</v>
      </c>
      <c r="C38" s="116">
        <v>0</v>
      </c>
      <c r="D38" s="116" t="s">
        <v>811</v>
      </c>
      <c r="E38" s="130" t="s">
        <v>199</v>
      </c>
    </row>
    <row r="39" spans="1:5">
      <c r="A39" s="116" t="s">
        <v>699</v>
      </c>
      <c r="B39" s="130" t="s">
        <v>786</v>
      </c>
      <c r="C39" s="116">
        <v>33</v>
      </c>
      <c r="D39" s="116" t="s">
        <v>787</v>
      </c>
      <c r="E39" s="130" t="s">
        <v>189</v>
      </c>
    </row>
    <row r="40" spans="1:5">
      <c r="A40" s="116" t="s">
        <v>699</v>
      </c>
      <c r="B40" s="130" t="s">
        <v>734</v>
      </c>
      <c r="C40" s="116">
        <v>52</v>
      </c>
      <c r="D40" s="116" t="s">
        <v>735</v>
      </c>
      <c r="E40" s="130" t="s">
        <v>169</v>
      </c>
    </row>
    <row r="41" spans="1:5">
      <c r="A41" s="116" t="s">
        <v>699</v>
      </c>
      <c r="B41" s="130" t="s">
        <v>738</v>
      </c>
      <c r="C41" s="116">
        <v>50</v>
      </c>
      <c r="D41" s="116" t="s">
        <v>739</v>
      </c>
      <c r="E41" s="130" t="s">
        <v>170</v>
      </c>
    </row>
    <row r="42" spans="1:5">
      <c r="A42" s="116" t="s">
        <v>699</v>
      </c>
      <c r="B42" s="130" t="s">
        <v>800</v>
      </c>
      <c r="C42" s="116">
        <v>28</v>
      </c>
      <c r="D42" s="116" t="s">
        <v>801</v>
      </c>
      <c r="E42" s="130" t="s">
        <v>195</v>
      </c>
    </row>
    <row r="43" spans="1:5">
      <c r="A43" s="116" t="s">
        <v>699</v>
      </c>
      <c r="B43" s="130" t="s">
        <v>754</v>
      </c>
      <c r="C43" s="116">
        <v>0</v>
      </c>
      <c r="D43" s="116" t="s">
        <v>755</v>
      </c>
      <c r="E43" s="130" t="s">
        <v>177</v>
      </c>
    </row>
    <row r="44" spans="1:5">
      <c r="A44" s="116" t="s">
        <v>699</v>
      </c>
      <c r="B44" s="130" t="s">
        <v>768</v>
      </c>
      <c r="C44" s="116">
        <v>40</v>
      </c>
      <c r="D44" s="116" t="s">
        <v>769</v>
      </c>
      <c r="E44" s="130" t="s">
        <v>181</v>
      </c>
    </row>
    <row r="45" spans="1:5">
      <c r="A45" s="116" t="s">
        <v>699</v>
      </c>
      <c r="B45" s="130" t="s">
        <v>812</v>
      </c>
      <c r="C45" s="116">
        <v>25</v>
      </c>
      <c r="D45" s="116" t="s">
        <v>813</v>
      </c>
      <c r="E45" s="130" t="s">
        <v>200</v>
      </c>
    </row>
    <row r="46" spans="1:5">
      <c r="A46" s="116" t="s">
        <v>699</v>
      </c>
      <c r="B46" s="116" t="s">
        <v>712</v>
      </c>
      <c r="C46" s="116">
        <v>25</v>
      </c>
      <c r="D46" s="116" t="s">
        <v>713</v>
      </c>
      <c r="E46" s="116" t="s">
        <v>162</v>
      </c>
    </row>
    <row r="47" spans="1:5">
      <c r="A47" s="116" t="s">
        <v>699</v>
      </c>
      <c r="B47" s="130" t="s">
        <v>746</v>
      </c>
      <c r="C47" s="116">
        <v>27</v>
      </c>
      <c r="D47" s="116" t="s">
        <v>747</v>
      </c>
      <c r="E47" s="130" t="s">
        <v>543</v>
      </c>
    </row>
    <row r="48" spans="1:5">
      <c r="A48" s="116" t="s">
        <v>699</v>
      </c>
      <c r="B48" s="130" t="s">
        <v>816</v>
      </c>
      <c r="C48" s="116">
        <v>152</v>
      </c>
      <c r="D48" s="116" t="s">
        <v>817</v>
      </c>
      <c r="E48" s="130" t="s">
        <v>202</v>
      </c>
    </row>
    <row r="49" spans="1:5">
      <c r="A49" s="116" t="s">
        <v>699</v>
      </c>
      <c r="B49" s="130" t="s">
        <v>748</v>
      </c>
      <c r="C49" s="116">
        <v>0</v>
      </c>
      <c r="D49" s="116" t="s">
        <v>749</v>
      </c>
      <c r="E49" s="130" t="s">
        <v>174</v>
      </c>
    </row>
    <row r="50" spans="1:5">
      <c r="A50" s="116" t="s">
        <v>699</v>
      </c>
      <c r="B50" s="116" t="s">
        <v>714</v>
      </c>
      <c r="C50" s="116">
        <v>0</v>
      </c>
      <c r="D50" s="116" t="s">
        <v>715</v>
      </c>
      <c r="E50" s="116" t="s">
        <v>546</v>
      </c>
    </row>
    <row r="51" spans="1:5">
      <c r="A51" s="116" t="s">
        <v>699</v>
      </c>
      <c r="B51" s="116" t="s">
        <v>716</v>
      </c>
      <c r="C51" s="116">
        <v>0</v>
      </c>
      <c r="D51" s="116" t="s">
        <v>717</v>
      </c>
      <c r="E51" s="116" t="s">
        <v>547</v>
      </c>
    </row>
    <row r="52" spans="1:5">
      <c r="A52" s="116" t="s">
        <v>699</v>
      </c>
      <c r="B52" s="130" t="s">
        <v>790</v>
      </c>
      <c r="C52" s="116">
        <v>26</v>
      </c>
      <c r="D52" s="116" t="s">
        <v>791</v>
      </c>
      <c r="E52" s="130" t="s">
        <v>191</v>
      </c>
    </row>
    <row r="53" spans="1:5">
      <c r="A53" s="116" t="s">
        <v>699</v>
      </c>
      <c r="B53" s="130" t="s">
        <v>732</v>
      </c>
      <c r="C53" s="116">
        <v>29</v>
      </c>
      <c r="D53" s="116" t="s">
        <v>733</v>
      </c>
      <c r="E53" s="130" t="s">
        <v>548</v>
      </c>
    </row>
    <row r="54" spans="1:5">
      <c r="A54" s="116" t="s">
        <v>699</v>
      </c>
      <c r="B54" s="130" t="s">
        <v>818</v>
      </c>
      <c r="C54" s="130">
        <v>32</v>
      </c>
      <c r="D54" s="130" t="s">
        <v>819</v>
      </c>
      <c r="E54" s="130" t="s">
        <v>203</v>
      </c>
    </row>
    <row r="55" spans="1:5">
      <c r="A55" s="116" t="s">
        <v>699</v>
      </c>
      <c r="B55" s="130" t="s">
        <v>796</v>
      </c>
      <c r="C55" s="116">
        <v>26</v>
      </c>
      <c r="D55" s="116" t="s">
        <v>797</v>
      </c>
      <c r="E55" s="130" t="s">
        <v>193</v>
      </c>
    </row>
    <row r="56" spans="1:5">
      <c r="A56" s="116" t="s">
        <v>699</v>
      </c>
      <c r="B56" s="130" t="s">
        <v>832</v>
      </c>
      <c r="C56" s="130">
        <v>0</v>
      </c>
      <c r="D56" s="130" t="s">
        <v>833</v>
      </c>
      <c r="E56" s="130" t="s">
        <v>554</v>
      </c>
    </row>
    <row r="57" spans="1:5">
      <c r="A57" s="116" t="s">
        <v>699</v>
      </c>
      <c r="B57" s="130" t="s">
        <v>760</v>
      </c>
      <c r="C57" s="116">
        <v>12</v>
      </c>
      <c r="D57" s="116" t="s">
        <v>761</v>
      </c>
      <c r="E57" s="130" t="s">
        <v>180</v>
      </c>
    </row>
    <row r="58" spans="1:5">
      <c r="A58" s="116" t="s">
        <v>699</v>
      </c>
      <c r="B58" s="130" t="s">
        <v>820</v>
      </c>
      <c r="C58" s="130">
        <v>0</v>
      </c>
      <c r="D58" s="130" t="s">
        <v>821</v>
      </c>
      <c r="E58" s="130" t="s">
        <v>552</v>
      </c>
    </row>
    <row r="59" spans="1:5">
      <c r="A59" s="116" t="s">
        <v>699</v>
      </c>
      <c r="B59" s="130" t="s">
        <v>794</v>
      </c>
      <c r="C59" s="116">
        <v>8</v>
      </c>
      <c r="D59" s="116" t="s">
        <v>795</v>
      </c>
      <c r="E59" s="130" t="s">
        <v>192</v>
      </c>
    </row>
    <row r="60" spans="1:5">
      <c r="A60" s="116" t="s">
        <v>699</v>
      </c>
      <c r="B60" s="130" t="s">
        <v>792</v>
      </c>
      <c r="C60" s="116">
        <v>43</v>
      </c>
      <c r="D60" s="116" t="s">
        <v>793</v>
      </c>
      <c r="E60" s="130" t="s">
        <v>545</v>
      </c>
    </row>
    <row r="61" spans="1:5">
      <c r="A61" s="116" t="s">
        <v>699</v>
      </c>
      <c r="B61" s="116" t="s">
        <v>704</v>
      </c>
      <c r="C61" s="116">
        <v>30</v>
      </c>
      <c r="D61" s="116" t="s">
        <v>705</v>
      </c>
      <c r="E61" s="116" t="s">
        <v>158</v>
      </c>
    </row>
    <row r="62" spans="1:5">
      <c r="A62" s="116" t="s">
        <v>699</v>
      </c>
      <c r="B62" s="130" t="s">
        <v>744</v>
      </c>
      <c r="C62" s="116">
        <v>17</v>
      </c>
      <c r="D62" s="116" t="s">
        <v>745</v>
      </c>
      <c r="E62" s="130" t="s">
        <v>173</v>
      </c>
    </row>
    <row r="63" spans="1:5">
      <c r="A63" s="116" t="s">
        <v>699</v>
      </c>
      <c r="B63" s="130" t="s">
        <v>808</v>
      </c>
      <c r="C63" s="116">
        <v>28</v>
      </c>
      <c r="D63" s="116" t="s">
        <v>809</v>
      </c>
      <c r="E63" s="130" t="s">
        <v>540</v>
      </c>
    </row>
    <row r="64" spans="1:5">
      <c r="A64" s="116" t="s">
        <v>699</v>
      </c>
      <c r="B64" s="130" t="s">
        <v>814</v>
      </c>
      <c r="C64" s="116">
        <v>0</v>
      </c>
      <c r="D64" s="116" t="s">
        <v>815</v>
      </c>
      <c r="E64" s="130" t="s">
        <v>201</v>
      </c>
    </row>
    <row r="65" spans="1:5">
      <c r="A65" s="116" t="s">
        <v>699</v>
      </c>
      <c r="B65" s="116" t="s">
        <v>720</v>
      </c>
      <c r="C65" s="116">
        <v>19</v>
      </c>
      <c r="D65" s="116" t="s">
        <v>721</v>
      </c>
      <c r="E65" s="116" t="s">
        <v>164</v>
      </c>
    </row>
    <row r="66" spans="1:5">
      <c r="A66" s="116" t="s">
        <v>699</v>
      </c>
      <c r="B66" s="130" t="s">
        <v>766</v>
      </c>
      <c r="C66" s="116">
        <v>23</v>
      </c>
      <c r="D66" s="116" t="s">
        <v>767</v>
      </c>
      <c r="E66" s="130" t="s">
        <v>542</v>
      </c>
    </row>
    <row r="67" spans="1:5">
      <c r="A67" s="116" t="s">
        <v>699</v>
      </c>
      <c r="B67" s="130" t="s">
        <v>736</v>
      </c>
      <c r="C67" s="116">
        <v>0</v>
      </c>
      <c r="D67" s="116" t="s">
        <v>737</v>
      </c>
      <c r="E67" s="130" t="s">
        <v>549</v>
      </c>
    </row>
    <row r="68" spans="1:5">
      <c r="A68" s="116" t="s">
        <v>699</v>
      </c>
      <c r="B68" s="130" t="s">
        <v>826</v>
      </c>
      <c r="C68" s="130">
        <v>0</v>
      </c>
      <c r="D68" s="130" t="s">
        <v>827</v>
      </c>
      <c r="E68" s="130" t="s">
        <v>553</v>
      </c>
    </row>
    <row r="69" spans="1:5">
      <c r="A69" s="116" t="s">
        <v>699</v>
      </c>
      <c r="B69" s="53">
        <v>13943223</v>
      </c>
      <c r="C69" s="122">
        <v>59</v>
      </c>
      <c r="D69" s="122" t="s">
        <v>1513</v>
      </c>
      <c r="E69" s="53" t="s">
        <v>1514</v>
      </c>
    </row>
    <row r="70" spans="1:5">
      <c r="A70" s="116" t="s">
        <v>699</v>
      </c>
      <c r="B70" s="53">
        <v>13943205</v>
      </c>
      <c r="C70" s="122">
        <v>58</v>
      </c>
      <c r="D70" s="122" t="s">
        <v>1544</v>
      </c>
      <c r="E70" s="53" t="s">
        <v>1545</v>
      </c>
    </row>
    <row r="71" spans="1:5">
      <c r="A71" s="116" t="s">
        <v>699</v>
      </c>
      <c r="B71" s="53">
        <v>13943244</v>
      </c>
      <c r="C71" s="122">
        <v>50</v>
      </c>
      <c r="D71" s="122" t="s">
        <v>1476</v>
      </c>
      <c r="E71" s="53" t="s">
        <v>1477</v>
      </c>
    </row>
    <row r="72" spans="1:5">
      <c r="A72" s="116" t="s">
        <v>699</v>
      </c>
      <c r="B72" s="53">
        <v>13943230</v>
      </c>
      <c r="C72" s="122">
        <v>42</v>
      </c>
      <c r="D72" s="122" t="s">
        <v>1499</v>
      </c>
      <c r="E72" s="53" t="s">
        <v>1500</v>
      </c>
    </row>
    <row r="73" spans="1:5">
      <c r="A73" s="116" t="s">
        <v>699</v>
      </c>
      <c r="B73" s="53">
        <v>13943216</v>
      </c>
      <c r="C73" s="122">
        <v>46</v>
      </c>
      <c r="D73" s="122" t="s">
        <v>1527</v>
      </c>
      <c r="E73" s="53" t="s">
        <v>1528</v>
      </c>
    </row>
    <row r="74" spans="1:5">
      <c r="A74" s="116" t="s">
        <v>699</v>
      </c>
      <c r="B74" s="53">
        <v>13943220</v>
      </c>
      <c r="C74" s="122">
        <v>31</v>
      </c>
      <c r="D74" s="122" t="s">
        <v>1519</v>
      </c>
      <c r="E74" s="53" t="s">
        <v>1520</v>
      </c>
    </row>
    <row r="75" spans="1:5">
      <c r="A75" s="116" t="s">
        <v>699</v>
      </c>
      <c r="B75" s="53">
        <v>13943227</v>
      </c>
      <c r="C75" s="122">
        <v>31</v>
      </c>
      <c r="D75" s="122" t="s">
        <v>1505</v>
      </c>
      <c r="E75" s="53" t="s">
        <v>1506</v>
      </c>
    </row>
    <row r="76" spans="1:5">
      <c r="A76" s="116" t="s">
        <v>699</v>
      </c>
      <c r="B76" s="53">
        <v>13943241</v>
      </c>
      <c r="C76" s="122">
        <v>68</v>
      </c>
      <c r="D76" s="122" t="s">
        <v>1482</v>
      </c>
      <c r="E76" s="53" t="s">
        <v>1483</v>
      </c>
    </row>
    <row r="77" spans="1:5">
      <c r="A77" s="116" t="s">
        <v>699</v>
      </c>
      <c r="B77" s="53">
        <v>13943224</v>
      </c>
      <c r="C77" s="122">
        <v>62</v>
      </c>
      <c r="D77" s="122" t="s">
        <v>1511</v>
      </c>
      <c r="E77" s="53" t="s">
        <v>1512</v>
      </c>
    </row>
    <row r="78" spans="1:5">
      <c r="A78" s="116" t="s">
        <v>699</v>
      </c>
      <c r="B78" s="53">
        <v>13943211</v>
      </c>
      <c r="C78" s="122">
        <v>33</v>
      </c>
      <c r="D78" s="122" t="s">
        <v>1535</v>
      </c>
      <c r="E78" s="53" t="s">
        <v>1536</v>
      </c>
    </row>
    <row r="79" spans="1:5">
      <c r="A79" s="116" t="s">
        <v>699</v>
      </c>
      <c r="B79" s="53">
        <v>13943240</v>
      </c>
      <c r="C79" s="122">
        <v>41</v>
      </c>
      <c r="D79" s="122" t="s">
        <v>1484</v>
      </c>
      <c r="E79" s="53" t="s">
        <v>1485</v>
      </c>
    </row>
    <row r="80" spans="1:5">
      <c r="A80" s="116" t="s">
        <v>699</v>
      </c>
      <c r="B80" s="53">
        <v>13943242</v>
      </c>
      <c r="C80" s="122">
        <v>61</v>
      </c>
      <c r="D80" s="122" t="s">
        <v>1480</v>
      </c>
      <c r="E80" s="53" t="s">
        <v>1481</v>
      </c>
    </row>
    <row r="81" spans="1:5">
      <c r="A81" s="116" t="s">
        <v>699</v>
      </c>
      <c r="B81" s="53">
        <v>13943247</v>
      </c>
      <c r="C81" s="53">
        <v>35</v>
      </c>
      <c r="D81" s="53" t="s">
        <v>1470</v>
      </c>
      <c r="E81" s="53" t="s">
        <v>1471</v>
      </c>
    </row>
    <row r="82" spans="1:5">
      <c r="A82" s="116" t="s">
        <v>699</v>
      </c>
      <c r="B82" s="53">
        <v>13943233</v>
      </c>
      <c r="C82" s="53">
        <v>44</v>
      </c>
      <c r="D82" s="53" t="s">
        <v>1495</v>
      </c>
      <c r="E82" s="53" t="s">
        <v>1496</v>
      </c>
    </row>
    <row r="83" spans="1:5">
      <c r="A83" s="116" t="s">
        <v>699</v>
      </c>
      <c r="B83" s="53">
        <v>13943246</v>
      </c>
      <c r="C83" s="53">
        <v>33</v>
      </c>
      <c r="D83" s="53" t="s">
        <v>1472</v>
      </c>
      <c r="E83" s="53" t="s">
        <v>1473</v>
      </c>
    </row>
    <row r="84" spans="1:5">
      <c r="A84" s="116" t="s">
        <v>699</v>
      </c>
      <c r="B84" s="53">
        <v>13943243</v>
      </c>
      <c r="C84" s="53">
        <v>29</v>
      </c>
      <c r="D84" s="53" t="s">
        <v>1478</v>
      </c>
      <c r="E84" s="53" t="s">
        <v>1479</v>
      </c>
    </row>
    <row r="85" spans="1:5">
      <c r="A85" s="116" t="s">
        <v>699</v>
      </c>
      <c r="B85" s="53">
        <v>13943222</v>
      </c>
      <c r="C85" s="53">
        <v>31</v>
      </c>
      <c r="D85" s="53" t="s">
        <v>1515</v>
      </c>
      <c r="E85" s="53" t="s">
        <v>1516</v>
      </c>
    </row>
    <row r="86" spans="1:5">
      <c r="A86" s="116" t="s">
        <v>699</v>
      </c>
      <c r="B86" s="53">
        <v>13943221</v>
      </c>
      <c r="C86" s="53">
        <v>51</v>
      </c>
      <c r="D86" s="53" t="s">
        <v>1517</v>
      </c>
      <c r="E86" s="53" t="s">
        <v>1518</v>
      </c>
    </row>
    <row r="87" spans="1:5">
      <c r="A87" s="116" t="s">
        <v>699</v>
      </c>
      <c r="B87" s="53">
        <v>13943225</v>
      </c>
      <c r="C87" s="53">
        <v>27</v>
      </c>
      <c r="D87" s="53" t="s">
        <v>1509</v>
      </c>
      <c r="E87" s="53" t="s">
        <v>1510</v>
      </c>
    </row>
    <row r="88" spans="1:5">
      <c r="A88" s="116" t="s">
        <v>699</v>
      </c>
      <c r="B88" s="53">
        <v>13943250</v>
      </c>
      <c r="C88" s="53">
        <v>35</v>
      </c>
      <c r="D88" s="53" t="s">
        <v>1465</v>
      </c>
      <c r="E88" s="53" t="s">
        <v>1466</v>
      </c>
    </row>
    <row r="89" spans="1:5">
      <c r="A89" s="116" t="s">
        <v>699</v>
      </c>
      <c r="B89" s="53">
        <v>13943251</v>
      </c>
      <c r="C89" s="53">
        <v>42</v>
      </c>
      <c r="D89" s="53" t="s">
        <v>1463</v>
      </c>
      <c r="E89" s="53" t="s">
        <v>1464</v>
      </c>
    </row>
    <row r="90" spans="1:5">
      <c r="A90" s="116" t="s">
        <v>699</v>
      </c>
      <c r="B90" s="53">
        <v>13943226</v>
      </c>
      <c r="C90" s="53">
        <v>34</v>
      </c>
      <c r="D90" s="53" t="s">
        <v>1507</v>
      </c>
      <c r="E90" s="53" t="s">
        <v>1508</v>
      </c>
    </row>
    <row r="91" spans="1:5">
      <c r="A91" s="116" t="s">
        <v>699</v>
      </c>
      <c r="B91" s="53">
        <v>13943218</v>
      </c>
      <c r="C91" s="53">
        <v>48</v>
      </c>
      <c r="D91" s="53" t="s">
        <v>1523</v>
      </c>
      <c r="E91" s="53" t="s">
        <v>1524</v>
      </c>
    </row>
    <row r="92" spans="1:5">
      <c r="A92" s="116" t="s">
        <v>699</v>
      </c>
      <c r="B92" s="53">
        <v>13943249</v>
      </c>
      <c r="C92" s="53">
        <v>34</v>
      </c>
      <c r="D92" s="53" t="s">
        <v>1467</v>
      </c>
      <c r="E92" s="53" t="s">
        <v>1468</v>
      </c>
    </row>
    <row r="93" spans="1:5">
      <c r="A93" s="116" t="s">
        <v>699</v>
      </c>
      <c r="B93" s="53">
        <v>13943236</v>
      </c>
      <c r="C93" s="53">
        <v>36</v>
      </c>
      <c r="D93" s="53" t="s">
        <v>1490</v>
      </c>
      <c r="E93" s="53" t="s">
        <v>1491</v>
      </c>
    </row>
    <row r="94" spans="1:5">
      <c r="A94" s="116" t="s">
        <v>699</v>
      </c>
      <c r="B94" s="53">
        <v>13943207</v>
      </c>
      <c r="C94" s="53">
        <v>64</v>
      </c>
      <c r="D94" s="53" t="s">
        <v>1540</v>
      </c>
      <c r="E94" s="53" t="s">
        <v>1541</v>
      </c>
    </row>
    <row r="95" spans="1:5">
      <c r="A95" s="116" t="s">
        <v>699</v>
      </c>
      <c r="B95" s="53">
        <v>13943219</v>
      </c>
      <c r="C95" s="53">
        <v>36</v>
      </c>
      <c r="D95" s="53" t="s">
        <v>1521</v>
      </c>
      <c r="E95" s="53" t="s">
        <v>1522</v>
      </c>
    </row>
    <row r="96" spans="1:5">
      <c r="A96" s="116" t="s">
        <v>699</v>
      </c>
      <c r="B96" s="53">
        <v>13943228</v>
      </c>
      <c r="C96" s="53">
        <v>19</v>
      </c>
      <c r="D96" s="53" t="s">
        <v>1503</v>
      </c>
      <c r="E96" s="53" t="s">
        <v>1504</v>
      </c>
    </row>
    <row r="97" spans="1:5">
      <c r="A97" s="116" t="s">
        <v>699</v>
      </c>
      <c r="B97" s="53">
        <v>13943245</v>
      </c>
      <c r="C97" s="53">
        <v>54</v>
      </c>
      <c r="D97" s="53" t="s">
        <v>1474</v>
      </c>
      <c r="E97" s="53" t="s">
        <v>1475</v>
      </c>
    </row>
    <row r="98" spans="1:5">
      <c r="A98" s="116" t="s">
        <v>699</v>
      </c>
      <c r="B98" s="53">
        <v>13943229</v>
      </c>
      <c r="C98" s="53">
        <v>51</v>
      </c>
      <c r="D98" s="53" t="s">
        <v>1501</v>
      </c>
      <c r="E98" s="53" t="s">
        <v>1502</v>
      </c>
    </row>
    <row r="99" spans="1:5">
      <c r="A99" s="116" t="s">
        <v>699</v>
      </c>
      <c r="B99" s="53">
        <v>13943217</v>
      </c>
      <c r="C99" s="53">
        <v>42</v>
      </c>
      <c r="D99" s="53" t="s">
        <v>1525</v>
      </c>
      <c r="E99" s="53" t="s">
        <v>1526</v>
      </c>
    </row>
    <row r="100" spans="1:5">
      <c r="A100" s="116" t="s">
        <v>699</v>
      </c>
      <c r="B100" s="53">
        <v>2471191</v>
      </c>
      <c r="C100" s="123">
        <v>74</v>
      </c>
      <c r="D100" s="127">
        <v>754603684753</v>
      </c>
      <c r="E100" s="53" t="s">
        <v>8</v>
      </c>
    </row>
    <row r="101" spans="1:5">
      <c r="A101" s="116" t="s">
        <v>699</v>
      </c>
      <c r="B101" s="53">
        <v>2471198</v>
      </c>
      <c r="C101" s="123">
        <v>11</v>
      </c>
      <c r="D101" s="127">
        <v>754603684760</v>
      </c>
      <c r="E101" s="53" t="s">
        <v>12</v>
      </c>
    </row>
    <row r="102" spans="1:5">
      <c r="A102" s="116" t="s">
        <v>699</v>
      </c>
      <c r="B102" s="53">
        <v>2471214</v>
      </c>
      <c r="C102" s="123">
        <v>55</v>
      </c>
      <c r="D102" s="127">
        <v>754603684777</v>
      </c>
      <c r="E102" s="53" t="s">
        <v>35</v>
      </c>
    </row>
    <row r="103" spans="1:5">
      <c r="A103" s="116" t="s">
        <v>699</v>
      </c>
      <c r="B103" s="53">
        <v>2471187</v>
      </c>
      <c r="C103" s="123">
        <v>15</v>
      </c>
      <c r="D103" s="127">
        <v>754603684784</v>
      </c>
      <c r="E103" s="53" t="s">
        <v>38</v>
      </c>
    </row>
    <row r="104" spans="1:5">
      <c r="A104" s="116" t="s">
        <v>699</v>
      </c>
      <c r="B104" s="53">
        <v>2471212</v>
      </c>
      <c r="C104" s="123">
        <v>5</v>
      </c>
      <c r="D104" s="127">
        <v>754603684791</v>
      </c>
      <c r="E104" s="53" t="s">
        <v>95</v>
      </c>
    </row>
    <row r="105" spans="1:5">
      <c r="A105" s="116" t="s">
        <v>699</v>
      </c>
      <c r="B105" s="53">
        <v>2471185</v>
      </c>
      <c r="C105" s="123">
        <v>0</v>
      </c>
      <c r="D105" s="127">
        <v>754603684807</v>
      </c>
      <c r="E105" s="53" t="s">
        <v>88</v>
      </c>
    </row>
    <row r="106" spans="1:5">
      <c r="A106" s="116" t="s">
        <v>699</v>
      </c>
      <c r="B106" s="53">
        <v>2471186</v>
      </c>
      <c r="C106" s="123">
        <v>60</v>
      </c>
      <c r="D106" s="127">
        <v>754603684814</v>
      </c>
      <c r="E106" s="53" t="s">
        <v>32</v>
      </c>
    </row>
    <row r="107" spans="1:5">
      <c r="A107" s="116" t="s">
        <v>699</v>
      </c>
      <c r="B107" s="53">
        <v>2471189</v>
      </c>
      <c r="C107" s="123">
        <v>48</v>
      </c>
      <c r="D107" s="127">
        <v>754603684821</v>
      </c>
      <c r="E107" s="53" t="s">
        <v>20</v>
      </c>
    </row>
    <row r="108" spans="1:5">
      <c r="A108" s="116" t="s">
        <v>699</v>
      </c>
      <c r="B108" s="53">
        <v>2471195</v>
      </c>
      <c r="C108" s="123">
        <v>32</v>
      </c>
      <c r="D108" s="127">
        <v>754603684838</v>
      </c>
      <c r="E108" s="53" t="s">
        <v>930</v>
      </c>
    </row>
    <row r="109" spans="1:5">
      <c r="A109" s="116" t="s">
        <v>699</v>
      </c>
      <c r="B109" s="53">
        <v>2471188</v>
      </c>
      <c r="C109" s="123">
        <v>5</v>
      </c>
      <c r="D109" s="127">
        <v>754603684845</v>
      </c>
      <c r="E109" s="53" t="s">
        <v>3</v>
      </c>
    </row>
    <row r="110" spans="1:5">
      <c r="A110" s="116" t="s">
        <v>699</v>
      </c>
      <c r="B110" s="53">
        <v>2471202</v>
      </c>
      <c r="C110" s="123">
        <v>0</v>
      </c>
      <c r="D110" s="127">
        <v>754603684852</v>
      </c>
      <c r="E110" s="53" t="s">
        <v>932</v>
      </c>
    </row>
    <row r="111" spans="1:5">
      <c r="A111" s="116" t="s">
        <v>699</v>
      </c>
      <c r="B111" s="53">
        <v>2471203</v>
      </c>
      <c r="C111" s="123">
        <v>0</v>
      </c>
      <c r="D111" s="127">
        <v>754603684869</v>
      </c>
      <c r="E111" s="53" t="s">
        <v>94</v>
      </c>
    </row>
    <row r="112" spans="1:5">
      <c r="A112" s="116" t="s">
        <v>699</v>
      </c>
      <c r="B112" s="53">
        <v>2471216</v>
      </c>
      <c r="C112" s="123">
        <v>61</v>
      </c>
      <c r="D112" s="127">
        <v>754603684876</v>
      </c>
      <c r="E112" s="53" t="s">
        <v>96</v>
      </c>
    </row>
    <row r="113" spans="1:5">
      <c r="A113" s="116" t="s">
        <v>699</v>
      </c>
      <c r="B113" s="53">
        <v>2471194</v>
      </c>
      <c r="C113" s="123">
        <v>71</v>
      </c>
      <c r="D113" s="127">
        <v>754603684883</v>
      </c>
      <c r="E113" s="53" t="s">
        <v>92</v>
      </c>
    </row>
    <row r="114" spans="1:5">
      <c r="A114" s="116" t="s">
        <v>699</v>
      </c>
      <c r="B114" s="53">
        <v>2471213</v>
      </c>
      <c r="C114" s="123">
        <v>82</v>
      </c>
      <c r="D114" s="127">
        <v>754603684890</v>
      </c>
      <c r="E114" s="53" t="s">
        <v>18</v>
      </c>
    </row>
    <row r="115" spans="1:5">
      <c r="A115" s="116" t="s">
        <v>699</v>
      </c>
      <c r="B115" s="53">
        <v>2471193</v>
      </c>
      <c r="C115" s="123">
        <v>0</v>
      </c>
      <c r="D115" s="127">
        <v>754603684906</v>
      </c>
      <c r="E115" s="53" t="s">
        <v>91</v>
      </c>
    </row>
    <row r="116" spans="1:5">
      <c r="A116" s="116" t="s">
        <v>699</v>
      </c>
      <c r="B116" s="53">
        <v>2471206</v>
      </c>
      <c r="C116" s="123">
        <v>60</v>
      </c>
      <c r="D116" s="127">
        <v>754603684913</v>
      </c>
      <c r="E116" s="53" t="s">
        <v>11</v>
      </c>
    </row>
    <row r="117" spans="1:5">
      <c r="A117" s="116" t="s">
        <v>699</v>
      </c>
      <c r="B117" s="53">
        <v>2471211</v>
      </c>
      <c r="C117" s="123">
        <v>98</v>
      </c>
      <c r="D117" s="127">
        <v>754603684920</v>
      </c>
      <c r="E117" s="53" t="s">
        <v>13</v>
      </c>
    </row>
    <row r="118" spans="1:5">
      <c r="A118" s="116" t="s">
        <v>699</v>
      </c>
      <c r="B118" s="53">
        <v>2471204</v>
      </c>
      <c r="C118" s="123">
        <v>0</v>
      </c>
      <c r="D118" s="127">
        <v>754603684937</v>
      </c>
      <c r="E118" s="53" t="s">
        <v>33</v>
      </c>
    </row>
    <row r="119" spans="1:5">
      <c r="A119" s="116" t="s">
        <v>699</v>
      </c>
      <c r="B119" s="53">
        <v>2471208</v>
      </c>
      <c r="C119" s="123">
        <v>0</v>
      </c>
      <c r="D119" s="127">
        <v>754603684944</v>
      </c>
      <c r="E119" s="53" t="s">
        <v>933</v>
      </c>
    </row>
    <row r="120" spans="1:5">
      <c r="A120" s="116" t="s">
        <v>699</v>
      </c>
      <c r="B120" s="53">
        <v>2471201</v>
      </c>
      <c r="C120" s="123">
        <v>151</v>
      </c>
      <c r="D120" s="127">
        <v>754603684968</v>
      </c>
      <c r="E120" s="53" t="s">
        <v>21</v>
      </c>
    </row>
    <row r="121" spans="1:5">
      <c r="A121" s="116" t="s">
        <v>699</v>
      </c>
      <c r="B121" s="53">
        <v>2471205</v>
      </c>
      <c r="C121" s="123">
        <v>90</v>
      </c>
      <c r="D121" s="127" t="s">
        <v>1927</v>
      </c>
      <c r="E121" s="53" t="s">
        <v>93</v>
      </c>
    </row>
    <row r="122" spans="1:5">
      <c r="A122" s="116" t="s">
        <v>699</v>
      </c>
      <c r="B122" s="53">
        <v>2471205</v>
      </c>
      <c r="C122" s="123">
        <v>0</v>
      </c>
      <c r="D122" s="127">
        <v>754603684982</v>
      </c>
      <c r="E122" s="53" t="s">
        <v>934</v>
      </c>
    </row>
    <row r="123" spans="1:5">
      <c r="A123" s="116" t="s">
        <v>699</v>
      </c>
      <c r="B123" s="53">
        <v>2471209</v>
      </c>
      <c r="C123" s="123">
        <v>122</v>
      </c>
      <c r="D123" s="127" t="s">
        <v>1926</v>
      </c>
      <c r="E123" s="53" t="s">
        <v>90</v>
      </c>
    </row>
    <row r="124" spans="1:5">
      <c r="A124" s="116" t="s">
        <v>699</v>
      </c>
      <c r="B124" s="131">
        <v>2471199</v>
      </c>
      <c r="C124" s="123">
        <v>0</v>
      </c>
      <c r="D124" s="127">
        <v>754603685026</v>
      </c>
      <c r="E124" s="53" t="s">
        <v>30</v>
      </c>
    </row>
    <row r="125" spans="1:5">
      <c r="A125" s="116" t="s">
        <v>699</v>
      </c>
      <c r="B125" s="53">
        <v>2471190</v>
      </c>
      <c r="C125" s="123">
        <v>83</v>
      </c>
      <c r="D125" s="127">
        <v>754603685040</v>
      </c>
      <c r="E125" s="53" t="s">
        <v>89</v>
      </c>
    </row>
    <row r="126" spans="1:5">
      <c r="A126" s="116" t="s">
        <v>699</v>
      </c>
      <c r="B126" s="53">
        <v>2471215</v>
      </c>
      <c r="C126" s="123">
        <v>84</v>
      </c>
      <c r="D126" s="127">
        <v>754603685057</v>
      </c>
      <c r="E126" s="53" t="s">
        <v>19</v>
      </c>
    </row>
    <row r="127" spans="1:5">
      <c r="A127" s="116" t="s">
        <v>699</v>
      </c>
      <c r="B127" s="53">
        <v>2471207</v>
      </c>
      <c r="C127" s="123">
        <v>16</v>
      </c>
      <c r="D127" s="127">
        <v>754603685064</v>
      </c>
      <c r="E127" s="53" t="s">
        <v>36</v>
      </c>
    </row>
    <row r="128" spans="1:5">
      <c r="A128" s="116" t="s">
        <v>699</v>
      </c>
      <c r="B128" s="53">
        <v>2471155</v>
      </c>
      <c r="C128" s="123">
        <v>161</v>
      </c>
      <c r="D128" s="127">
        <v>754603685071</v>
      </c>
      <c r="E128" s="53" t="s">
        <v>43</v>
      </c>
    </row>
    <row r="129" spans="1:5">
      <c r="A129" s="116" t="s">
        <v>699</v>
      </c>
      <c r="B129" s="53">
        <v>2471158</v>
      </c>
      <c r="C129" s="123">
        <v>192</v>
      </c>
      <c r="D129" s="127">
        <v>754603685095</v>
      </c>
      <c r="E129" s="53" t="s">
        <v>44</v>
      </c>
    </row>
    <row r="130" spans="1:5">
      <c r="A130" s="116" t="s">
        <v>699</v>
      </c>
      <c r="B130" s="53">
        <v>2471168</v>
      </c>
      <c r="C130" s="123">
        <v>211</v>
      </c>
      <c r="D130" s="127">
        <v>754603685101</v>
      </c>
      <c r="E130" s="53" t="s">
        <v>49</v>
      </c>
    </row>
    <row r="131" spans="1:5">
      <c r="A131" s="116" t="s">
        <v>699</v>
      </c>
      <c r="B131" s="53">
        <v>2471180</v>
      </c>
      <c r="C131" s="123">
        <v>187</v>
      </c>
      <c r="D131" s="127">
        <v>754603685132</v>
      </c>
      <c r="E131" s="53" t="s">
        <v>56</v>
      </c>
    </row>
    <row r="132" spans="1:5">
      <c r="A132" s="116" t="s">
        <v>699</v>
      </c>
      <c r="B132" s="53">
        <v>2471173</v>
      </c>
      <c r="C132" s="123">
        <v>160</v>
      </c>
      <c r="D132" s="127">
        <v>754603685149</v>
      </c>
      <c r="E132" s="53" t="s">
        <v>53</v>
      </c>
    </row>
    <row r="133" spans="1:5">
      <c r="A133" s="116" t="s">
        <v>699</v>
      </c>
      <c r="B133" s="53">
        <v>2471178</v>
      </c>
      <c r="C133" s="123">
        <v>0</v>
      </c>
      <c r="D133" s="127">
        <v>754603685170</v>
      </c>
      <c r="E133" s="53" t="s">
        <v>149</v>
      </c>
    </row>
    <row r="134" spans="1:5">
      <c r="A134" s="116" t="s">
        <v>699</v>
      </c>
      <c r="B134" s="53">
        <v>2471176</v>
      </c>
      <c r="C134" s="123">
        <v>12</v>
      </c>
      <c r="D134" s="127" t="s">
        <v>1925</v>
      </c>
      <c r="E134" s="53" t="s">
        <v>54</v>
      </c>
    </row>
    <row r="135" spans="1:5">
      <c r="A135" s="116" t="s">
        <v>699</v>
      </c>
      <c r="B135" s="53">
        <v>2471162</v>
      </c>
      <c r="C135" s="123">
        <v>0</v>
      </c>
      <c r="D135" s="127">
        <v>754603685217</v>
      </c>
      <c r="E135" s="53" t="s">
        <v>1298</v>
      </c>
    </row>
    <row r="136" spans="1:5">
      <c r="A136" s="116" t="s">
        <v>699</v>
      </c>
      <c r="B136" s="53">
        <v>2471159</v>
      </c>
      <c r="C136" s="123">
        <v>152</v>
      </c>
      <c r="D136" s="127">
        <v>754603685224</v>
      </c>
      <c r="E136" s="53" t="s">
        <v>45</v>
      </c>
    </row>
    <row r="137" spans="1:5">
      <c r="A137" s="116" t="s">
        <v>699</v>
      </c>
      <c r="B137" s="53">
        <v>2471179</v>
      </c>
      <c r="C137" s="123">
        <v>176</v>
      </c>
      <c r="D137" s="127">
        <v>754603685231</v>
      </c>
      <c r="E137" s="53" t="s">
        <v>55</v>
      </c>
    </row>
    <row r="138" spans="1:5">
      <c r="A138" s="116" t="s">
        <v>699</v>
      </c>
      <c r="B138" s="53">
        <v>2471167</v>
      </c>
      <c r="C138" s="123">
        <v>137</v>
      </c>
      <c r="D138" s="127">
        <v>754603685248</v>
      </c>
      <c r="E138" s="53" t="s">
        <v>48</v>
      </c>
    </row>
    <row r="139" spans="1:5">
      <c r="A139" s="116" t="s">
        <v>699</v>
      </c>
      <c r="B139" s="53">
        <v>2471154</v>
      </c>
      <c r="C139" s="123">
        <v>3</v>
      </c>
      <c r="D139" s="127">
        <v>754603685262</v>
      </c>
      <c r="E139" s="53" t="s">
        <v>42</v>
      </c>
    </row>
    <row r="140" spans="1:5">
      <c r="A140" s="116" t="s">
        <v>699</v>
      </c>
      <c r="B140" s="53">
        <v>2471170</v>
      </c>
      <c r="C140" s="123">
        <v>95</v>
      </c>
      <c r="D140" s="127">
        <v>754603685279</v>
      </c>
      <c r="E140" s="53" t="s">
        <v>50</v>
      </c>
    </row>
    <row r="141" spans="1:5">
      <c r="A141" s="116" t="s">
        <v>699</v>
      </c>
      <c r="B141" s="53">
        <v>2471171</v>
      </c>
      <c r="C141" s="123">
        <v>24</v>
      </c>
      <c r="D141" s="127">
        <v>754603685286</v>
      </c>
      <c r="E141" s="53" t="s">
        <v>51</v>
      </c>
    </row>
    <row r="142" spans="1:5">
      <c r="A142" s="116" t="s">
        <v>699</v>
      </c>
      <c r="B142" s="53">
        <v>2471163</v>
      </c>
      <c r="C142" s="123">
        <v>0</v>
      </c>
      <c r="D142" s="127">
        <v>754603685316</v>
      </c>
      <c r="E142" s="53" t="s">
        <v>47</v>
      </c>
    </row>
    <row r="143" spans="1:5">
      <c r="A143" s="116" t="s">
        <v>699</v>
      </c>
      <c r="B143" s="53">
        <v>2471160</v>
      </c>
      <c r="C143" s="123">
        <v>0</v>
      </c>
      <c r="D143" s="127">
        <v>754603685323</v>
      </c>
      <c r="E143" s="53" t="s">
        <v>46</v>
      </c>
    </row>
    <row r="144" spans="1:5">
      <c r="A144" s="116" t="s">
        <v>699</v>
      </c>
      <c r="B144" s="53">
        <v>2471172</v>
      </c>
      <c r="C144" s="123">
        <v>202</v>
      </c>
      <c r="D144" s="127">
        <v>754603685347</v>
      </c>
      <c r="E144" s="53" t="s">
        <v>52</v>
      </c>
    </row>
    <row r="145" spans="1:5">
      <c r="A145" s="116" t="s">
        <v>699</v>
      </c>
      <c r="B145" s="53">
        <v>2471184</v>
      </c>
      <c r="C145" s="123">
        <v>103</v>
      </c>
      <c r="D145" s="127">
        <v>754603685361</v>
      </c>
      <c r="E145" s="53" t="s">
        <v>57</v>
      </c>
    </row>
    <row r="146" spans="1:5">
      <c r="A146" s="116" t="s">
        <v>699</v>
      </c>
      <c r="B146" s="124">
        <v>13980053</v>
      </c>
      <c r="C146" s="126">
        <v>0</v>
      </c>
      <c r="D146" s="127">
        <v>754603685880</v>
      </c>
      <c r="E146" s="53" t="s">
        <v>28</v>
      </c>
    </row>
    <row r="147" spans="1:5">
      <c r="A147" s="116" t="s">
        <v>699</v>
      </c>
      <c r="B147" s="53">
        <v>2471230</v>
      </c>
      <c r="C147" s="126">
        <v>0</v>
      </c>
      <c r="D147" s="127">
        <v>754603687778</v>
      </c>
      <c r="E147" s="53" t="s">
        <v>137</v>
      </c>
    </row>
    <row r="148" spans="1:5">
      <c r="A148" s="116" t="s">
        <v>699</v>
      </c>
      <c r="B148" s="53">
        <v>2471239</v>
      </c>
      <c r="C148" s="126">
        <v>239</v>
      </c>
      <c r="D148" s="127">
        <v>754603687792</v>
      </c>
      <c r="E148" s="53" t="s">
        <v>141</v>
      </c>
    </row>
    <row r="149" spans="1:5">
      <c r="A149" s="116" t="s">
        <v>699</v>
      </c>
      <c r="B149" s="53">
        <v>2471217</v>
      </c>
      <c r="C149" s="126">
        <v>0</v>
      </c>
      <c r="D149" s="127">
        <v>754603687815</v>
      </c>
      <c r="E149" s="53" t="s">
        <v>129</v>
      </c>
    </row>
    <row r="150" spans="1:5">
      <c r="A150" s="116" t="s">
        <v>699</v>
      </c>
      <c r="B150" s="53">
        <v>2471220</v>
      </c>
      <c r="C150" s="126">
        <v>126</v>
      </c>
      <c r="D150" s="127">
        <v>754603687853</v>
      </c>
      <c r="E150" s="53" t="s">
        <v>132</v>
      </c>
    </row>
    <row r="151" spans="1:5">
      <c r="A151" s="116" t="s">
        <v>699</v>
      </c>
      <c r="B151" s="53">
        <v>2471245</v>
      </c>
      <c r="C151" s="126">
        <v>225</v>
      </c>
      <c r="D151" s="127">
        <v>754603687860</v>
      </c>
      <c r="E151" s="53" t="s">
        <v>145</v>
      </c>
    </row>
    <row r="152" spans="1:5">
      <c r="A152" s="116" t="s">
        <v>699</v>
      </c>
      <c r="B152" s="53">
        <v>2471232</v>
      </c>
      <c r="C152" s="126">
        <v>189</v>
      </c>
      <c r="D152" s="127">
        <v>754603687907</v>
      </c>
      <c r="E152" s="53" t="s">
        <v>138</v>
      </c>
    </row>
    <row r="153" spans="1:5">
      <c r="A153" s="116" t="s">
        <v>699</v>
      </c>
      <c r="B153" s="53">
        <v>2471237</v>
      </c>
      <c r="C153" s="126">
        <v>174</v>
      </c>
      <c r="D153" s="127">
        <v>754603687921</v>
      </c>
      <c r="E153" s="53" t="s">
        <v>140</v>
      </c>
    </row>
    <row r="154" spans="1:5">
      <c r="A154" s="116" t="s">
        <v>699</v>
      </c>
      <c r="B154" s="53">
        <v>2471241</v>
      </c>
      <c r="C154" s="126">
        <v>200</v>
      </c>
      <c r="D154" s="127">
        <v>754603687938</v>
      </c>
      <c r="E154" s="53" t="s">
        <v>143</v>
      </c>
    </row>
    <row r="155" spans="1:5">
      <c r="A155" s="116" t="s">
        <v>699</v>
      </c>
      <c r="B155" s="53">
        <v>2471219</v>
      </c>
      <c r="C155" s="126">
        <v>133</v>
      </c>
      <c r="D155" s="127">
        <v>754603687945</v>
      </c>
      <c r="E155" s="53" t="s">
        <v>131</v>
      </c>
    </row>
    <row r="156" spans="1:5">
      <c r="A156" s="116" t="s">
        <v>699</v>
      </c>
      <c r="B156" s="53">
        <v>2471222</v>
      </c>
      <c r="C156" s="126">
        <v>241</v>
      </c>
      <c r="D156" s="127">
        <v>754603687952</v>
      </c>
      <c r="E156" s="53" t="s">
        <v>134</v>
      </c>
    </row>
    <row r="157" spans="1:5">
      <c r="A157" s="116" t="s">
        <v>699</v>
      </c>
      <c r="B157" s="53">
        <v>2471240</v>
      </c>
      <c r="C157" s="126">
        <v>148</v>
      </c>
      <c r="D157" s="127">
        <v>754603687969</v>
      </c>
      <c r="E157" s="53" t="s">
        <v>142</v>
      </c>
    </row>
    <row r="158" spans="1:5">
      <c r="A158" s="116" t="s">
        <v>699</v>
      </c>
      <c r="B158" s="53">
        <v>2471218</v>
      </c>
      <c r="C158" s="126">
        <v>41</v>
      </c>
      <c r="D158" s="127">
        <v>754603687983</v>
      </c>
      <c r="E158" s="53" t="s">
        <v>130</v>
      </c>
    </row>
    <row r="159" spans="1:5">
      <c r="A159" s="116" t="s">
        <v>699</v>
      </c>
      <c r="B159" s="53">
        <v>2471221</v>
      </c>
      <c r="C159" s="126">
        <v>84</v>
      </c>
      <c r="D159" s="127">
        <v>754603687990</v>
      </c>
      <c r="E159" s="53" t="s">
        <v>133</v>
      </c>
    </row>
    <row r="160" spans="1:5">
      <c r="A160" s="116" t="s">
        <v>699</v>
      </c>
      <c r="B160" s="53">
        <v>2471244</v>
      </c>
      <c r="C160" s="126">
        <v>208</v>
      </c>
      <c r="D160" s="127">
        <v>754603688027</v>
      </c>
      <c r="E160" s="53" t="s">
        <v>144</v>
      </c>
    </row>
    <row r="161" spans="1:5">
      <c r="A161" s="116" t="s">
        <v>699</v>
      </c>
      <c r="B161" s="53">
        <v>2471233</v>
      </c>
      <c r="C161" s="126">
        <v>180</v>
      </c>
      <c r="D161" s="127">
        <v>754603688034</v>
      </c>
      <c r="E161" s="53" t="s">
        <v>139</v>
      </c>
    </row>
    <row r="162" spans="1:5">
      <c r="A162" s="116" t="s">
        <v>699</v>
      </c>
      <c r="B162" s="53">
        <v>2471228</v>
      </c>
      <c r="C162" s="126">
        <v>143</v>
      </c>
      <c r="D162" s="127">
        <v>754603688041</v>
      </c>
      <c r="E162" s="53" t="s">
        <v>135</v>
      </c>
    </row>
    <row r="163" spans="1:5">
      <c r="A163" s="116" t="s">
        <v>699</v>
      </c>
      <c r="B163" s="53">
        <v>2471229</v>
      </c>
      <c r="C163" s="126">
        <v>222</v>
      </c>
      <c r="D163" s="127">
        <v>754603688058</v>
      </c>
      <c r="E163" s="53" t="s">
        <v>136</v>
      </c>
    </row>
    <row r="164" spans="1:5">
      <c r="A164" s="116" t="s">
        <v>699</v>
      </c>
      <c r="B164" s="53">
        <v>2814636</v>
      </c>
      <c r="C164" s="126">
        <v>77</v>
      </c>
      <c r="D164" s="127">
        <v>754603788741</v>
      </c>
      <c r="E164" s="53" t="s">
        <v>37</v>
      </c>
    </row>
    <row r="165" spans="1:5">
      <c r="A165" s="116" t="s">
        <v>699</v>
      </c>
      <c r="B165" s="53">
        <v>2814655</v>
      </c>
      <c r="C165" s="126">
        <v>0</v>
      </c>
      <c r="D165" s="127">
        <v>754603788758</v>
      </c>
      <c r="E165" s="53" t="s">
        <v>103</v>
      </c>
    </row>
    <row r="166" spans="1:5">
      <c r="A166" s="116" t="s">
        <v>699</v>
      </c>
      <c r="B166" s="53">
        <v>2814651</v>
      </c>
      <c r="C166" s="126">
        <v>44</v>
      </c>
      <c r="D166" s="127">
        <v>754603788772</v>
      </c>
      <c r="E166" s="53" t="s">
        <v>102</v>
      </c>
    </row>
    <row r="167" spans="1:5">
      <c r="A167" s="116" t="s">
        <v>699</v>
      </c>
      <c r="B167" s="53">
        <v>2814629</v>
      </c>
      <c r="C167" s="126">
        <v>48</v>
      </c>
      <c r="D167" s="127">
        <v>754603788789</v>
      </c>
      <c r="E167" s="53" t="s">
        <v>97</v>
      </c>
    </row>
    <row r="168" spans="1:5">
      <c r="A168" s="116" t="s">
        <v>699</v>
      </c>
      <c r="B168" s="53">
        <v>2814632</v>
      </c>
      <c r="C168" s="126">
        <v>21</v>
      </c>
      <c r="D168" s="127">
        <v>754603788819</v>
      </c>
      <c r="E168" s="53" t="s">
        <v>99</v>
      </c>
    </row>
    <row r="169" spans="1:5">
      <c r="A169" s="116" t="s">
        <v>699</v>
      </c>
      <c r="B169" s="53">
        <v>2814630</v>
      </c>
      <c r="C169" s="126">
        <v>66</v>
      </c>
      <c r="D169" s="127">
        <v>754603788826</v>
      </c>
      <c r="E169" s="53" t="s">
        <v>98</v>
      </c>
    </row>
    <row r="170" spans="1:5">
      <c r="A170" s="116" t="s">
        <v>699</v>
      </c>
      <c r="B170" s="53">
        <v>2814650</v>
      </c>
      <c r="C170" s="126">
        <v>102</v>
      </c>
      <c r="D170" s="127">
        <v>754603788840</v>
      </c>
      <c r="E170" s="53" t="s">
        <v>34</v>
      </c>
    </row>
    <row r="171" spans="1:5">
      <c r="A171" s="116" t="s">
        <v>699</v>
      </c>
      <c r="B171" s="53">
        <v>2814633</v>
      </c>
      <c r="C171" s="126">
        <v>110</v>
      </c>
      <c r="D171" s="127">
        <v>754603788895</v>
      </c>
      <c r="E171" s="53" t="s">
        <v>39</v>
      </c>
    </row>
    <row r="172" spans="1:5">
      <c r="A172" s="116" t="s">
        <v>699</v>
      </c>
      <c r="B172" s="53">
        <v>2814652</v>
      </c>
      <c r="C172" s="126">
        <v>152</v>
      </c>
      <c r="D172" s="127">
        <v>754603788918</v>
      </c>
      <c r="E172" s="53" t="s">
        <v>40</v>
      </c>
    </row>
    <row r="173" spans="1:5">
      <c r="A173" s="116" t="s">
        <v>699</v>
      </c>
      <c r="B173" s="53">
        <v>2814638</v>
      </c>
      <c r="C173" s="126">
        <v>146</v>
      </c>
      <c r="D173" s="127">
        <v>754603788932</v>
      </c>
      <c r="E173" s="53" t="s">
        <v>100</v>
      </c>
    </row>
    <row r="174" spans="1:5">
      <c r="A174" s="116" t="s">
        <v>699</v>
      </c>
      <c r="B174" s="53">
        <v>2814654</v>
      </c>
      <c r="C174" s="126">
        <v>0</v>
      </c>
      <c r="D174" s="127">
        <v>754603788956</v>
      </c>
      <c r="E174" s="53" t="s">
        <v>27</v>
      </c>
    </row>
    <row r="175" spans="1:5">
      <c r="A175" s="116" t="s">
        <v>699</v>
      </c>
      <c r="B175" s="53">
        <v>2814635</v>
      </c>
      <c r="C175" s="126">
        <v>0</v>
      </c>
      <c r="D175" s="127">
        <v>754603788963</v>
      </c>
      <c r="E175" s="53" t="s">
        <v>146</v>
      </c>
    </row>
    <row r="176" spans="1:5">
      <c r="A176" s="116" t="s">
        <v>699</v>
      </c>
      <c r="B176" s="53">
        <v>2814659</v>
      </c>
      <c r="C176" s="126">
        <v>82</v>
      </c>
      <c r="D176" s="127">
        <v>754603788970</v>
      </c>
      <c r="E176" s="53" t="s">
        <v>25</v>
      </c>
    </row>
    <row r="177" spans="1:5">
      <c r="A177" s="116" t="s">
        <v>699</v>
      </c>
      <c r="B177" s="53">
        <v>2814658</v>
      </c>
      <c r="C177" s="126">
        <v>139</v>
      </c>
      <c r="D177" s="127">
        <v>754603788994</v>
      </c>
      <c r="E177" s="53" t="s">
        <v>101</v>
      </c>
    </row>
    <row r="178" spans="1:5">
      <c r="A178" s="116" t="s">
        <v>699</v>
      </c>
      <c r="B178" s="53">
        <v>2814626</v>
      </c>
      <c r="C178" s="126">
        <v>0</v>
      </c>
      <c r="D178" s="127">
        <v>754603789007</v>
      </c>
      <c r="E178" s="53" t="s">
        <v>6</v>
      </c>
    </row>
    <row r="179" spans="1:5">
      <c r="A179" s="116" t="s">
        <v>699</v>
      </c>
      <c r="B179" s="53">
        <v>2814640</v>
      </c>
      <c r="C179" s="126">
        <v>61</v>
      </c>
      <c r="D179" s="127">
        <v>754603789014</v>
      </c>
      <c r="E179" s="53" t="s">
        <v>10</v>
      </c>
    </row>
    <row r="180" spans="1:5">
      <c r="A180" s="116" t="s">
        <v>699</v>
      </c>
      <c r="B180" s="53">
        <v>2814627</v>
      </c>
      <c r="C180" s="126">
        <v>31</v>
      </c>
      <c r="D180" s="127">
        <v>754603789052</v>
      </c>
      <c r="E180" s="53" t="s">
        <v>4</v>
      </c>
    </row>
    <row r="181" spans="1:5">
      <c r="A181" s="116" t="s">
        <v>699</v>
      </c>
      <c r="B181" s="53">
        <v>2814628</v>
      </c>
      <c r="C181" s="126">
        <v>184</v>
      </c>
      <c r="D181" s="127">
        <v>754603789120</v>
      </c>
      <c r="E181" s="53" t="s">
        <v>64</v>
      </c>
    </row>
    <row r="182" spans="1:5">
      <c r="A182" s="116" t="s">
        <v>699</v>
      </c>
      <c r="B182" s="53">
        <v>2814631</v>
      </c>
      <c r="C182" s="126">
        <v>86</v>
      </c>
      <c r="D182" s="127">
        <v>754603789212</v>
      </c>
      <c r="E182" s="53" t="s">
        <v>15</v>
      </c>
    </row>
    <row r="183" spans="1:5">
      <c r="A183" s="116" t="s">
        <v>699</v>
      </c>
      <c r="B183" s="53">
        <v>2814634</v>
      </c>
      <c r="C183" s="126">
        <v>114</v>
      </c>
      <c r="D183" s="127">
        <v>754603789267</v>
      </c>
      <c r="E183" s="53" t="s">
        <v>24</v>
      </c>
    </row>
    <row r="184" spans="1:5">
      <c r="A184" s="116" t="s">
        <v>699</v>
      </c>
      <c r="B184" s="53">
        <v>2814637</v>
      </c>
      <c r="C184" s="126">
        <v>83</v>
      </c>
      <c r="D184" s="127">
        <v>754603789298</v>
      </c>
      <c r="E184" s="53" t="s">
        <v>63</v>
      </c>
    </row>
    <row r="185" spans="1:5">
      <c r="A185" s="116" t="s">
        <v>699</v>
      </c>
      <c r="B185" s="53">
        <v>2814646</v>
      </c>
      <c r="C185" s="126">
        <v>117</v>
      </c>
      <c r="D185" s="127">
        <v>754603789304</v>
      </c>
      <c r="E185" s="53" t="s">
        <v>72</v>
      </c>
    </row>
    <row r="186" spans="1:5">
      <c r="A186" s="116" t="s">
        <v>699</v>
      </c>
      <c r="B186" s="53">
        <v>2814663</v>
      </c>
      <c r="C186" s="126">
        <v>56</v>
      </c>
      <c r="D186" s="127">
        <v>754603789328</v>
      </c>
      <c r="E186" s="53" t="s">
        <v>67</v>
      </c>
    </row>
    <row r="187" spans="1:5">
      <c r="A187" s="116" t="s">
        <v>699</v>
      </c>
      <c r="B187" s="53">
        <v>2814639</v>
      </c>
      <c r="C187" s="126">
        <v>66</v>
      </c>
      <c r="D187" s="127">
        <v>754603789458</v>
      </c>
      <c r="E187" s="53" t="s">
        <v>61</v>
      </c>
    </row>
    <row r="188" spans="1:5">
      <c r="A188" s="116" t="s">
        <v>699</v>
      </c>
      <c r="B188" s="53">
        <v>2814641</v>
      </c>
      <c r="C188" s="126">
        <v>110</v>
      </c>
      <c r="D188" s="127">
        <v>754603789489</v>
      </c>
      <c r="E188" s="53" t="s">
        <v>65</v>
      </c>
    </row>
    <row r="189" spans="1:5">
      <c r="A189" s="116" t="s">
        <v>699</v>
      </c>
      <c r="B189" s="53">
        <v>2814642</v>
      </c>
      <c r="C189" s="126">
        <v>191</v>
      </c>
      <c r="D189" s="127">
        <v>754603789526</v>
      </c>
      <c r="E189" s="53" t="s">
        <v>70</v>
      </c>
    </row>
    <row r="190" spans="1:5">
      <c r="A190" s="116" t="s">
        <v>699</v>
      </c>
      <c r="B190" s="53">
        <v>2814644</v>
      </c>
      <c r="C190" s="126">
        <v>0</v>
      </c>
      <c r="D190" s="127">
        <v>754603789533</v>
      </c>
      <c r="E190" s="53" t="s">
        <v>926</v>
      </c>
    </row>
    <row r="191" spans="1:5">
      <c r="A191" s="116" t="s">
        <v>699</v>
      </c>
      <c r="B191" s="53">
        <v>2814643</v>
      </c>
      <c r="C191" s="126">
        <v>0</v>
      </c>
      <c r="D191" s="127">
        <v>754603789540</v>
      </c>
      <c r="E191" s="53" t="s">
        <v>925</v>
      </c>
    </row>
    <row r="192" spans="1:5">
      <c r="A192" s="116" t="s">
        <v>699</v>
      </c>
      <c r="B192" s="53">
        <v>2814664</v>
      </c>
      <c r="C192" s="126">
        <v>115</v>
      </c>
      <c r="D192" s="127">
        <v>754603789649</v>
      </c>
      <c r="E192" s="53" t="s">
        <v>17</v>
      </c>
    </row>
    <row r="193" spans="1:5">
      <c r="A193" s="116" t="s">
        <v>699</v>
      </c>
      <c r="B193" s="53">
        <v>2814645</v>
      </c>
      <c r="C193" s="126">
        <v>134</v>
      </c>
      <c r="D193" s="127">
        <v>754603789656</v>
      </c>
      <c r="E193" s="53" t="s">
        <v>60</v>
      </c>
    </row>
    <row r="194" spans="1:5">
      <c r="A194" s="116" t="s">
        <v>699</v>
      </c>
      <c r="B194" s="53">
        <v>2814649</v>
      </c>
      <c r="C194" s="126">
        <v>0</v>
      </c>
      <c r="D194" s="127">
        <v>754603789755</v>
      </c>
      <c r="E194" s="53" t="s">
        <v>62</v>
      </c>
    </row>
    <row r="195" spans="1:5">
      <c r="A195" s="116" t="s">
        <v>699</v>
      </c>
      <c r="B195" s="53">
        <v>2814647</v>
      </c>
      <c r="C195" s="126">
        <v>171</v>
      </c>
      <c r="D195" s="127">
        <v>754603789762</v>
      </c>
      <c r="E195" s="53" t="s">
        <v>66</v>
      </c>
    </row>
    <row r="196" spans="1:5">
      <c r="A196" s="116" t="s">
        <v>699</v>
      </c>
      <c r="B196" s="53">
        <v>2814648</v>
      </c>
      <c r="C196" s="123">
        <v>96</v>
      </c>
      <c r="D196" s="127">
        <v>754603789793</v>
      </c>
      <c r="E196" s="53" t="s">
        <v>68</v>
      </c>
    </row>
    <row r="197" spans="1:5">
      <c r="A197" s="116" t="s">
        <v>699</v>
      </c>
      <c r="B197" s="53">
        <v>2814653</v>
      </c>
      <c r="C197" s="123">
        <v>0</v>
      </c>
      <c r="D197" s="127">
        <v>754603789816</v>
      </c>
      <c r="E197" s="53" t="s">
        <v>924</v>
      </c>
    </row>
    <row r="198" spans="1:5">
      <c r="A198" s="116" t="s">
        <v>699</v>
      </c>
      <c r="B198" s="53">
        <v>2814657</v>
      </c>
      <c r="C198" s="123">
        <v>188</v>
      </c>
      <c r="D198" s="127">
        <v>754603789847</v>
      </c>
      <c r="E198" s="53" t="s">
        <v>71</v>
      </c>
    </row>
    <row r="199" spans="1:5">
      <c r="A199" s="116" t="s">
        <v>699</v>
      </c>
      <c r="B199" s="53">
        <v>2814660</v>
      </c>
      <c r="C199" s="123">
        <v>87</v>
      </c>
      <c r="D199" s="127">
        <v>754603789878</v>
      </c>
      <c r="E199" s="53" t="s">
        <v>59</v>
      </c>
    </row>
    <row r="200" spans="1:5">
      <c r="A200" s="116" t="s">
        <v>699</v>
      </c>
      <c r="B200" s="53">
        <v>2814661</v>
      </c>
      <c r="C200" s="123">
        <v>95</v>
      </c>
      <c r="D200" s="127">
        <v>754603789885</v>
      </c>
      <c r="E200" s="53" t="s">
        <v>23</v>
      </c>
    </row>
    <row r="201" spans="1:5">
      <c r="A201" s="116" t="s">
        <v>699</v>
      </c>
      <c r="B201" s="53">
        <v>2814662</v>
      </c>
      <c r="C201" s="123">
        <v>75</v>
      </c>
      <c r="D201" s="127">
        <v>754603789915</v>
      </c>
      <c r="E201" s="53" t="s">
        <v>58</v>
      </c>
    </row>
    <row r="202" spans="1:5">
      <c r="A202" s="116" t="s">
        <v>699</v>
      </c>
      <c r="B202" s="53">
        <v>2814656</v>
      </c>
      <c r="C202" s="123">
        <v>144</v>
      </c>
      <c r="D202" s="127">
        <v>754603789960</v>
      </c>
      <c r="E202" s="53" t="s">
        <v>69</v>
      </c>
    </row>
    <row r="203" spans="1:5">
      <c r="A203" s="116" t="s">
        <v>699</v>
      </c>
      <c r="B203" s="53">
        <v>2814597</v>
      </c>
      <c r="C203" s="123">
        <v>126</v>
      </c>
      <c r="D203" s="127">
        <v>754603790560</v>
      </c>
      <c r="E203" s="53" t="s">
        <v>125</v>
      </c>
    </row>
    <row r="204" spans="1:5">
      <c r="A204" s="116" t="s">
        <v>699</v>
      </c>
      <c r="B204" s="53">
        <v>2814616</v>
      </c>
      <c r="C204" s="123">
        <v>0</v>
      </c>
      <c r="D204" s="127">
        <v>754603790584</v>
      </c>
      <c r="E204" s="53" t="s">
        <v>128</v>
      </c>
    </row>
    <row r="205" spans="1:5">
      <c r="A205" s="116" t="s">
        <v>699</v>
      </c>
      <c r="B205" s="53">
        <v>2814612</v>
      </c>
      <c r="C205" s="123">
        <v>12</v>
      </c>
      <c r="D205" s="127">
        <v>754603790621</v>
      </c>
      <c r="E205" s="53" t="s">
        <v>31</v>
      </c>
    </row>
    <row r="206" spans="1:5">
      <c r="A206" s="116" t="s">
        <v>699</v>
      </c>
      <c r="B206" s="53">
        <v>2814590</v>
      </c>
      <c r="C206" s="123">
        <v>80</v>
      </c>
      <c r="D206" s="127">
        <v>754603790645</v>
      </c>
      <c r="E206" s="53" t="s">
        <v>121</v>
      </c>
    </row>
    <row r="207" spans="1:5">
      <c r="A207" s="116" t="s">
        <v>699</v>
      </c>
      <c r="B207" s="53">
        <v>2814593</v>
      </c>
      <c r="C207" s="123">
        <v>96</v>
      </c>
      <c r="D207" s="127">
        <v>754603790737</v>
      </c>
      <c r="E207" s="53" t="s">
        <v>1</v>
      </c>
    </row>
    <row r="208" spans="1:5">
      <c r="A208" s="116" t="s">
        <v>699</v>
      </c>
      <c r="B208" s="53">
        <v>2814591</v>
      </c>
      <c r="C208" s="123">
        <v>18</v>
      </c>
      <c r="D208" s="127">
        <v>754603790744</v>
      </c>
      <c r="E208" s="53" t="s">
        <v>122</v>
      </c>
    </row>
    <row r="209" spans="1:5">
      <c r="A209" s="116" t="s">
        <v>699</v>
      </c>
      <c r="B209" s="53">
        <v>2814611</v>
      </c>
      <c r="C209" s="123">
        <v>191</v>
      </c>
      <c r="D209" s="127">
        <v>754603790782</v>
      </c>
      <c r="E209" s="53" t="s">
        <v>29</v>
      </c>
    </row>
    <row r="210" spans="1:5">
      <c r="A210" s="116" t="s">
        <v>699</v>
      </c>
      <c r="B210" s="53">
        <v>2814594</v>
      </c>
      <c r="C210" s="123">
        <v>61</v>
      </c>
      <c r="D210" s="127">
        <v>754603790836</v>
      </c>
      <c r="E210" s="53" t="s">
        <v>123</v>
      </c>
    </row>
    <row r="211" spans="1:5">
      <c r="A211" s="116" t="s">
        <v>699</v>
      </c>
      <c r="B211" s="53">
        <v>2814613</v>
      </c>
      <c r="C211" s="123">
        <v>142</v>
      </c>
      <c r="D211" s="127">
        <v>754603790850</v>
      </c>
      <c r="E211" s="53" t="s">
        <v>26</v>
      </c>
    </row>
    <row r="212" spans="1:5">
      <c r="A212" s="116" t="s">
        <v>699</v>
      </c>
      <c r="B212" s="53">
        <v>2814599</v>
      </c>
      <c r="C212" s="123">
        <v>100</v>
      </c>
      <c r="D212" s="127">
        <v>754603790874</v>
      </c>
      <c r="E212" s="53" t="s">
        <v>126</v>
      </c>
    </row>
    <row r="213" spans="1:5">
      <c r="A213" s="116" t="s">
        <v>699</v>
      </c>
      <c r="B213" s="53">
        <v>2814615</v>
      </c>
      <c r="C213" s="123">
        <v>60</v>
      </c>
      <c r="D213" s="127">
        <v>754603790898</v>
      </c>
      <c r="E213" s="53" t="s">
        <v>2</v>
      </c>
    </row>
    <row r="214" spans="1:5">
      <c r="A214" s="116" t="s">
        <v>699</v>
      </c>
      <c r="B214" s="53">
        <v>2814596</v>
      </c>
      <c r="C214" s="123">
        <v>0</v>
      </c>
      <c r="D214" s="127">
        <v>754603790911</v>
      </c>
      <c r="E214" s="53" t="s">
        <v>124</v>
      </c>
    </row>
    <row r="215" spans="1:5">
      <c r="A215" s="116" t="s">
        <v>699</v>
      </c>
      <c r="B215" s="53">
        <v>2814620</v>
      </c>
      <c r="C215" s="123">
        <v>63</v>
      </c>
      <c r="D215" s="127">
        <v>754603790928</v>
      </c>
      <c r="E215" s="53" t="s">
        <v>148</v>
      </c>
    </row>
    <row r="216" spans="1:5">
      <c r="A216" s="116" t="s">
        <v>699</v>
      </c>
      <c r="B216" s="53">
        <v>2814619</v>
      </c>
      <c r="C216" s="123">
        <v>12</v>
      </c>
      <c r="D216" s="127">
        <v>754603790942</v>
      </c>
      <c r="E216" s="53" t="s">
        <v>147</v>
      </c>
    </row>
    <row r="217" spans="1:5">
      <c r="A217" s="116" t="s">
        <v>699</v>
      </c>
      <c r="B217" s="53">
        <v>2814587</v>
      </c>
      <c r="C217" s="123">
        <v>64</v>
      </c>
      <c r="D217" s="127">
        <v>754603790966</v>
      </c>
      <c r="E217" s="53" t="s">
        <v>9</v>
      </c>
    </row>
    <row r="218" spans="1:5">
      <c r="A218" s="116" t="s">
        <v>699</v>
      </c>
      <c r="B218" s="53">
        <v>2814601</v>
      </c>
      <c r="C218" s="123">
        <v>31</v>
      </c>
      <c r="D218" s="127">
        <v>754603790973</v>
      </c>
      <c r="E218" s="53" t="s">
        <v>127</v>
      </c>
    </row>
    <row r="219" spans="1:5">
      <c r="A219" s="116" t="s">
        <v>699</v>
      </c>
      <c r="B219" s="53">
        <v>2814588</v>
      </c>
      <c r="C219" s="123">
        <v>31</v>
      </c>
      <c r="D219" s="127">
        <v>754603791031</v>
      </c>
      <c r="E219" s="53" t="s">
        <v>5</v>
      </c>
    </row>
    <row r="220" spans="1:5">
      <c r="A220" s="116" t="s">
        <v>699</v>
      </c>
      <c r="B220" s="53">
        <v>2814589</v>
      </c>
      <c r="C220" s="123">
        <v>105</v>
      </c>
      <c r="D220" s="127">
        <v>754603791109</v>
      </c>
      <c r="E220" s="53" t="s">
        <v>80</v>
      </c>
    </row>
    <row r="221" spans="1:5">
      <c r="A221" s="116" t="s">
        <v>699</v>
      </c>
      <c r="B221" s="53">
        <v>2814592</v>
      </c>
      <c r="C221" s="123">
        <v>109</v>
      </c>
      <c r="D221" s="127">
        <v>754603791215</v>
      </c>
      <c r="E221" s="53" t="s">
        <v>86</v>
      </c>
    </row>
    <row r="222" spans="1:5">
      <c r="A222" s="116" t="s">
        <v>699</v>
      </c>
      <c r="B222" s="53">
        <v>2814595</v>
      </c>
      <c r="C222" s="123">
        <v>173</v>
      </c>
      <c r="D222" s="127">
        <v>754603791277</v>
      </c>
      <c r="E222" s="53" t="s">
        <v>73</v>
      </c>
    </row>
    <row r="223" spans="1:5">
      <c r="A223" s="116" t="s">
        <v>699</v>
      </c>
      <c r="B223" s="53">
        <v>2814598</v>
      </c>
      <c r="C223" s="123">
        <v>69</v>
      </c>
      <c r="D223" s="127">
        <v>754603791314</v>
      </c>
      <c r="E223" s="53" t="s">
        <v>14</v>
      </c>
    </row>
    <row r="224" spans="1:5">
      <c r="A224" s="116" t="s">
        <v>699</v>
      </c>
      <c r="B224" s="53">
        <v>2814607</v>
      </c>
      <c r="C224" s="123">
        <v>97</v>
      </c>
      <c r="D224" s="127">
        <v>754603791321</v>
      </c>
      <c r="E224" s="53" t="s">
        <v>87</v>
      </c>
    </row>
    <row r="225" spans="1:5">
      <c r="A225" s="116" t="s">
        <v>699</v>
      </c>
      <c r="B225" s="53">
        <v>2814624</v>
      </c>
      <c r="C225" s="123">
        <v>32</v>
      </c>
      <c r="D225" s="127">
        <v>754603791345</v>
      </c>
      <c r="E225" s="53" t="s">
        <v>82</v>
      </c>
    </row>
    <row r="226" spans="1:5">
      <c r="A226" s="116" t="s">
        <v>699</v>
      </c>
      <c r="B226" s="53">
        <v>2814600</v>
      </c>
      <c r="C226" s="123">
        <v>70</v>
      </c>
      <c r="D226" s="127">
        <v>754603791482</v>
      </c>
      <c r="E226" s="53" t="s">
        <v>78</v>
      </c>
    </row>
    <row r="227" spans="1:5">
      <c r="A227" s="116" t="s">
        <v>699</v>
      </c>
      <c r="B227" s="53">
        <v>2814602</v>
      </c>
      <c r="C227" s="123">
        <v>61</v>
      </c>
      <c r="D227" s="127">
        <v>754603791529</v>
      </c>
      <c r="E227" s="53" t="s">
        <v>81</v>
      </c>
    </row>
    <row r="228" spans="1:5">
      <c r="A228" s="116" t="s">
        <v>699</v>
      </c>
      <c r="B228" s="53">
        <v>2814603</v>
      </c>
      <c r="C228" s="123">
        <v>100</v>
      </c>
      <c r="D228" s="127">
        <v>754603791567</v>
      </c>
      <c r="E228" s="53" t="s">
        <v>84</v>
      </c>
    </row>
    <row r="229" spans="1:5">
      <c r="A229" s="116" t="s">
        <v>699</v>
      </c>
      <c r="B229" s="53">
        <v>2814605</v>
      </c>
      <c r="C229" s="123">
        <v>7</v>
      </c>
      <c r="D229" s="127">
        <v>754603791574</v>
      </c>
      <c r="E229" s="53" t="s">
        <v>79</v>
      </c>
    </row>
    <row r="230" spans="1:5">
      <c r="A230" s="116" t="s">
        <v>699</v>
      </c>
      <c r="B230" s="53">
        <v>2814604</v>
      </c>
      <c r="C230" s="123">
        <v>1</v>
      </c>
      <c r="D230" s="127">
        <v>754603791581</v>
      </c>
      <c r="E230" s="53" t="s">
        <v>928</v>
      </c>
    </row>
    <row r="231" spans="1:5">
      <c r="A231" s="116" t="s">
        <v>699</v>
      </c>
      <c r="B231" s="53">
        <v>2814625</v>
      </c>
      <c r="C231" s="123">
        <v>92</v>
      </c>
      <c r="D231" s="127">
        <v>754603791710</v>
      </c>
      <c r="E231" s="53" t="s">
        <v>16</v>
      </c>
    </row>
    <row r="232" spans="1:5">
      <c r="A232" s="116" t="s">
        <v>699</v>
      </c>
      <c r="B232" s="53">
        <v>2814606</v>
      </c>
      <c r="C232" s="123">
        <v>118</v>
      </c>
      <c r="D232" s="127">
        <v>754603791727</v>
      </c>
      <c r="E232" s="53" t="s">
        <v>77</v>
      </c>
    </row>
    <row r="233" spans="1:5">
      <c r="A233" s="116" t="s">
        <v>699</v>
      </c>
      <c r="B233" s="53">
        <v>2814610</v>
      </c>
      <c r="C233" s="123">
        <v>0</v>
      </c>
      <c r="D233" s="127">
        <v>754603791833</v>
      </c>
      <c r="E233" s="53" t="s">
        <v>929</v>
      </c>
    </row>
    <row r="234" spans="1:5">
      <c r="A234" s="116" t="s">
        <v>699</v>
      </c>
      <c r="B234" s="53">
        <v>2814608</v>
      </c>
      <c r="C234" s="123">
        <v>171</v>
      </c>
      <c r="D234" s="127">
        <v>754603791840</v>
      </c>
      <c r="E234" s="53" t="s">
        <v>41</v>
      </c>
    </row>
    <row r="235" spans="1:5">
      <c r="A235" s="116" t="s">
        <v>699</v>
      </c>
      <c r="B235" s="53">
        <v>2814609</v>
      </c>
      <c r="C235" s="123">
        <v>93</v>
      </c>
      <c r="D235" s="127">
        <v>754603791888</v>
      </c>
      <c r="E235" s="53" t="s">
        <v>83</v>
      </c>
    </row>
    <row r="236" spans="1:5">
      <c r="A236" s="116" t="s">
        <v>699</v>
      </c>
      <c r="B236" s="53">
        <v>2814614</v>
      </c>
      <c r="C236" s="123">
        <v>0</v>
      </c>
      <c r="D236" s="127">
        <v>754603791918</v>
      </c>
      <c r="E236" s="53" t="s">
        <v>927</v>
      </c>
    </row>
    <row r="237" spans="1:5">
      <c r="A237" s="116" t="s">
        <v>699</v>
      </c>
      <c r="B237" s="53">
        <v>2814618</v>
      </c>
      <c r="C237" s="123">
        <v>183</v>
      </c>
      <c r="D237" s="127">
        <v>754603791949</v>
      </c>
      <c r="E237" s="53" t="s">
        <v>85</v>
      </c>
    </row>
    <row r="238" spans="1:5">
      <c r="A238" s="116" t="s">
        <v>699</v>
      </c>
      <c r="B238" s="53">
        <v>2814621</v>
      </c>
      <c r="C238" s="123">
        <v>67</v>
      </c>
      <c r="D238" s="127">
        <v>754603791970</v>
      </c>
      <c r="E238" s="53" t="s">
        <v>75</v>
      </c>
    </row>
    <row r="239" spans="1:5">
      <c r="A239" s="116" t="s">
        <v>699</v>
      </c>
      <c r="B239" s="53">
        <v>2814622</v>
      </c>
      <c r="C239" s="123">
        <v>173</v>
      </c>
      <c r="D239" s="127">
        <v>754603791987</v>
      </c>
      <c r="E239" s="53" t="s">
        <v>76</v>
      </c>
    </row>
    <row r="240" spans="1:5">
      <c r="A240" s="116" t="s">
        <v>699</v>
      </c>
      <c r="B240" s="53">
        <v>2814623</v>
      </c>
      <c r="C240" s="123">
        <v>76</v>
      </c>
      <c r="D240" s="127">
        <v>754603792014</v>
      </c>
      <c r="E240" s="53" t="s">
        <v>74</v>
      </c>
    </row>
    <row r="241" spans="1:5">
      <c r="A241" s="116" t="s">
        <v>699</v>
      </c>
      <c r="B241" s="53">
        <v>2814617</v>
      </c>
      <c r="C241" s="123">
        <v>127</v>
      </c>
      <c r="D241" s="127">
        <v>754603792182</v>
      </c>
      <c r="E241" s="53" t="s">
        <v>22</v>
      </c>
    </row>
    <row r="242" spans="1:5">
      <c r="A242" s="116" t="s">
        <v>699</v>
      </c>
      <c r="B242" s="53">
        <v>12227049</v>
      </c>
      <c r="C242" s="123">
        <v>26</v>
      </c>
      <c r="D242" s="127">
        <v>754603945922</v>
      </c>
      <c r="E242" s="53" t="s">
        <v>480</v>
      </c>
    </row>
    <row r="243" spans="1:5">
      <c r="A243" s="116" t="s">
        <v>699</v>
      </c>
      <c r="B243" s="53">
        <v>12227051</v>
      </c>
      <c r="C243" s="123">
        <v>150</v>
      </c>
      <c r="D243" s="127">
        <v>754603946028</v>
      </c>
      <c r="E243" s="53" t="s">
        <v>481</v>
      </c>
    </row>
    <row r="244" spans="1:5">
      <c r="A244" s="116" t="s">
        <v>699</v>
      </c>
      <c r="B244" s="53">
        <v>12227050</v>
      </c>
      <c r="C244" s="123">
        <v>112</v>
      </c>
      <c r="D244" s="127">
        <v>754603946073</v>
      </c>
      <c r="E244" s="53" t="s">
        <v>482</v>
      </c>
    </row>
    <row r="245" spans="1:5">
      <c r="A245" s="116" t="s">
        <v>699</v>
      </c>
      <c r="B245" s="53">
        <v>12227053</v>
      </c>
      <c r="C245" s="123">
        <v>110</v>
      </c>
      <c r="D245" s="127">
        <v>754603946080</v>
      </c>
      <c r="E245" s="53" t="s">
        <v>483</v>
      </c>
    </row>
    <row r="246" spans="1:5">
      <c r="A246" s="116" t="s">
        <v>699</v>
      </c>
      <c r="B246" s="53">
        <v>12227052</v>
      </c>
      <c r="C246" s="123">
        <v>157</v>
      </c>
      <c r="D246" s="127">
        <v>754603946103</v>
      </c>
      <c r="E246" s="53" t="s">
        <v>484</v>
      </c>
    </row>
    <row r="247" spans="1:5">
      <c r="A247" s="116" t="s">
        <v>699</v>
      </c>
      <c r="B247" s="53">
        <v>13712037</v>
      </c>
      <c r="C247" s="122">
        <v>62</v>
      </c>
      <c r="D247" s="53" t="s">
        <v>1400</v>
      </c>
      <c r="E247" s="53" t="s">
        <v>1134</v>
      </c>
    </row>
    <row r="248" spans="1:5">
      <c r="A248" s="116" t="s">
        <v>699</v>
      </c>
      <c r="B248" s="53">
        <v>13712038</v>
      </c>
      <c r="C248" s="122">
        <v>113</v>
      </c>
      <c r="D248" s="53" t="s">
        <v>1401</v>
      </c>
      <c r="E248" s="53" t="s">
        <v>1137</v>
      </c>
    </row>
    <row r="249" spans="1:5">
      <c r="A249" s="116" t="s">
        <v>699</v>
      </c>
      <c r="B249" s="53">
        <v>13712039</v>
      </c>
      <c r="C249" s="122">
        <v>53</v>
      </c>
      <c r="D249" s="53" t="s">
        <v>1402</v>
      </c>
      <c r="E249" s="53" t="s">
        <v>1139</v>
      </c>
    </row>
    <row r="250" spans="1:5">
      <c r="A250" s="116" t="s">
        <v>699</v>
      </c>
      <c r="B250" s="53">
        <v>13712040</v>
      </c>
      <c r="C250" s="122">
        <v>206</v>
      </c>
      <c r="D250" s="53" t="s">
        <v>1403</v>
      </c>
      <c r="E250" s="53" t="s">
        <v>1141</v>
      </c>
    </row>
    <row r="251" spans="1:5">
      <c r="A251" s="116" t="s">
        <v>699</v>
      </c>
      <c r="B251" s="53">
        <v>13712041</v>
      </c>
      <c r="C251" s="122">
        <v>35</v>
      </c>
      <c r="D251" s="53" t="s">
        <v>1404</v>
      </c>
      <c r="E251" s="53" t="s">
        <v>1143</v>
      </c>
    </row>
    <row r="252" spans="1:5">
      <c r="A252" s="116" t="s">
        <v>699</v>
      </c>
      <c r="B252" s="53">
        <v>13712042</v>
      </c>
      <c r="C252" s="122">
        <v>60</v>
      </c>
      <c r="D252" s="53" t="s">
        <v>1405</v>
      </c>
      <c r="E252" s="53" t="s">
        <v>1145</v>
      </c>
    </row>
    <row r="253" spans="1:5">
      <c r="A253" s="116" t="s">
        <v>699</v>
      </c>
      <c r="B253" s="53">
        <v>13712043</v>
      </c>
      <c r="C253" s="122">
        <v>41</v>
      </c>
      <c r="D253" s="53" t="s">
        <v>1406</v>
      </c>
      <c r="E253" s="53" t="s">
        <v>1147</v>
      </c>
    </row>
    <row r="254" spans="1:5">
      <c r="A254" s="116" t="s">
        <v>699</v>
      </c>
      <c r="B254" s="53">
        <v>13712044</v>
      </c>
      <c r="C254" s="122">
        <v>42</v>
      </c>
      <c r="D254" s="53" t="s">
        <v>1407</v>
      </c>
      <c r="E254" s="53" t="s">
        <v>1149</v>
      </c>
    </row>
    <row r="255" spans="1:5">
      <c r="A255" s="116" t="s">
        <v>699</v>
      </c>
      <c r="B255" s="53">
        <v>13712045</v>
      </c>
      <c r="C255" s="122">
        <v>722</v>
      </c>
      <c r="D255" s="53" t="s">
        <v>1408</v>
      </c>
      <c r="E255" s="53" t="s">
        <v>1151</v>
      </c>
    </row>
    <row r="256" spans="1:5">
      <c r="A256" s="116" t="s">
        <v>699</v>
      </c>
      <c r="B256" s="53">
        <v>13712046</v>
      </c>
      <c r="C256" s="122">
        <v>147</v>
      </c>
      <c r="D256" s="53" t="s">
        <v>1409</v>
      </c>
      <c r="E256" s="53" t="s">
        <v>1153</v>
      </c>
    </row>
    <row r="257" spans="1:5">
      <c r="A257" s="116" t="s">
        <v>699</v>
      </c>
      <c r="B257" s="53">
        <v>13712047</v>
      </c>
      <c r="C257" s="122">
        <v>5</v>
      </c>
      <c r="D257" s="53" t="s">
        <v>1410</v>
      </c>
      <c r="E257" s="53" t="s">
        <v>1155</v>
      </c>
    </row>
    <row r="258" spans="1:5">
      <c r="A258" s="116" t="s">
        <v>699</v>
      </c>
      <c r="B258" s="53">
        <v>13712048</v>
      </c>
      <c r="C258" s="122">
        <v>228</v>
      </c>
      <c r="D258" s="53" t="s">
        <v>1411</v>
      </c>
      <c r="E258" s="53" t="s">
        <v>1157</v>
      </c>
    </row>
    <row r="259" spans="1:5">
      <c r="A259" s="116" t="s">
        <v>699</v>
      </c>
      <c r="B259" s="53">
        <v>13712049</v>
      </c>
      <c r="C259" s="122">
        <v>38</v>
      </c>
      <c r="D259" s="53" t="s">
        <v>1412</v>
      </c>
      <c r="E259" s="53" t="s">
        <v>1159</v>
      </c>
    </row>
    <row r="260" spans="1:5">
      <c r="A260" s="116" t="s">
        <v>699</v>
      </c>
      <c r="B260" s="53">
        <v>13712050</v>
      </c>
      <c r="C260" s="122">
        <v>34</v>
      </c>
      <c r="D260" s="53" t="s">
        <v>1413</v>
      </c>
      <c r="E260" s="53" t="s">
        <v>1161</v>
      </c>
    </row>
    <row r="261" spans="1:5">
      <c r="A261" s="116" t="s">
        <v>699</v>
      </c>
      <c r="B261" s="53">
        <v>13712051</v>
      </c>
      <c r="C261" s="122">
        <v>22</v>
      </c>
      <c r="D261" s="53" t="s">
        <v>1414</v>
      </c>
      <c r="E261" s="53" t="s">
        <v>1163</v>
      </c>
    </row>
    <row r="262" spans="1:5">
      <c r="A262" s="116" t="s">
        <v>699</v>
      </c>
      <c r="B262" s="53">
        <v>13712052</v>
      </c>
      <c r="C262" s="122">
        <v>109</v>
      </c>
      <c r="D262" s="53" t="s">
        <v>1415</v>
      </c>
      <c r="E262" s="53" t="s">
        <v>1165</v>
      </c>
    </row>
    <row r="263" spans="1:5">
      <c r="A263" s="116" t="s">
        <v>699</v>
      </c>
      <c r="B263" s="53">
        <v>13712053</v>
      </c>
      <c r="C263" s="122">
        <v>0</v>
      </c>
      <c r="D263" s="53" t="s">
        <v>1416</v>
      </c>
      <c r="E263" s="53" t="s">
        <v>1167</v>
      </c>
    </row>
    <row r="264" spans="1:5">
      <c r="A264" s="116" t="s">
        <v>699</v>
      </c>
      <c r="B264" s="53">
        <v>13712054</v>
      </c>
      <c r="C264" s="122">
        <v>53</v>
      </c>
      <c r="D264" s="53" t="s">
        <v>1417</v>
      </c>
      <c r="E264" s="53" t="s">
        <v>1169</v>
      </c>
    </row>
    <row r="265" spans="1:5">
      <c r="A265" s="116" t="s">
        <v>699</v>
      </c>
      <c r="B265" s="53">
        <v>13712055</v>
      </c>
      <c r="C265" s="122">
        <v>60</v>
      </c>
      <c r="D265" s="53" t="s">
        <v>1418</v>
      </c>
      <c r="E265" s="53" t="s">
        <v>1171</v>
      </c>
    </row>
    <row r="266" spans="1:5">
      <c r="A266" s="116" t="s">
        <v>699</v>
      </c>
      <c r="B266" s="53">
        <v>13712056</v>
      </c>
      <c r="C266" s="122">
        <v>121</v>
      </c>
      <c r="D266" s="53" t="s">
        <v>1419</v>
      </c>
      <c r="E266" s="53" t="s">
        <v>1173</v>
      </c>
    </row>
    <row r="267" spans="1:5">
      <c r="A267" s="116" t="s">
        <v>699</v>
      </c>
      <c r="B267" s="53">
        <v>13712057</v>
      </c>
      <c r="C267" s="122">
        <v>135</v>
      </c>
      <c r="D267" s="53" t="s">
        <v>1420</v>
      </c>
      <c r="E267" s="53" t="s">
        <v>1175</v>
      </c>
    </row>
    <row r="268" spans="1:5">
      <c r="A268" s="116" t="s">
        <v>699</v>
      </c>
      <c r="B268" s="53">
        <v>13712058</v>
      </c>
      <c r="C268" s="122">
        <v>225</v>
      </c>
      <c r="D268" s="53" t="s">
        <v>1421</v>
      </c>
      <c r="E268" s="53" t="s">
        <v>1177</v>
      </c>
    </row>
    <row r="269" spans="1:5">
      <c r="A269" s="116" t="s">
        <v>699</v>
      </c>
      <c r="B269" s="53">
        <v>13712059</v>
      </c>
      <c r="C269" s="122">
        <v>308</v>
      </c>
      <c r="D269" s="53" t="s">
        <v>1422</v>
      </c>
      <c r="E269" s="53" t="s">
        <v>1179</v>
      </c>
    </row>
    <row r="270" spans="1:5">
      <c r="A270" s="116" t="s">
        <v>699</v>
      </c>
      <c r="B270" s="53">
        <v>13712060</v>
      </c>
      <c r="C270" s="122">
        <v>64</v>
      </c>
      <c r="D270" s="53" t="s">
        <v>1423</v>
      </c>
      <c r="E270" s="53" t="s">
        <v>1181</v>
      </c>
    </row>
    <row r="271" spans="1:5">
      <c r="A271" s="116" t="s">
        <v>699</v>
      </c>
      <c r="B271" s="53">
        <v>13712061</v>
      </c>
      <c r="C271" s="122">
        <v>304</v>
      </c>
      <c r="D271" s="53" t="s">
        <v>1424</v>
      </c>
      <c r="E271" s="53" t="s">
        <v>1183</v>
      </c>
    </row>
    <row r="272" spans="1:5">
      <c r="A272" s="116" t="s">
        <v>699</v>
      </c>
      <c r="B272" s="53">
        <v>13712062</v>
      </c>
      <c r="C272" s="122">
        <v>659</v>
      </c>
      <c r="D272" s="53" t="s">
        <v>1425</v>
      </c>
      <c r="E272" s="53" t="s">
        <v>1185</v>
      </c>
    </row>
    <row r="273" spans="1:7">
      <c r="A273" s="116" t="s">
        <v>699</v>
      </c>
      <c r="B273" s="53">
        <v>13712063</v>
      </c>
      <c r="C273" s="122">
        <v>155</v>
      </c>
      <c r="D273" s="53" t="s">
        <v>1426</v>
      </c>
      <c r="E273" s="53" t="s">
        <v>1187</v>
      </c>
    </row>
    <row r="274" spans="1:7">
      <c r="A274" s="116" t="s">
        <v>699</v>
      </c>
      <c r="B274" s="53">
        <v>13712064</v>
      </c>
      <c r="C274" s="122">
        <v>45</v>
      </c>
      <c r="D274" s="53" t="s">
        <v>1427</v>
      </c>
      <c r="E274" s="53" t="s">
        <v>1189</v>
      </c>
    </row>
    <row r="275" spans="1:7">
      <c r="A275" s="116" t="s">
        <v>699</v>
      </c>
      <c r="B275" s="53">
        <v>13712065</v>
      </c>
      <c r="C275" s="122">
        <v>130</v>
      </c>
      <c r="D275" s="53" t="s">
        <v>1428</v>
      </c>
      <c r="E275" s="53" t="s">
        <v>1191</v>
      </c>
    </row>
    <row r="276" spans="1:7">
      <c r="A276" s="116" t="s">
        <v>699</v>
      </c>
      <c r="B276" s="53">
        <v>13712066</v>
      </c>
      <c r="C276" s="122">
        <v>68</v>
      </c>
      <c r="D276" s="53" t="s">
        <v>1429</v>
      </c>
      <c r="E276" s="53" t="s">
        <v>1193</v>
      </c>
    </row>
    <row r="277" spans="1:7">
      <c r="A277" s="116" t="s">
        <v>699</v>
      </c>
      <c r="B277" s="53">
        <v>13712067</v>
      </c>
      <c r="C277" s="122">
        <v>60</v>
      </c>
      <c r="D277" s="53" t="s">
        <v>1430</v>
      </c>
      <c r="E277" s="53" t="s">
        <v>1195</v>
      </c>
    </row>
    <row r="278" spans="1:7">
      <c r="A278" s="116" t="s">
        <v>699</v>
      </c>
      <c r="B278" s="53">
        <v>13712068</v>
      </c>
      <c r="C278" s="122">
        <v>0</v>
      </c>
      <c r="D278" s="53" t="s">
        <v>1431</v>
      </c>
      <c r="E278" s="53" t="s">
        <v>1197</v>
      </c>
    </row>
    <row r="279" spans="1:7">
      <c r="A279" s="116" t="s">
        <v>699</v>
      </c>
      <c r="B279" s="53">
        <v>13712069</v>
      </c>
      <c r="C279" s="122">
        <v>0</v>
      </c>
      <c r="D279" s="53" t="s">
        <v>1432</v>
      </c>
      <c r="E279" s="53" t="s">
        <v>1265</v>
      </c>
    </row>
    <row r="280" spans="1:7">
      <c r="A280" s="116" t="s">
        <v>699</v>
      </c>
      <c r="B280" s="53">
        <v>13712070</v>
      </c>
      <c r="C280" s="122">
        <v>54</v>
      </c>
      <c r="D280" s="53" t="s">
        <v>1433</v>
      </c>
      <c r="E280" s="53" t="s">
        <v>1266</v>
      </c>
    </row>
    <row r="281" spans="1:7">
      <c r="A281" s="116" t="s">
        <v>699</v>
      </c>
      <c r="B281" s="53">
        <v>13712071</v>
      </c>
      <c r="C281" s="122">
        <v>88</v>
      </c>
      <c r="D281" s="53" t="s">
        <v>1434</v>
      </c>
      <c r="E281" s="53" t="s">
        <v>1267</v>
      </c>
    </row>
    <row r="282" spans="1:7">
      <c r="A282" s="116" t="s">
        <v>699</v>
      </c>
      <c r="B282" s="53">
        <v>14017863</v>
      </c>
      <c r="C282" s="122">
        <v>32</v>
      </c>
      <c r="D282" s="132">
        <v>840118742665</v>
      </c>
      <c r="E282" s="53" t="s">
        <v>1268</v>
      </c>
    </row>
    <row r="283" spans="1:7">
      <c r="A283" s="116" t="s">
        <v>699</v>
      </c>
      <c r="B283" s="53">
        <v>13712072</v>
      </c>
      <c r="C283" s="122">
        <v>115</v>
      </c>
      <c r="D283" s="53" t="s">
        <v>1435</v>
      </c>
      <c r="E283" s="53" t="s">
        <v>1269</v>
      </c>
    </row>
    <row r="284" spans="1:7">
      <c r="A284" s="116" t="s">
        <v>699</v>
      </c>
      <c r="B284" s="53">
        <v>13712073</v>
      </c>
      <c r="C284" s="122">
        <v>7</v>
      </c>
      <c r="D284" s="53" t="s">
        <v>1436</v>
      </c>
      <c r="E284" s="53" t="s">
        <v>1270</v>
      </c>
    </row>
    <row r="285" spans="1:7">
      <c r="A285" s="116" t="s">
        <v>699</v>
      </c>
      <c r="B285" s="53">
        <v>13712074</v>
      </c>
      <c r="C285" s="122">
        <v>12</v>
      </c>
      <c r="D285" s="53" t="s">
        <v>1437</v>
      </c>
      <c r="E285" s="53" t="s">
        <v>1271</v>
      </c>
    </row>
    <row r="286" spans="1:7">
      <c r="A286" s="116" t="s">
        <v>699</v>
      </c>
      <c r="B286" s="53">
        <v>13712075</v>
      </c>
      <c r="C286" s="122">
        <v>288</v>
      </c>
      <c r="D286" s="53" t="s">
        <v>1438</v>
      </c>
      <c r="E286" s="53" t="s">
        <v>1272</v>
      </c>
    </row>
    <row r="287" spans="1:7">
      <c r="A287" s="116" t="s">
        <v>699</v>
      </c>
      <c r="B287" s="53">
        <v>13712076</v>
      </c>
      <c r="C287" s="122">
        <v>0</v>
      </c>
      <c r="D287" s="53" t="s">
        <v>1439</v>
      </c>
      <c r="E287" s="53" t="s">
        <v>1273</v>
      </c>
    </row>
    <row r="288" spans="1:7">
      <c r="A288" s="116" t="s">
        <v>699</v>
      </c>
      <c r="B288" s="53">
        <v>13711857</v>
      </c>
      <c r="C288" s="122">
        <v>9</v>
      </c>
      <c r="D288" s="53" t="s">
        <v>1370</v>
      </c>
      <c r="E288" s="53" t="s">
        <v>555</v>
      </c>
      <c r="G288" s="54"/>
    </row>
    <row r="289" spans="1:9">
      <c r="A289" s="116" t="s">
        <v>699</v>
      </c>
      <c r="B289" s="53">
        <v>13711858</v>
      </c>
      <c r="C289" s="122">
        <v>60</v>
      </c>
      <c r="D289" s="53" t="s">
        <v>1371</v>
      </c>
      <c r="E289" s="53" t="s">
        <v>556</v>
      </c>
      <c r="G289" s="54"/>
    </row>
    <row r="290" spans="1:9">
      <c r="A290" s="116" t="s">
        <v>699</v>
      </c>
      <c r="B290" s="53">
        <v>13711859</v>
      </c>
      <c r="C290" s="122">
        <v>29</v>
      </c>
      <c r="D290" s="53" t="s">
        <v>1372</v>
      </c>
      <c r="E290" s="53" t="s">
        <v>680</v>
      </c>
      <c r="G290" s="54"/>
    </row>
    <row r="291" spans="1:9">
      <c r="A291" s="116" t="s">
        <v>699</v>
      </c>
      <c r="B291" s="53">
        <v>13711860</v>
      </c>
      <c r="C291" s="122">
        <v>113</v>
      </c>
      <c r="D291" s="53" t="s">
        <v>1373</v>
      </c>
      <c r="E291" s="53" t="s">
        <v>557</v>
      </c>
      <c r="G291" s="54"/>
    </row>
    <row r="292" spans="1:9">
      <c r="A292" s="116" t="s">
        <v>699</v>
      </c>
      <c r="B292" s="53">
        <v>13711861</v>
      </c>
      <c r="C292" s="122">
        <v>378</v>
      </c>
      <c r="D292" s="53" t="s">
        <v>1374</v>
      </c>
      <c r="E292" s="53" t="s">
        <v>664</v>
      </c>
      <c r="G292" s="54"/>
    </row>
    <row r="293" spans="1:9">
      <c r="A293" s="116" t="s">
        <v>699</v>
      </c>
      <c r="B293" s="53">
        <v>13711862</v>
      </c>
      <c r="C293" s="122">
        <v>23</v>
      </c>
      <c r="D293" s="53" t="s">
        <v>1375</v>
      </c>
      <c r="E293" s="53" t="s">
        <v>558</v>
      </c>
      <c r="G293" s="54"/>
      <c r="I293" s="27"/>
    </row>
    <row r="294" spans="1:9">
      <c r="A294" s="116" t="s">
        <v>699</v>
      </c>
      <c r="B294" s="53">
        <v>13712013</v>
      </c>
      <c r="C294" s="122">
        <v>32</v>
      </c>
      <c r="D294" s="53" t="s">
        <v>1376</v>
      </c>
      <c r="E294" s="53" t="s">
        <v>559</v>
      </c>
      <c r="G294" s="54"/>
      <c r="I294" s="27"/>
    </row>
    <row r="295" spans="1:9">
      <c r="A295" s="116" t="s">
        <v>699</v>
      </c>
      <c r="B295" s="53">
        <v>13712014</v>
      </c>
      <c r="C295" s="122">
        <v>9</v>
      </c>
      <c r="D295" s="53" t="s">
        <v>1377</v>
      </c>
      <c r="E295" s="53" t="s">
        <v>560</v>
      </c>
      <c r="G295" s="54"/>
      <c r="I295" s="27"/>
    </row>
    <row r="296" spans="1:9">
      <c r="A296" s="116" t="s">
        <v>699</v>
      </c>
      <c r="B296" s="53">
        <v>13712015</v>
      </c>
      <c r="C296" s="122">
        <v>26</v>
      </c>
      <c r="D296" s="53" t="s">
        <v>1378</v>
      </c>
      <c r="E296" s="53" t="s">
        <v>561</v>
      </c>
      <c r="G296" s="54"/>
      <c r="I296" s="27"/>
    </row>
    <row r="297" spans="1:9">
      <c r="A297" s="116" t="s">
        <v>699</v>
      </c>
      <c r="B297" s="53">
        <v>13712016</v>
      </c>
      <c r="C297" s="122">
        <v>29</v>
      </c>
      <c r="D297" s="53" t="s">
        <v>1379</v>
      </c>
      <c r="E297" s="53" t="s">
        <v>562</v>
      </c>
      <c r="G297" s="54"/>
      <c r="I297" s="27"/>
    </row>
    <row r="298" spans="1:9">
      <c r="A298" s="116" t="s">
        <v>699</v>
      </c>
      <c r="B298" s="53">
        <v>13712017</v>
      </c>
      <c r="C298" s="122">
        <v>101</v>
      </c>
      <c r="D298" s="53" t="s">
        <v>1380</v>
      </c>
      <c r="E298" s="53" t="s">
        <v>563</v>
      </c>
      <c r="G298" s="54"/>
      <c r="I298" s="27"/>
    </row>
    <row r="299" spans="1:9">
      <c r="A299" s="116" t="s">
        <v>699</v>
      </c>
      <c r="B299" s="53">
        <v>13712018</v>
      </c>
      <c r="C299" s="122">
        <v>32</v>
      </c>
      <c r="D299" s="53" t="s">
        <v>1381</v>
      </c>
      <c r="E299" s="53" t="s">
        <v>564</v>
      </c>
      <c r="G299" s="54"/>
      <c r="I299" s="27"/>
    </row>
    <row r="300" spans="1:9">
      <c r="A300" s="116" t="s">
        <v>699</v>
      </c>
      <c r="B300" s="53">
        <v>13712019</v>
      </c>
      <c r="C300" s="122">
        <v>242</v>
      </c>
      <c r="D300" s="53" t="s">
        <v>1382</v>
      </c>
      <c r="E300" s="53" t="s">
        <v>665</v>
      </c>
      <c r="G300" s="54"/>
      <c r="I300" s="27"/>
    </row>
    <row r="301" spans="1:9">
      <c r="A301" s="116" t="s">
        <v>699</v>
      </c>
      <c r="B301" s="53">
        <v>13712020</v>
      </c>
      <c r="C301" s="122">
        <v>31</v>
      </c>
      <c r="D301" s="53" t="s">
        <v>1383</v>
      </c>
      <c r="E301" s="53" t="s">
        <v>565</v>
      </c>
      <c r="G301" s="54"/>
      <c r="I301" s="27"/>
    </row>
    <row r="302" spans="1:9">
      <c r="A302" s="116" t="s">
        <v>699</v>
      </c>
      <c r="B302" s="53">
        <v>13712021</v>
      </c>
      <c r="C302" s="122">
        <v>31</v>
      </c>
      <c r="D302" s="53" t="s">
        <v>1384</v>
      </c>
      <c r="E302" s="53" t="s">
        <v>566</v>
      </c>
      <c r="G302" s="54"/>
      <c r="I302" s="27"/>
    </row>
    <row r="303" spans="1:9">
      <c r="A303" s="116" t="s">
        <v>699</v>
      </c>
      <c r="B303" s="53">
        <v>13712022</v>
      </c>
      <c r="C303" s="122">
        <v>26</v>
      </c>
      <c r="D303" s="53" t="s">
        <v>1385</v>
      </c>
      <c r="E303" s="53" t="s">
        <v>567</v>
      </c>
      <c r="G303" s="54"/>
      <c r="I303" s="27"/>
    </row>
    <row r="304" spans="1:9">
      <c r="A304" s="116" t="s">
        <v>699</v>
      </c>
      <c r="B304" s="53">
        <v>13712023</v>
      </c>
      <c r="C304" s="122">
        <v>32</v>
      </c>
      <c r="D304" s="53" t="s">
        <v>1386</v>
      </c>
      <c r="E304" s="53" t="s">
        <v>568</v>
      </c>
      <c r="G304" s="54"/>
      <c r="I304" s="27"/>
    </row>
    <row r="305" spans="1:10">
      <c r="A305" s="116" t="s">
        <v>699</v>
      </c>
      <c r="B305" s="53">
        <v>13712024</v>
      </c>
      <c r="C305" s="122">
        <v>340</v>
      </c>
      <c r="D305" s="53" t="s">
        <v>1387</v>
      </c>
      <c r="E305" s="53" t="s">
        <v>666</v>
      </c>
      <c r="G305" s="54"/>
      <c r="I305" s="27"/>
    </row>
    <row r="306" spans="1:10">
      <c r="A306" s="116" t="s">
        <v>699</v>
      </c>
      <c r="B306" s="53">
        <v>13712025</v>
      </c>
      <c r="C306" s="122">
        <v>54</v>
      </c>
      <c r="D306" s="53" t="s">
        <v>1388</v>
      </c>
      <c r="E306" s="53" t="s">
        <v>569</v>
      </c>
      <c r="G306" s="54"/>
      <c r="I306" s="27"/>
    </row>
    <row r="307" spans="1:10">
      <c r="A307" s="116" t="s">
        <v>699</v>
      </c>
      <c r="B307" s="53">
        <v>13712026</v>
      </c>
      <c r="C307" s="122">
        <v>44</v>
      </c>
      <c r="D307" s="53" t="s">
        <v>1389</v>
      </c>
      <c r="E307" s="53" t="s">
        <v>570</v>
      </c>
      <c r="G307" s="54"/>
      <c r="I307" s="27"/>
    </row>
    <row r="308" spans="1:10">
      <c r="A308" s="116" t="s">
        <v>699</v>
      </c>
      <c r="B308" s="53">
        <v>13712027</v>
      </c>
      <c r="C308" s="122">
        <v>78</v>
      </c>
      <c r="D308" s="53" t="s">
        <v>1390</v>
      </c>
      <c r="E308" s="53" t="s">
        <v>571</v>
      </c>
      <c r="G308" s="54"/>
      <c r="I308" s="27"/>
    </row>
    <row r="309" spans="1:10">
      <c r="A309" s="116" t="s">
        <v>699</v>
      </c>
      <c r="B309" s="53">
        <v>13712028</v>
      </c>
      <c r="C309" s="122">
        <v>23</v>
      </c>
      <c r="D309" s="53" t="s">
        <v>1391</v>
      </c>
      <c r="E309" s="53" t="s">
        <v>681</v>
      </c>
      <c r="G309" s="54"/>
      <c r="I309" s="27"/>
    </row>
    <row r="310" spans="1:10">
      <c r="A310" s="116" t="s">
        <v>699</v>
      </c>
      <c r="B310" s="53">
        <v>13712029</v>
      </c>
      <c r="C310" s="122">
        <v>24</v>
      </c>
      <c r="D310" s="53" t="s">
        <v>1392</v>
      </c>
      <c r="E310" s="53" t="s">
        <v>572</v>
      </c>
      <c r="G310" s="54"/>
    </row>
    <row r="311" spans="1:10">
      <c r="A311" s="116" t="s">
        <v>699</v>
      </c>
      <c r="B311" s="53">
        <v>13712030</v>
      </c>
      <c r="C311" s="122">
        <v>2</v>
      </c>
      <c r="D311" s="53" t="s">
        <v>1393</v>
      </c>
      <c r="E311" s="53" t="s">
        <v>573</v>
      </c>
      <c r="G311" s="54"/>
    </row>
    <row r="312" spans="1:10">
      <c r="A312" s="116" t="s">
        <v>699</v>
      </c>
      <c r="B312" s="53">
        <v>13712031</v>
      </c>
      <c r="C312" s="122">
        <v>152</v>
      </c>
      <c r="D312" s="53" t="s">
        <v>1394</v>
      </c>
      <c r="E312" s="53" t="s">
        <v>574</v>
      </c>
      <c r="G312" s="54"/>
    </row>
    <row r="313" spans="1:10">
      <c r="A313" s="116" t="s">
        <v>699</v>
      </c>
      <c r="B313" s="53">
        <v>13712032</v>
      </c>
      <c r="C313" s="122">
        <v>112</v>
      </c>
      <c r="D313" s="53" t="s">
        <v>1395</v>
      </c>
      <c r="E313" s="53" t="s">
        <v>575</v>
      </c>
      <c r="G313" s="54"/>
    </row>
    <row r="314" spans="1:10">
      <c r="A314" s="116" t="s">
        <v>699</v>
      </c>
      <c r="B314" s="53">
        <v>13712033</v>
      </c>
      <c r="C314" s="122">
        <v>25</v>
      </c>
      <c r="D314" s="53" t="s">
        <v>1396</v>
      </c>
      <c r="E314" s="53" t="s">
        <v>576</v>
      </c>
      <c r="G314" s="54"/>
      <c r="I314" s="27"/>
    </row>
    <row r="315" spans="1:10">
      <c r="A315" s="116" t="s">
        <v>699</v>
      </c>
      <c r="B315" s="53">
        <v>13712034</v>
      </c>
      <c r="C315" s="122">
        <v>25</v>
      </c>
      <c r="D315" s="53" t="s">
        <v>1397</v>
      </c>
      <c r="E315" s="53" t="s">
        <v>577</v>
      </c>
      <c r="G315" s="54"/>
      <c r="I315" s="27"/>
    </row>
    <row r="316" spans="1:10">
      <c r="A316" s="116" t="s">
        <v>699</v>
      </c>
      <c r="B316" s="53">
        <v>13712035</v>
      </c>
      <c r="C316" s="122">
        <v>4</v>
      </c>
      <c r="D316" s="53" t="s">
        <v>1398</v>
      </c>
      <c r="E316" s="53" t="s">
        <v>578</v>
      </c>
      <c r="G316" s="54"/>
      <c r="I316" s="27"/>
      <c r="J316" s="54"/>
    </row>
    <row r="317" spans="1:10">
      <c r="A317" s="116" t="s">
        <v>699</v>
      </c>
      <c r="B317" s="53">
        <v>13712036</v>
      </c>
      <c r="C317" s="122">
        <v>104</v>
      </c>
      <c r="D317" s="53" t="s">
        <v>1399</v>
      </c>
      <c r="E317" s="53" t="s">
        <v>667</v>
      </c>
      <c r="G317" s="54"/>
      <c r="I317" s="27"/>
      <c r="J317" s="54"/>
    </row>
    <row r="318" spans="1:10">
      <c r="A318" s="116" t="s">
        <v>699</v>
      </c>
      <c r="B318" s="53">
        <v>13943234</v>
      </c>
      <c r="C318" s="122">
        <v>87</v>
      </c>
      <c r="D318" s="53" t="s">
        <v>1493</v>
      </c>
      <c r="E318" s="53" t="s">
        <v>1494</v>
      </c>
      <c r="G318" s="54"/>
      <c r="I318" s="27"/>
      <c r="J318" s="54"/>
    </row>
    <row r="319" spans="1:10">
      <c r="A319" s="116" t="s">
        <v>699</v>
      </c>
      <c r="B319" s="53">
        <v>13943213</v>
      </c>
      <c r="C319" s="122">
        <v>35</v>
      </c>
      <c r="D319" s="53" t="s">
        <v>1532</v>
      </c>
      <c r="E319" s="53" t="s">
        <v>1533</v>
      </c>
      <c r="G319" s="54"/>
      <c r="I319" s="27"/>
      <c r="J319" s="54"/>
    </row>
    <row r="320" spans="1:10">
      <c r="A320" s="116" t="s">
        <v>699</v>
      </c>
      <c r="B320" s="53">
        <v>13943206</v>
      </c>
      <c r="C320" s="122">
        <v>55</v>
      </c>
      <c r="D320" s="53" t="s">
        <v>1542</v>
      </c>
      <c r="E320" s="53" t="s">
        <v>1543</v>
      </c>
      <c r="G320" s="54"/>
      <c r="I320" s="27"/>
    </row>
    <row r="321" spans="1:9">
      <c r="A321" s="116" t="s">
        <v>699</v>
      </c>
      <c r="B321" s="53">
        <v>13943214</v>
      </c>
      <c r="C321" s="122">
        <v>0</v>
      </c>
      <c r="D321" s="53" t="s">
        <v>1530</v>
      </c>
      <c r="E321" s="53" t="s">
        <v>1531</v>
      </c>
      <c r="G321" s="54"/>
      <c r="I321" s="27"/>
    </row>
    <row r="322" spans="1:9">
      <c r="A322" s="116" t="s">
        <v>699</v>
      </c>
      <c r="B322" s="53">
        <v>13943252</v>
      </c>
      <c r="C322" s="122">
        <v>4</v>
      </c>
      <c r="D322" s="53" t="s">
        <v>1461</v>
      </c>
      <c r="E322" s="53" t="s">
        <v>1462</v>
      </c>
      <c r="G322" s="54"/>
      <c r="I322" s="27"/>
    </row>
    <row r="323" spans="1:9">
      <c r="A323" s="116" t="s">
        <v>699</v>
      </c>
      <c r="B323" s="53">
        <v>13943238</v>
      </c>
      <c r="C323" s="122">
        <v>93</v>
      </c>
      <c r="D323" s="53" t="s">
        <v>1487</v>
      </c>
      <c r="E323" s="53" t="s">
        <v>1488</v>
      </c>
      <c r="G323" s="54"/>
      <c r="I323" s="27"/>
    </row>
    <row r="324" spans="1:9">
      <c r="A324" s="116" t="s">
        <v>699</v>
      </c>
      <c r="B324" s="53">
        <v>13943209</v>
      </c>
      <c r="C324" s="122">
        <v>50</v>
      </c>
      <c r="D324" s="53" t="s">
        <v>1929</v>
      </c>
      <c r="E324" s="53" t="s">
        <v>1538</v>
      </c>
      <c r="G324" s="54"/>
      <c r="I324" s="27"/>
    </row>
    <row r="325" spans="1:9">
      <c r="A325" s="116" t="s">
        <v>699</v>
      </c>
      <c r="B325" s="53">
        <v>13943208</v>
      </c>
      <c r="C325" s="122">
        <v>37</v>
      </c>
      <c r="D325" s="53" t="s">
        <v>1930</v>
      </c>
      <c r="E325" s="53" t="s">
        <v>1539</v>
      </c>
      <c r="G325" s="54"/>
      <c r="I325" s="27"/>
    </row>
    <row r="326" spans="1:9">
      <c r="A326" s="116" t="s">
        <v>699</v>
      </c>
      <c r="B326" s="53">
        <v>13943212</v>
      </c>
      <c r="C326" s="122">
        <v>43</v>
      </c>
      <c r="D326" s="53" t="s">
        <v>1931</v>
      </c>
      <c r="E326" s="53" t="s">
        <v>1534</v>
      </c>
      <c r="G326" s="54"/>
      <c r="I326" s="27"/>
    </row>
    <row r="327" spans="1:9">
      <c r="A327" s="116" t="s">
        <v>699</v>
      </c>
      <c r="B327" s="53">
        <v>13943231</v>
      </c>
      <c r="C327" s="122">
        <v>41</v>
      </c>
      <c r="D327" s="53" t="s">
        <v>1932</v>
      </c>
      <c r="E327" s="53" t="s">
        <v>1498</v>
      </c>
      <c r="G327" s="54"/>
      <c r="I327" s="27"/>
    </row>
    <row r="328" spans="1:9">
      <c r="A328" s="116" t="s">
        <v>699</v>
      </c>
      <c r="B328" s="53">
        <v>13943210</v>
      </c>
      <c r="C328" s="122">
        <v>85</v>
      </c>
      <c r="D328" s="53" t="s">
        <v>1933</v>
      </c>
      <c r="E328" s="53" t="s">
        <v>1537</v>
      </c>
      <c r="G328" s="54"/>
      <c r="I328" s="27"/>
    </row>
    <row r="329" spans="1:9">
      <c r="A329" s="116" t="s">
        <v>699</v>
      </c>
      <c r="B329" s="53">
        <v>13943248</v>
      </c>
      <c r="C329" s="122">
        <v>51</v>
      </c>
      <c r="D329" s="53" t="s">
        <v>1934</v>
      </c>
      <c r="E329" s="53" t="s">
        <v>1469</v>
      </c>
      <c r="G329" s="54"/>
      <c r="I329" s="27"/>
    </row>
    <row r="330" spans="1:9">
      <c r="A330" s="116" t="s">
        <v>699</v>
      </c>
      <c r="B330" s="53">
        <v>13943232</v>
      </c>
      <c r="C330" s="122">
        <v>55</v>
      </c>
      <c r="D330" s="53" t="s">
        <v>1935</v>
      </c>
      <c r="E330" s="53" t="s">
        <v>1497</v>
      </c>
      <c r="G330" s="54"/>
      <c r="I330" s="27"/>
    </row>
    <row r="331" spans="1:9">
      <c r="A331" s="116" t="s">
        <v>699</v>
      </c>
      <c r="B331" s="53">
        <v>13943235</v>
      </c>
      <c r="C331" s="122">
        <v>54</v>
      </c>
      <c r="D331" s="53" t="s">
        <v>1936</v>
      </c>
      <c r="E331" s="53" t="s">
        <v>1492</v>
      </c>
      <c r="G331" s="54"/>
      <c r="I331" s="27"/>
    </row>
    <row r="332" spans="1:9">
      <c r="A332" s="116" t="s">
        <v>699</v>
      </c>
      <c r="B332" s="133">
        <v>14262393</v>
      </c>
      <c r="C332" s="122">
        <v>59</v>
      </c>
      <c r="D332" s="53">
        <v>840118749152</v>
      </c>
      <c r="E332" s="53" t="s">
        <v>1550</v>
      </c>
      <c r="G332" s="54"/>
    </row>
    <row r="333" spans="1:9">
      <c r="A333" s="116" t="s">
        <v>699</v>
      </c>
      <c r="B333" s="53">
        <v>13943215</v>
      </c>
      <c r="C333" s="122">
        <v>60</v>
      </c>
      <c r="D333" s="53" t="s">
        <v>1937</v>
      </c>
      <c r="E333" s="53" t="s">
        <v>1529</v>
      </c>
      <c r="G333" s="54"/>
    </row>
    <row r="334" spans="1:9">
      <c r="A334" s="116" t="s">
        <v>699</v>
      </c>
      <c r="B334" s="53">
        <v>13943239</v>
      </c>
      <c r="C334" s="122">
        <v>49</v>
      </c>
      <c r="D334" s="53" t="s">
        <v>1938</v>
      </c>
      <c r="E334" s="53" t="s">
        <v>1486</v>
      </c>
      <c r="G334" s="54"/>
    </row>
    <row r="335" spans="1:9">
      <c r="A335" s="116" t="s">
        <v>699</v>
      </c>
      <c r="B335" s="53">
        <v>13943237</v>
      </c>
      <c r="C335" s="122">
        <v>52</v>
      </c>
      <c r="D335" s="53" t="s">
        <v>1939</v>
      </c>
      <c r="E335" s="53" t="s">
        <v>1489</v>
      </c>
      <c r="G335" s="54"/>
    </row>
    <row r="336" spans="1:9">
      <c r="A336" s="116" t="s">
        <v>699</v>
      </c>
      <c r="B336" s="53">
        <v>13943203</v>
      </c>
      <c r="C336" s="122">
        <v>70</v>
      </c>
      <c r="D336" s="53" t="s">
        <v>1940</v>
      </c>
      <c r="E336" s="53" t="s">
        <v>1547</v>
      </c>
      <c r="G336" s="54"/>
    </row>
    <row r="337" spans="1:7">
      <c r="A337" s="116" t="s">
        <v>699</v>
      </c>
      <c r="B337" s="53">
        <v>13943204</v>
      </c>
      <c r="C337" s="122">
        <v>27</v>
      </c>
      <c r="D337" s="53" t="s">
        <v>1941</v>
      </c>
      <c r="E337" s="53" t="s">
        <v>1546</v>
      </c>
      <c r="G337" s="54"/>
    </row>
    <row r="338" spans="1:7">
      <c r="A338" s="116" t="s">
        <v>699</v>
      </c>
      <c r="B338" s="134">
        <v>14291194</v>
      </c>
      <c r="C338" s="116">
        <v>85</v>
      </c>
      <c r="D338" s="53">
        <v>840118752428</v>
      </c>
      <c r="E338" s="134" t="s">
        <v>1924</v>
      </c>
      <c r="G338" s="54"/>
    </row>
    <row r="339" spans="1:7">
      <c r="A339" s="116" t="s">
        <v>699</v>
      </c>
      <c r="B339" s="134">
        <v>4291193</v>
      </c>
      <c r="C339" s="116">
        <v>83</v>
      </c>
      <c r="D339" s="53">
        <v>840118752435</v>
      </c>
      <c r="E339" s="134" t="s">
        <v>1923</v>
      </c>
      <c r="G339" s="54"/>
    </row>
    <row r="340" spans="1:7">
      <c r="B340" s="53"/>
      <c r="C340" s="123"/>
      <c r="D340" s="127"/>
      <c r="E340" s="53"/>
      <c r="G340" s="54"/>
    </row>
    <row r="341" spans="1:7">
      <c r="B341" s="53"/>
      <c r="C341" s="123"/>
      <c r="D341" s="127"/>
      <c r="E341" s="53"/>
      <c r="G341" s="54"/>
    </row>
    <row r="342" spans="1:7">
      <c r="B342" s="53"/>
      <c r="C342" s="123"/>
      <c r="D342" s="127"/>
      <c r="E342" s="53"/>
      <c r="G342" s="54"/>
    </row>
    <row r="343" spans="1:7">
      <c r="B343" s="53"/>
      <c r="C343" s="123"/>
      <c r="D343" s="127"/>
      <c r="E343" s="53"/>
      <c r="G343" s="54"/>
    </row>
    <row r="344" spans="1:7">
      <c r="B344" s="53"/>
      <c r="C344" s="123"/>
      <c r="D344" s="127"/>
      <c r="E344" s="53"/>
      <c r="G344" s="54"/>
    </row>
    <row r="345" spans="1:7">
      <c r="B345" s="53"/>
      <c r="C345" s="123"/>
      <c r="D345" s="127"/>
      <c r="E345" s="53"/>
      <c r="G345" s="54"/>
    </row>
    <row r="346" spans="1:7">
      <c r="B346" s="53"/>
      <c r="C346" s="123"/>
      <c r="D346" s="127"/>
      <c r="E346" s="53"/>
      <c r="G346" s="54"/>
    </row>
    <row r="347" spans="1:7">
      <c r="B347" s="53"/>
      <c r="C347" s="123"/>
      <c r="D347" s="127"/>
      <c r="E347" s="53"/>
      <c r="G347" s="54"/>
    </row>
    <row r="348" spans="1:7">
      <c r="B348" s="53"/>
      <c r="C348" s="123"/>
      <c r="D348" s="127"/>
      <c r="E348" s="53"/>
      <c r="G348" s="54"/>
    </row>
    <row r="349" spans="1:7">
      <c r="B349" s="53"/>
      <c r="C349" s="123"/>
      <c r="D349" s="127"/>
      <c r="E349" s="53"/>
      <c r="G349" s="54"/>
    </row>
    <row r="350" spans="1:7">
      <c r="B350" s="53"/>
      <c r="C350" s="123"/>
      <c r="D350" s="127"/>
      <c r="E350" s="53"/>
      <c r="G350" s="54"/>
    </row>
    <row r="351" spans="1:7">
      <c r="B351" s="53"/>
      <c r="C351" s="123"/>
      <c r="D351" s="127"/>
      <c r="E351" s="53"/>
      <c r="G351" s="54"/>
    </row>
    <row r="352" spans="1:7">
      <c r="B352" s="53"/>
      <c r="C352" s="123"/>
      <c r="D352" s="127"/>
      <c r="E352" s="53"/>
      <c r="G352" s="54"/>
    </row>
    <row r="353" spans="2:7">
      <c r="B353" s="53"/>
      <c r="C353" s="123"/>
      <c r="D353" s="127"/>
      <c r="E353" s="53"/>
      <c r="G353" s="54"/>
    </row>
    <row r="354" spans="2:7">
      <c r="B354" s="53"/>
      <c r="C354" s="123"/>
      <c r="D354" s="127"/>
      <c r="E354" s="53"/>
      <c r="G354" s="54"/>
    </row>
    <row r="355" spans="2:7">
      <c r="B355" s="53"/>
      <c r="C355" s="123"/>
      <c r="D355" s="127"/>
      <c r="E355" s="53"/>
      <c r="G355" s="54"/>
    </row>
    <row r="356" spans="2:7">
      <c r="B356" s="53"/>
      <c r="C356" s="123"/>
      <c r="D356" s="127"/>
      <c r="E356" s="53"/>
      <c r="G356" s="54"/>
    </row>
    <row r="357" spans="2:7">
      <c r="B357" s="53"/>
      <c r="C357" s="123"/>
      <c r="D357" s="127"/>
      <c r="E357" s="53"/>
      <c r="G357" s="54"/>
    </row>
    <row r="358" spans="2:7">
      <c r="B358" s="53"/>
      <c r="C358" s="123"/>
      <c r="D358" s="127"/>
      <c r="E358" s="53"/>
      <c r="G358" s="54"/>
    </row>
    <row r="359" spans="2:7">
      <c r="B359" s="53"/>
      <c r="C359" s="123"/>
      <c r="D359" s="127"/>
      <c r="E359" s="53"/>
      <c r="G359" s="54"/>
    </row>
    <row r="360" spans="2:7">
      <c r="B360" s="53"/>
      <c r="C360" s="123"/>
      <c r="D360" s="127"/>
      <c r="E360" s="53"/>
      <c r="G360" s="54"/>
    </row>
    <row r="361" spans="2:7">
      <c r="B361" s="53"/>
      <c r="C361" s="123"/>
      <c r="D361" s="127"/>
      <c r="E361" s="53"/>
      <c r="G361" s="54"/>
    </row>
    <row r="362" spans="2:7">
      <c r="B362" s="53"/>
      <c r="C362" s="123"/>
      <c r="D362" s="127"/>
      <c r="E362" s="53"/>
      <c r="G362" s="54"/>
    </row>
    <row r="363" spans="2:7">
      <c r="B363" s="53"/>
      <c r="C363" s="123"/>
      <c r="D363" s="127"/>
      <c r="E363" s="53"/>
      <c r="G363" s="54"/>
    </row>
    <row r="364" spans="2:7">
      <c r="B364" s="53"/>
      <c r="C364" s="123"/>
      <c r="D364" s="127"/>
      <c r="E364" s="53"/>
      <c r="G364" s="54"/>
    </row>
    <row r="365" spans="2:7">
      <c r="B365" s="53"/>
      <c r="C365" s="123"/>
      <c r="D365" s="127"/>
      <c r="E365" s="53"/>
      <c r="G365" s="54"/>
    </row>
    <row r="366" spans="2:7">
      <c r="B366" s="53"/>
      <c r="C366" s="123"/>
      <c r="D366" s="127"/>
      <c r="E366" s="53"/>
      <c r="G366" s="54"/>
    </row>
    <row r="367" spans="2:7">
      <c r="B367" s="53"/>
      <c r="C367" s="123"/>
      <c r="D367" s="127"/>
      <c r="E367" s="53"/>
      <c r="G367" s="54"/>
    </row>
    <row r="368" spans="2:7">
      <c r="B368" s="53"/>
      <c r="C368" s="123"/>
      <c r="D368" s="127"/>
      <c r="E368" s="53"/>
      <c r="G368" s="54"/>
    </row>
    <row r="369" spans="2:7">
      <c r="B369" s="53"/>
      <c r="C369" s="123"/>
      <c r="D369" s="127"/>
      <c r="E369" s="53"/>
      <c r="G369" s="54"/>
    </row>
    <row r="370" spans="2:7">
      <c r="B370" s="53"/>
      <c r="C370" s="123"/>
      <c r="D370" s="127"/>
      <c r="E370" s="53"/>
      <c r="G370" s="54"/>
    </row>
    <row r="371" spans="2:7">
      <c r="B371" s="53"/>
      <c r="C371" s="123"/>
      <c r="D371" s="127"/>
      <c r="E371" s="53"/>
      <c r="G371" s="54"/>
    </row>
    <row r="372" spans="2:7">
      <c r="B372" s="53"/>
      <c r="C372" s="123"/>
      <c r="D372" s="127"/>
      <c r="E372" s="53"/>
      <c r="G372" s="54"/>
    </row>
    <row r="373" spans="2:7">
      <c r="B373" s="53"/>
      <c r="C373" s="123"/>
      <c r="D373" s="127"/>
      <c r="E373" s="53"/>
    </row>
    <row r="374" spans="2:7">
      <c r="B374" s="53"/>
      <c r="C374" s="123"/>
      <c r="D374" s="127"/>
      <c r="E374" s="53"/>
    </row>
    <row r="375" spans="2:7">
      <c r="B375" s="53"/>
      <c r="C375" s="123"/>
      <c r="D375" s="127"/>
      <c r="E375" s="53"/>
    </row>
    <row r="376" spans="2:7">
      <c r="B376" s="53"/>
      <c r="C376" s="123"/>
      <c r="D376" s="127"/>
      <c r="E376" s="53"/>
    </row>
    <row r="377" spans="2:7">
      <c r="B377" s="53"/>
      <c r="C377" s="123"/>
      <c r="D377" s="127"/>
      <c r="E377" s="53"/>
    </row>
    <row r="378" spans="2:7">
      <c r="B378" s="53"/>
      <c r="C378" s="123"/>
      <c r="D378" s="127"/>
      <c r="E378" s="53"/>
    </row>
    <row r="379" spans="2:7">
      <c r="B379" s="53"/>
      <c r="C379" s="123"/>
      <c r="D379" s="127"/>
      <c r="E379" s="53"/>
    </row>
    <row r="380" spans="2:7">
      <c r="B380" s="53"/>
      <c r="C380" s="123"/>
      <c r="D380" s="127"/>
      <c r="E380" s="53"/>
    </row>
    <row r="381" spans="2:7">
      <c r="B381" s="53"/>
      <c r="C381" s="123"/>
      <c r="D381" s="127"/>
      <c r="E381" s="53"/>
    </row>
    <row r="382" spans="2:7">
      <c r="B382" s="53"/>
      <c r="C382" s="123"/>
      <c r="D382" s="127"/>
      <c r="E382" s="53"/>
    </row>
    <row r="383" spans="2:7">
      <c r="B383" s="53"/>
      <c r="C383" s="123"/>
      <c r="D383" s="127"/>
      <c r="E383" s="53"/>
    </row>
    <row r="384" spans="2:7">
      <c r="B384" s="53"/>
      <c r="C384" s="123"/>
      <c r="D384" s="127"/>
      <c r="E384" s="53"/>
    </row>
    <row r="385" spans="2:5">
      <c r="B385" s="53"/>
      <c r="C385" s="123"/>
      <c r="D385" s="127"/>
      <c r="E385" s="53"/>
    </row>
    <row r="386" spans="2:5">
      <c r="B386" s="53"/>
      <c r="C386" s="123"/>
      <c r="D386" s="127"/>
      <c r="E386" s="53"/>
    </row>
    <row r="387" spans="2:5">
      <c r="B387" s="53"/>
      <c r="C387" s="123"/>
      <c r="D387" s="127"/>
      <c r="E387" s="53"/>
    </row>
    <row r="388" spans="2:5">
      <c r="B388" s="53"/>
      <c r="C388" s="54"/>
      <c r="D388" s="54"/>
      <c r="E388" s="54"/>
    </row>
    <row r="389" spans="2:5">
      <c r="B389" s="53"/>
      <c r="C389" s="54"/>
      <c r="D389" s="54"/>
      <c r="E389" s="54"/>
    </row>
    <row r="390" spans="2:5">
      <c r="B390" s="53"/>
      <c r="C390" s="54"/>
      <c r="D390" s="54"/>
      <c r="E390" s="54"/>
    </row>
    <row r="391" spans="2:5">
      <c r="B391" s="53"/>
      <c r="C391" s="54"/>
      <c r="D391" s="54"/>
      <c r="E391" s="54"/>
    </row>
    <row r="392" spans="2:5">
      <c r="B392" s="53"/>
      <c r="C392" s="54"/>
      <c r="D392" s="54"/>
      <c r="E392" s="54"/>
    </row>
    <row r="393" spans="2:5">
      <c r="B393" s="53"/>
      <c r="C393" s="54"/>
      <c r="D393" s="54"/>
      <c r="E393" s="54"/>
    </row>
    <row r="394" spans="2:5">
      <c r="B394" s="53"/>
      <c r="C394" s="54"/>
      <c r="D394" s="54"/>
      <c r="E394" s="54"/>
    </row>
    <row r="395" spans="2:5">
      <c r="B395" s="53"/>
      <c r="C395" s="54"/>
      <c r="D395" s="54"/>
      <c r="E395" s="54"/>
    </row>
    <row r="396" spans="2:5">
      <c r="B396" s="53"/>
      <c r="C396" s="54"/>
      <c r="D396" s="54"/>
      <c r="E396" s="54"/>
    </row>
    <row r="397" spans="2:5">
      <c r="B397" s="53"/>
      <c r="C397" s="54"/>
      <c r="D397" s="54"/>
      <c r="E397" s="54"/>
    </row>
    <row r="398" spans="2:5">
      <c r="B398" s="53"/>
      <c r="C398" s="54"/>
      <c r="D398" s="54"/>
      <c r="E398" s="54"/>
    </row>
    <row r="399" spans="2:5">
      <c r="B399" s="53"/>
      <c r="C399" s="54"/>
      <c r="D399" s="54"/>
      <c r="E399" s="54"/>
    </row>
    <row r="400" spans="2:5">
      <c r="B400" s="53"/>
      <c r="C400" s="54"/>
      <c r="D400" s="54"/>
      <c r="E400" s="54"/>
    </row>
    <row r="401" spans="2:5">
      <c r="B401" s="53"/>
      <c r="C401" s="54"/>
      <c r="D401" s="54"/>
      <c r="E401" s="54"/>
    </row>
    <row r="402" spans="2:5">
      <c r="B402" s="53"/>
      <c r="C402" s="54"/>
      <c r="D402" s="54"/>
      <c r="E402" s="54"/>
    </row>
    <row r="403" spans="2:5">
      <c r="B403" s="53"/>
      <c r="C403" s="54"/>
      <c r="D403" s="54"/>
      <c r="E403" s="54"/>
    </row>
    <row r="404" spans="2:5">
      <c r="B404" s="53"/>
      <c r="C404" s="54"/>
      <c r="D404" s="54"/>
      <c r="E404" s="54"/>
    </row>
    <row r="405" spans="2:5">
      <c r="B405" s="53"/>
      <c r="C405" s="54"/>
      <c r="D405" s="54"/>
      <c r="E405" s="54"/>
    </row>
    <row r="406" spans="2:5">
      <c r="B406" s="53"/>
      <c r="C406" s="54"/>
      <c r="D406" s="54"/>
      <c r="E406" s="54"/>
    </row>
    <row r="407" spans="2:5">
      <c r="B407" s="53"/>
      <c r="C407" s="54"/>
      <c r="D407" s="54"/>
      <c r="E407" s="54"/>
    </row>
    <row r="408" spans="2:5">
      <c r="B408" s="53"/>
      <c r="C408" s="54"/>
      <c r="D408" s="54"/>
      <c r="E408" s="54"/>
    </row>
    <row r="409" spans="2:5">
      <c r="B409" s="53"/>
      <c r="C409" s="54"/>
      <c r="D409" s="54"/>
      <c r="E409" s="54"/>
    </row>
    <row r="410" spans="2:5">
      <c r="B410" s="53"/>
      <c r="C410" s="54"/>
      <c r="D410" s="54"/>
      <c r="E410" s="54"/>
    </row>
    <row r="411" spans="2:5">
      <c r="B411" s="53"/>
      <c r="C411" s="54"/>
      <c r="D411" s="54"/>
      <c r="E411" s="54"/>
    </row>
    <row r="412" spans="2:5">
      <c r="B412" s="53"/>
      <c r="C412" s="54"/>
      <c r="D412" s="54"/>
      <c r="E412" s="54"/>
    </row>
    <row r="413" spans="2:5">
      <c r="B413" s="53"/>
      <c r="C413" s="54"/>
      <c r="D413" s="54"/>
      <c r="E413" s="54"/>
    </row>
    <row r="414" spans="2:5">
      <c r="B414" s="53"/>
      <c r="C414" s="54"/>
      <c r="D414" s="54"/>
      <c r="E414" s="54"/>
    </row>
    <row r="415" spans="2:5">
      <c r="B415" s="53"/>
      <c r="C415" s="54"/>
      <c r="D415" s="54"/>
      <c r="E415" s="54"/>
    </row>
    <row r="416" spans="2:5">
      <c r="B416" s="53"/>
      <c r="C416" s="54"/>
      <c r="D416" s="54"/>
      <c r="E416" s="54"/>
    </row>
    <row r="417" spans="2:5">
      <c r="B417" s="53"/>
      <c r="C417" s="54"/>
      <c r="D417" s="54"/>
      <c r="E417" s="54"/>
    </row>
    <row r="418" spans="2:5">
      <c r="B418" s="53"/>
      <c r="C418" s="123"/>
      <c r="D418" s="54"/>
      <c r="E418" s="54"/>
    </row>
    <row r="419" spans="2:5">
      <c r="B419" s="53"/>
      <c r="C419" s="123"/>
      <c r="D419" s="54"/>
      <c r="E419" s="54"/>
    </row>
    <row r="420" spans="2:5">
      <c r="B420" s="53"/>
      <c r="C420" s="123"/>
      <c r="D420" s="54"/>
      <c r="E420" s="54"/>
    </row>
    <row r="421" spans="2:5">
      <c r="B421" s="53"/>
      <c r="C421" s="123"/>
      <c r="D421" s="54"/>
      <c r="E421" s="54"/>
    </row>
    <row r="422" spans="2:5">
      <c r="B422" s="53"/>
      <c r="C422" s="123"/>
      <c r="D422" s="54"/>
      <c r="E422" s="54"/>
    </row>
    <row r="423" spans="2:5">
      <c r="B423" s="53"/>
      <c r="C423" s="123"/>
      <c r="D423" s="54"/>
      <c r="E423" s="54"/>
    </row>
    <row r="424" spans="2:5">
      <c r="B424" s="53"/>
      <c r="C424" s="123"/>
      <c r="D424" s="54"/>
      <c r="E424" s="54"/>
    </row>
    <row r="425" spans="2:5">
      <c r="B425" s="53"/>
      <c r="C425" s="123"/>
      <c r="D425" s="54"/>
      <c r="E425" s="54"/>
    </row>
    <row r="426" spans="2:5">
      <c r="B426" s="53"/>
      <c r="C426" s="123"/>
      <c r="D426" s="54"/>
      <c r="E426" s="54"/>
    </row>
    <row r="427" spans="2:5">
      <c r="B427" s="53"/>
      <c r="C427" s="123"/>
      <c r="D427" s="54"/>
      <c r="E427" s="54"/>
    </row>
    <row r="428" spans="2:5">
      <c r="B428" s="53"/>
      <c r="C428" s="123"/>
      <c r="D428" s="54"/>
      <c r="E428" s="54"/>
    </row>
    <row r="429" spans="2:5">
      <c r="B429" s="53"/>
      <c r="C429" s="123"/>
      <c r="D429" s="54"/>
      <c r="E429" s="54"/>
    </row>
    <row r="430" spans="2:5">
      <c r="B430" s="53"/>
      <c r="C430" s="123"/>
      <c r="D430" s="54"/>
      <c r="E430" s="54"/>
    </row>
    <row r="431" spans="2:5">
      <c r="B431" s="53"/>
      <c r="C431" s="123"/>
      <c r="D431" s="54"/>
      <c r="E431" s="54"/>
    </row>
    <row r="432" spans="2:5">
      <c r="B432" s="53"/>
      <c r="C432" s="123"/>
      <c r="D432" s="54"/>
      <c r="E432" s="54"/>
    </row>
    <row r="433" spans="2:5">
      <c r="B433" s="53"/>
      <c r="C433" s="123"/>
      <c r="D433" s="54"/>
      <c r="E433" s="54"/>
    </row>
    <row r="434" spans="2:5">
      <c r="B434" s="53"/>
      <c r="C434" s="123"/>
      <c r="D434" s="54"/>
      <c r="E434" s="54"/>
    </row>
    <row r="435" spans="2:5">
      <c r="B435" s="53"/>
      <c r="C435" s="123"/>
      <c r="D435" s="54"/>
      <c r="E435" s="54"/>
    </row>
    <row r="436" spans="2:5">
      <c r="B436" s="53"/>
      <c r="C436" s="123"/>
      <c r="D436" s="54"/>
      <c r="E436" s="54"/>
    </row>
    <row r="437" spans="2:5">
      <c r="B437" s="53"/>
      <c r="C437" s="123"/>
      <c r="D437" s="54"/>
      <c r="E437" s="54"/>
    </row>
    <row r="438" spans="2:5">
      <c r="B438" s="53"/>
      <c r="C438" s="123"/>
      <c r="D438" s="54"/>
      <c r="E438" s="54"/>
    </row>
    <row r="439" spans="2:5">
      <c r="B439" s="53"/>
      <c r="C439" s="123"/>
      <c r="D439" s="54"/>
      <c r="E439" s="54"/>
    </row>
    <row r="440" spans="2:5">
      <c r="B440" s="53"/>
      <c r="C440" s="123"/>
      <c r="D440" s="54"/>
      <c r="E440" s="54"/>
    </row>
    <row r="441" spans="2:5">
      <c r="B441" s="53"/>
      <c r="C441" s="123"/>
      <c r="D441" s="54"/>
      <c r="E441" s="54"/>
    </row>
    <row r="442" spans="2:5">
      <c r="B442" s="53"/>
      <c r="C442" s="123"/>
      <c r="D442" s="54"/>
      <c r="E442" s="54"/>
    </row>
    <row r="443" spans="2:5">
      <c r="B443" s="53"/>
      <c r="C443" s="123"/>
      <c r="D443" s="54"/>
      <c r="E443" s="54"/>
    </row>
    <row r="444" spans="2:5">
      <c r="B444" s="53"/>
      <c r="C444" s="123"/>
      <c r="D444" s="54"/>
      <c r="E444" s="54"/>
    </row>
    <row r="445" spans="2:5">
      <c r="B445" s="53"/>
      <c r="C445" s="123"/>
      <c r="D445" s="54"/>
      <c r="E445" s="54"/>
    </row>
    <row r="446" spans="2:5">
      <c r="B446" s="53"/>
      <c r="C446" s="123"/>
      <c r="D446" s="54"/>
      <c r="E446" s="54"/>
    </row>
    <row r="447" spans="2:5">
      <c r="B447" s="53"/>
      <c r="C447" s="123"/>
      <c r="D447" s="54"/>
      <c r="E447" s="54"/>
    </row>
    <row r="448" spans="2:5">
      <c r="B448" s="53"/>
      <c r="C448" s="123"/>
      <c r="D448" s="54"/>
      <c r="E448" s="54"/>
    </row>
    <row r="449" spans="2:5">
      <c r="B449" s="53"/>
      <c r="C449" s="123"/>
      <c r="D449" s="54"/>
      <c r="E449" s="54"/>
    </row>
    <row r="450" spans="2:5">
      <c r="B450" s="53"/>
      <c r="C450" s="123"/>
      <c r="D450" s="54"/>
      <c r="E450" s="54"/>
    </row>
    <row r="451" spans="2:5">
      <c r="B451" s="53"/>
      <c r="C451" s="123"/>
      <c r="D451" s="54"/>
      <c r="E451" s="54"/>
    </row>
    <row r="452" spans="2:5">
      <c r="B452" s="53"/>
      <c r="C452" s="123"/>
      <c r="D452" s="54"/>
      <c r="E452" s="54"/>
    </row>
    <row r="453" spans="2:5">
      <c r="B453" s="53"/>
      <c r="C453" s="123"/>
      <c r="D453" s="54"/>
      <c r="E453" s="54"/>
    </row>
    <row r="454" spans="2:5">
      <c r="B454" s="53"/>
      <c r="C454" s="123"/>
      <c r="D454" s="54"/>
      <c r="E454" s="54"/>
    </row>
    <row r="455" spans="2:5">
      <c r="B455" s="53"/>
      <c r="C455" s="123"/>
      <c r="D455" s="54"/>
      <c r="E455" s="54"/>
    </row>
    <row r="456" spans="2:5">
      <c r="B456" s="53"/>
      <c r="C456" s="123"/>
      <c r="D456" s="54"/>
      <c r="E456" s="54"/>
    </row>
    <row r="457" spans="2:5">
      <c r="B457" s="53"/>
      <c r="C457" s="123"/>
      <c r="D457" s="54"/>
      <c r="E457" s="54"/>
    </row>
    <row r="458" spans="2:5">
      <c r="B458" s="53"/>
      <c r="C458" s="123"/>
      <c r="D458" s="54"/>
      <c r="E458" s="54"/>
    </row>
    <row r="459" spans="2:5">
      <c r="B459" s="53"/>
      <c r="C459" s="123"/>
      <c r="D459" s="54"/>
      <c r="E459" s="54"/>
    </row>
    <row r="460" spans="2:5">
      <c r="B460" s="53"/>
      <c r="C460" s="123"/>
      <c r="D460" s="54"/>
      <c r="E460" s="54"/>
    </row>
    <row r="461" spans="2:5">
      <c r="B461" s="53"/>
      <c r="C461" s="123"/>
      <c r="D461" s="54"/>
      <c r="E461" s="54"/>
    </row>
    <row r="462" spans="2:5">
      <c r="B462" s="53"/>
      <c r="C462" s="123"/>
      <c r="D462" s="54"/>
      <c r="E462" s="54"/>
    </row>
    <row r="463" spans="2:5">
      <c r="B463" s="53"/>
      <c r="C463" s="123"/>
      <c r="D463" s="54"/>
      <c r="E463" s="54"/>
    </row>
    <row r="464" spans="2:5">
      <c r="B464" s="53"/>
      <c r="C464" s="123"/>
      <c r="D464" s="54"/>
      <c r="E464" s="54"/>
    </row>
    <row r="465" spans="2:5">
      <c r="B465" s="53"/>
      <c r="C465" s="123"/>
      <c r="D465" s="54"/>
      <c r="E465" s="54"/>
    </row>
    <row r="466" spans="2:5">
      <c r="B466" s="53"/>
      <c r="C466" s="123"/>
      <c r="D466" s="54"/>
      <c r="E466" s="54"/>
    </row>
    <row r="467" spans="2:5">
      <c r="B467" s="53"/>
      <c r="C467" s="123"/>
      <c r="D467" s="54"/>
      <c r="E467" s="54"/>
    </row>
    <row r="468" spans="2:5">
      <c r="B468" s="53"/>
      <c r="C468" s="123"/>
      <c r="D468" s="54"/>
      <c r="E468" s="54"/>
    </row>
    <row r="469" spans="2:5">
      <c r="B469" s="53"/>
      <c r="C469" s="123"/>
      <c r="D469" s="54"/>
      <c r="E469" s="54"/>
    </row>
    <row r="470" spans="2:5" ht="17" customHeight="1">
      <c r="B470" s="53"/>
      <c r="C470" s="123"/>
      <c r="D470" s="54"/>
      <c r="E470" s="54"/>
    </row>
    <row r="471" spans="2:5" ht="17" customHeight="1">
      <c r="B471" s="53"/>
      <c r="C471" s="123"/>
      <c r="D471" s="54"/>
      <c r="E471" s="54"/>
    </row>
    <row r="472" spans="2:5" ht="17" customHeight="1">
      <c r="B472" s="53"/>
      <c r="C472" s="123"/>
      <c r="D472" s="54"/>
      <c r="E472" s="54"/>
    </row>
    <row r="473" spans="2:5">
      <c r="B473" s="53"/>
      <c r="D473" s="54"/>
      <c r="E473" s="54"/>
    </row>
    <row r="474" spans="2:5">
      <c r="B474" s="53"/>
      <c r="D474" s="54"/>
      <c r="E474" s="54"/>
    </row>
    <row r="475" spans="2:5">
      <c r="B475" s="53"/>
      <c r="D475" s="54"/>
      <c r="E475" s="54"/>
    </row>
    <row r="476" spans="2:5">
      <c r="B476" s="53"/>
      <c r="D476" s="54"/>
      <c r="E476" s="54"/>
    </row>
    <row r="477" spans="2:5">
      <c r="B477" s="53"/>
      <c r="D477" s="54"/>
      <c r="E477" s="54"/>
    </row>
    <row r="478" spans="2:5">
      <c r="B478" s="53"/>
      <c r="C478" s="125"/>
      <c r="D478" s="54"/>
      <c r="E478" s="54"/>
    </row>
    <row r="479" spans="2:5">
      <c r="B479" s="53"/>
      <c r="C479" s="125"/>
      <c r="D479" s="54"/>
      <c r="E479" s="54"/>
    </row>
    <row r="480" spans="2:5">
      <c r="B480" s="53"/>
      <c r="C480" s="125"/>
      <c r="D480" s="54"/>
      <c r="E480" s="54"/>
    </row>
    <row r="481" spans="2:5">
      <c r="B481" s="53"/>
      <c r="C481" s="125"/>
      <c r="D481" s="54"/>
      <c r="E481" s="54"/>
    </row>
    <row r="482" spans="2:5">
      <c r="B482" s="53"/>
      <c r="C482" s="125"/>
      <c r="D482" s="54"/>
      <c r="E482" s="54"/>
    </row>
    <row r="483" spans="2:5">
      <c r="B483" s="53"/>
      <c r="C483" s="125"/>
      <c r="D483" s="54"/>
      <c r="E483" s="54"/>
    </row>
    <row r="484" spans="2:5">
      <c r="B484" s="53"/>
      <c r="C484" s="125"/>
      <c r="D484" s="54"/>
      <c r="E484" s="54"/>
    </row>
    <row r="485" spans="2:5">
      <c r="B485" s="53"/>
      <c r="C485" s="125"/>
      <c r="D485" s="54"/>
      <c r="E485" s="54"/>
    </row>
    <row r="486" spans="2:5">
      <c r="B486" s="53"/>
      <c r="C486" s="125"/>
      <c r="D486" s="54"/>
      <c r="E486" s="54"/>
    </row>
    <row r="487" spans="2:5">
      <c r="B487" s="53"/>
      <c r="C487" s="125"/>
      <c r="D487" s="54"/>
      <c r="E487" s="54"/>
    </row>
    <row r="488" spans="2:5">
      <c r="B488" s="53"/>
      <c r="C488" s="125"/>
      <c r="D488" s="54"/>
      <c r="E488" s="54"/>
    </row>
    <row r="489" spans="2:5">
      <c r="B489" s="53"/>
      <c r="C489" s="125"/>
      <c r="D489" s="54"/>
      <c r="E489" s="54"/>
    </row>
    <row r="490" spans="2:5">
      <c r="B490" s="53"/>
      <c r="C490" s="125"/>
      <c r="D490" s="54"/>
      <c r="E490" s="54"/>
    </row>
    <row r="491" spans="2:5">
      <c r="B491" s="53"/>
      <c r="C491" s="125"/>
      <c r="D491" s="54"/>
      <c r="E491" s="54"/>
    </row>
    <row r="492" spans="2:5">
      <c r="B492" s="53"/>
      <c r="C492" s="125"/>
      <c r="D492" s="54"/>
      <c r="E492" s="54"/>
    </row>
    <row r="493" spans="2:5">
      <c r="B493" s="53"/>
      <c r="C493" s="125"/>
      <c r="D493" s="54"/>
      <c r="E493" s="54"/>
    </row>
    <row r="494" spans="2:5">
      <c r="B494" s="53"/>
      <c r="C494" s="125"/>
      <c r="D494" s="54"/>
      <c r="E494" s="54"/>
    </row>
    <row r="495" spans="2:5">
      <c r="B495" s="53"/>
      <c r="C495" s="125"/>
      <c r="D495" s="54"/>
      <c r="E495" s="54"/>
    </row>
    <row r="496" spans="2:5">
      <c r="B496" s="53"/>
      <c r="C496" s="125"/>
      <c r="D496" s="54"/>
      <c r="E496" s="54"/>
    </row>
    <row r="497" spans="2:5">
      <c r="B497" s="53"/>
      <c r="C497" s="125"/>
      <c r="D497" s="54"/>
      <c r="E497" s="54"/>
    </row>
    <row r="498" spans="2:5">
      <c r="B498" s="53"/>
      <c r="C498" s="125"/>
      <c r="D498" s="54"/>
      <c r="E498" s="54"/>
    </row>
    <row r="499" spans="2:5">
      <c r="B499" s="53"/>
      <c r="C499" s="125"/>
      <c r="D499" s="54"/>
      <c r="E499" s="54"/>
    </row>
    <row r="500" spans="2:5">
      <c r="B500" s="53"/>
      <c r="C500" s="125"/>
      <c r="D500" s="54"/>
      <c r="E500" s="54"/>
    </row>
    <row r="501" spans="2:5">
      <c r="B501" s="53"/>
      <c r="C501" s="125"/>
      <c r="D501" s="54"/>
      <c r="E501" s="54"/>
    </row>
    <row r="502" spans="2:5">
      <c r="B502" s="53"/>
      <c r="C502" s="125"/>
      <c r="D502" s="54"/>
      <c r="E502" s="54"/>
    </row>
    <row r="503" spans="2:5">
      <c r="B503" s="53"/>
      <c r="C503" s="125"/>
      <c r="D503" s="54"/>
      <c r="E503" s="54"/>
    </row>
    <row r="504" spans="2:5">
      <c r="B504" s="53"/>
      <c r="C504" s="125"/>
      <c r="D504" s="54"/>
      <c r="E504" s="54"/>
    </row>
    <row r="505" spans="2:5">
      <c r="B505" s="53"/>
      <c r="C505" s="125"/>
      <c r="D505" s="54"/>
      <c r="E505" s="54"/>
    </row>
    <row r="506" spans="2:5">
      <c r="B506" s="53"/>
      <c r="C506" s="125"/>
      <c r="D506" s="54"/>
      <c r="E506" s="54"/>
    </row>
    <row r="507" spans="2:5">
      <c r="B507" s="53"/>
      <c r="C507" s="125"/>
      <c r="D507" s="54"/>
      <c r="E507" s="54"/>
    </row>
    <row r="508" spans="2:5">
      <c r="B508" s="53"/>
      <c r="C508" s="125"/>
      <c r="D508" s="54"/>
      <c r="E508" s="54"/>
    </row>
    <row r="509" spans="2:5">
      <c r="B509" s="53"/>
      <c r="C509" s="125"/>
      <c r="D509" s="54"/>
      <c r="E509" s="54"/>
    </row>
    <row r="510" spans="2:5">
      <c r="B510" s="53"/>
      <c r="C510" s="125"/>
      <c r="D510" s="54"/>
      <c r="E510" s="54"/>
    </row>
    <row r="511" spans="2:5">
      <c r="B511" s="53"/>
      <c r="C511" s="125"/>
      <c r="D511" s="54"/>
      <c r="E511" s="54"/>
    </row>
    <row r="512" spans="2:5">
      <c r="B512" s="53"/>
      <c r="C512" s="125"/>
      <c r="D512" s="54"/>
      <c r="E512" s="54"/>
    </row>
    <row r="513" spans="2:5">
      <c r="B513" s="53"/>
      <c r="C513" s="125"/>
      <c r="D513" s="54"/>
      <c r="E513" s="54"/>
    </row>
    <row r="514" spans="2:5">
      <c r="B514" s="53"/>
      <c r="C514" s="125"/>
      <c r="D514" s="54"/>
      <c r="E514" s="54"/>
    </row>
    <row r="515" spans="2:5">
      <c r="B515" s="53"/>
      <c r="C515" s="125"/>
      <c r="D515" s="54"/>
      <c r="E515" s="54"/>
    </row>
    <row r="516" spans="2:5">
      <c r="B516" s="53"/>
      <c r="C516" s="125"/>
      <c r="D516" s="54"/>
      <c r="E516" s="54"/>
    </row>
    <row r="517" spans="2:5">
      <c r="B517" s="53"/>
      <c r="C517" s="125"/>
      <c r="D517" s="54"/>
      <c r="E517" s="54"/>
    </row>
    <row r="518" spans="2:5">
      <c r="B518" s="53"/>
      <c r="C518" s="125"/>
      <c r="D518" s="54"/>
      <c r="E518" s="54"/>
    </row>
    <row r="519" spans="2:5">
      <c r="B519" s="53"/>
      <c r="C519" s="125"/>
      <c r="D519" s="54"/>
      <c r="E519" s="54"/>
    </row>
    <row r="520" spans="2:5">
      <c r="B520" s="53"/>
      <c r="C520" s="125"/>
      <c r="D520" s="54"/>
      <c r="E520" s="54"/>
    </row>
    <row r="521" spans="2:5">
      <c r="B521" s="53"/>
      <c r="C521" s="125"/>
      <c r="D521" s="54"/>
      <c r="E521" s="54"/>
    </row>
    <row r="522" spans="2:5">
      <c r="B522" s="53"/>
      <c r="C522" s="125"/>
      <c r="D522" s="54"/>
      <c r="E522" s="54"/>
    </row>
    <row r="523" spans="2:5">
      <c r="B523" s="53"/>
      <c r="C523" s="125"/>
      <c r="D523" s="54"/>
      <c r="E523" s="54"/>
    </row>
    <row r="524" spans="2:5">
      <c r="B524" s="53"/>
      <c r="C524" s="125"/>
      <c r="D524" s="54"/>
      <c r="E524" s="54"/>
    </row>
    <row r="525" spans="2:5">
      <c r="B525" s="53"/>
      <c r="C525" s="125"/>
      <c r="D525" s="54"/>
      <c r="E525" s="54"/>
    </row>
    <row r="526" spans="2:5">
      <c r="B526" s="53"/>
      <c r="C526" s="125"/>
      <c r="D526" s="54"/>
      <c r="E526" s="54"/>
    </row>
    <row r="527" spans="2:5">
      <c r="B527" s="53"/>
      <c r="C527" s="125"/>
      <c r="D527" s="54"/>
      <c r="E527" s="54"/>
    </row>
    <row r="528" spans="2:5">
      <c r="B528" s="53"/>
      <c r="C528" s="125"/>
      <c r="D528" s="54"/>
      <c r="E528" s="54"/>
    </row>
    <row r="529" spans="2:5">
      <c r="B529" s="53"/>
      <c r="C529" s="125"/>
      <c r="D529" s="54"/>
      <c r="E529" s="54"/>
    </row>
    <row r="530" spans="2:5">
      <c r="B530" s="53"/>
      <c r="C530" s="125"/>
      <c r="D530" s="54"/>
      <c r="E530" s="54"/>
    </row>
    <row r="531" spans="2:5">
      <c r="B531" s="53"/>
      <c r="C531" s="125"/>
      <c r="D531" s="54"/>
      <c r="E531" s="54"/>
    </row>
    <row r="532" spans="2:5">
      <c r="B532" s="53"/>
      <c r="C532" s="125"/>
      <c r="D532" s="54"/>
      <c r="E532" s="54"/>
    </row>
    <row r="533" spans="2:5">
      <c r="B533" s="53"/>
      <c r="C533" s="125"/>
      <c r="D533" s="54"/>
      <c r="E533" s="54"/>
    </row>
    <row r="534" spans="2:5">
      <c r="B534" s="53"/>
      <c r="C534" s="125"/>
      <c r="D534" s="54"/>
      <c r="E534" s="54"/>
    </row>
    <row r="535" spans="2:5">
      <c r="B535" s="53"/>
      <c r="C535" s="125"/>
      <c r="D535" s="54"/>
      <c r="E535" s="54"/>
    </row>
    <row r="536" spans="2:5">
      <c r="B536" s="53"/>
      <c r="C536" s="125"/>
      <c r="D536" s="54"/>
      <c r="E536" s="54"/>
    </row>
    <row r="537" spans="2:5">
      <c r="B537" s="53"/>
      <c r="C537" s="125"/>
      <c r="D537" s="54"/>
      <c r="E537" s="54"/>
    </row>
    <row r="538" spans="2:5">
      <c r="B538" s="53"/>
      <c r="C538" s="125"/>
      <c r="D538" s="54"/>
      <c r="E538" s="54"/>
    </row>
    <row r="539" spans="2:5">
      <c r="B539" s="53"/>
      <c r="C539" s="125"/>
      <c r="D539" s="54"/>
      <c r="E539" s="54"/>
    </row>
    <row r="540" spans="2:5">
      <c r="B540" s="53"/>
      <c r="C540" s="125"/>
      <c r="D540" s="54"/>
      <c r="E540" s="54"/>
    </row>
    <row r="541" spans="2:5">
      <c r="B541" s="53"/>
      <c r="C541" s="125"/>
      <c r="D541" s="54"/>
      <c r="E541" s="54"/>
    </row>
    <row r="542" spans="2:5">
      <c r="B542" s="53"/>
      <c r="C542" s="125"/>
      <c r="D542" s="54"/>
      <c r="E542" s="54"/>
    </row>
    <row r="543" spans="2:5">
      <c r="B543" s="53"/>
      <c r="C543" s="125"/>
      <c r="D543" s="54"/>
      <c r="E543" s="54"/>
    </row>
    <row r="544" spans="2:5">
      <c r="B544" s="53"/>
      <c r="C544" s="125"/>
      <c r="D544" s="54"/>
      <c r="E544" s="54"/>
    </row>
    <row r="545" spans="2:5">
      <c r="B545" s="53"/>
      <c r="C545" s="125"/>
      <c r="D545" s="54"/>
      <c r="E545" s="54"/>
    </row>
    <row r="546" spans="2:5">
      <c r="B546" s="53"/>
      <c r="C546" s="125"/>
      <c r="D546" s="54"/>
      <c r="E546" s="54"/>
    </row>
    <row r="547" spans="2:5">
      <c r="B547" s="53"/>
      <c r="C547" s="125"/>
      <c r="D547" s="54"/>
      <c r="E547" s="54"/>
    </row>
    <row r="548" spans="2:5">
      <c r="B548" s="53"/>
      <c r="C548" s="125"/>
      <c r="D548" s="54"/>
      <c r="E548" s="54"/>
    </row>
    <row r="549" spans="2:5">
      <c r="B549" s="53"/>
      <c r="C549" s="125"/>
      <c r="D549" s="114"/>
      <c r="E549" s="54"/>
    </row>
    <row r="550" spans="2:5">
      <c r="B550" s="53"/>
      <c r="C550" s="125"/>
      <c r="D550" s="54"/>
      <c r="E550" s="54"/>
    </row>
    <row r="551" spans="2:5">
      <c r="B551" s="53"/>
      <c r="C551" s="125"/>
      <c r="D551" s="54"/>
      <c r="E551" s="54"/>
    </row>
    <row r="552" spans="2:5">
      <c r="B552" s="53"/>
      <c r="C552" s="125"/>
      <c r="D552" s="54"/>
      <c r="E552" s="54"/>
    </row>
    <row r="553" spans="2:5">
      <c r="B553" s="53"/>
      <c r="C553" s="125"/>
      <c r="D553" s="54"/>
      <c r="E553" s="54"/>
    </row>
    <row r="554" spans="2:5">
      <c r="B554" s="53"/>
      <c r="C554" s="125"/>
      <c r="D554" s="54"/>
      <c r="E554" s="54"/>
    </row>
    <row r="555" spans="2:5">
      <c r="B555" s="53"/>
      <c r="D555" s="54"/>
      <c r="E555" s="54"/>
    </row>
    <row r="556" spans="2:5">
      <c r="B556" s="53"/>
      <c r="D556" s="54"/>
      <c r="E556" s="54"/>
    </row>
    <row r="557" spans="2:5">
      <c r="B557" s="53"/>
      <c r="D557" s="54"/>
      <c r="E557" s="54"/>
    </row>
    <row r="558" spans="2:5">
      <c r="B558" s="53"/>
      <c r="D558" s="54"/>
      <c r="E558" s="54"/>
    </row>
    <row r="559" spans="2:5">
      <c r="B559" s="53"/>
      <c r="D559" s="54"/>
      <c r="E559" s="54"/>
    </row>
    <row r="560" spans="2:5">
      <c r="B560" s="53"/>
      <c r="D560" s="54"/>
      <c r="E560" s="54"/>
    </row>
    <row r="561" spans="2:5">
      <c r="B561" s="53"/>
      <c r="D561" s="54"/>
      <c r="E561" s="54"/>
    </row>
    <row r="562" spans="2:5">
      <c r="B562" s="53"/>
      <c r="D562" s="54"/>
      <c r="E562" s="54"/>
    </row>
    <row r="563" spans="2:5">
      <c r="B563" s="53"/>
      <c r="D563" s="54"/>
      <c r="E563" s="54"/>
    </row>
    <row r="564" spans="2:5">
      <c r="B564" s="53"/>
      <c r="D564" s="54"/>
      <c r="E564" s="54"/>
    </row>
    <row r="565" spans="2:5">
      <c r="B565" s="53"/>
      <c r="D565" s="54"/>
      <c r="E565" s="54"/>
    </row>
    <row r="566" spans="2:5">
      <c r="B566" s="53"/>
      <c r="D566" s="54"/>
      <c r="E566" s="54"/>
    </row>
    <row r="567" spans="2:5">
      <c r="B567" s="53"/>
      <c r="D567" s="54"/>
      <c r="E567" s="54"/>
    </row>
    <row r="568" spans="2:5">
      <c r="B568" s="53"/>
      <c r="D568" s="54"/>
      <c r="E568" s="54"/>
    </row>
    <row r="569" spans="2:5">
      <c r="B569" s="53"/>
      <c r="D569" s="54"/>
      <c r="E569" s="54"/>
    </row>
    <row r="570" spans="2:5">
      <c r="B570" s="53"/>
      <c r="D570" s="54"/>
      <c r="E570" s="54"/>
    </row>
    <row r="571" spans="2:5">
      <c r="B571" s="53"/>
      <c r="D571" s="54"/>
      <c r="E571" s="54"/>
    </row>
    <row r="572" spans="2:5">
      <c r="B572" s="53"/>
      <c r="D572" s="54"/>
      <c r="E572" s="54"/>
    </row>
    <row r="573" spans="2:5">
      <c r="B573" s="53"/>
      <c r="D573" s="54"/>
      <c r="E573" s="54"/>
    </row>
    <row r="574" spans="2:5">
      <c r="B574" s="53"/>
      <c r="D574" s="54"/>
      <c r="E574" s="54"/>
    </row>
    <row r="575" spans="2:5">
      <c r="B575" s="53"/>
      <c r="D575" s="54"/>
      <c r="E575" s="54"/>
    </row>
    <row r="576" spans="2:5">
      <c r="B576" s="53"/>
      <c r="D576" s="54"/>
      <c r="E576" s="54"/>
    </row>
    <row r="577" spans="2:5">
      <c r="B577" s="53"/>
      <c r="D577" s="54"/>
      <c r="E577" s="54"/>
    </row>
    <row r="578" spans="2:5">
      <c r="B578" s="53"/>
      <c r="D578" s="54"/>
      <c r="E578" s="54"/>
    </row>
    <row r="579" spans="2:5">
      <c r="B579" s="53"/>
      <c r="D579" s="54"/>
      <c r="E579" s="54"/>
    </row>
    <row r="580" spans="2:5">
      <c r="B580" s="53"/>
      <c r="D580" s="54"/>
      <c r="E580" s="54"/>
    </row>
    <row r="581" spans="2:5">
      <c r="B581" s="53"/>
      <c r="D581" s="54"/>
      <c r="E581" s="54"/>
    </row>
    <row r="582" spans="2:5">
      <c r="B582" s="53"/>
      <c r="D582" s="54"/>
      <c r="E582" s="54"/>
    </row>
    <row r="583" spans="2:5">
      <c r="B583" s="53"/>
      <c r="D583" s="54"/>
      <c r="E583" s="54"/>
    </row>
    <row r="584" spans="2:5">
      <c r="B584" s="53"/>
      <c r="D584" s="54"/>
      <c r="E584" s="54"/>
    </row>
    <row r="585" spans="2:5">
      <c r="B585" s="53"/>
      <c r="D585" s="54"/>
      <c r="E585" s="54"/>
    </row>
    <row r="586" spans="2:5">
      <c r="B586" s="53"/>
      <c r="D586" s="54"/>
      <c r="E586" s="54"/>
    </row>
    <row r="587" spans="2:5">
      <c r="B587" s="53"/>
      <c r="D587" s="54"/>
      <c r="E587" s="54"/>
    </row>
    <row r="588" spans="2:5">
      <c r="B588" s="53"/>
      <c r="D588" s="54"/>
      <c r="E588" s="54"/>
    </row>
    <row r="589" spans="2:5">
      <c r="B589" s="53"/>
      <c r="D589" s="54"/>
      <c r="E589" s="54"/>
    </row>
    <row r="590" spans="2:5">
      <c r="B590" s="53"/>
      <c r="D590" s="54"/>
      <c r="E590" s="54"/>
    </row>
    <row r="591" spans="2:5">
      <c r="B591" s="53"/>
      <c r="D591" s="54"/>
      <c r="E591" s="54"/>
    </row>
    <row r="592" spans="2:5">
      <c r="B592" s="53"/>
      <c r="D592" s="54"/>
      <c r="E592" s="54"/>
    </row>
    <row r="593" spans="2:5">
      <c r="B593" s="53"/>
      <c r="D593" s="54"/>
      <c r="E593" s="54"/>
    </row>
    <row r="594" spans="2:5">
      <c r="B594" s="53"/>
      <c r="D594" s="54"/>
      <c r="E594" s="54"/>
    </row>
    <row r="595" spans="2:5">
      <c r="B595" s="53"/>
      <c r="D595" s="54"/>
      <c r="E595" s="54"/>
    </row>
    <row r="596" spans="2:5">
      <c r="B596" s="53"/>
      <c r="D596" s="54"/>
      <c r="E596" s="54"/>
    </row>
    <row r="597" spans="2:5">
      <c r="B597" s="53"/>
      <c r="D597" s="54"/>
      <c r="E597" s="54"/>
    </row>
    <row r="598" spans="2:5">
      <c r="B598" s="53"/>
      <c r="D598" s="54"/>
      <c r="E598" s="54"/>
    </row>
    <row r="599" spans="2:5">
      <c r="B599" s="53"/>
      <c r="D599" s="54"/>
      <c r="E599" s="54"/>
    </row>
    <row r="600" spans="2:5">
      <c r="B600" s="53"/>
      <c r="D600" s="54"/>
      <c r="E600" s="54"/>
    </row>
    <row r="601" spans="2:5">
      <c r="B601" s="53"/>
      <c r="D601" s="54"/>
      <c r="E601" s="54"/>
    </row>
    <row r="602" spans="2:5">
      <c r="B602" s="53"/>
      <c r="D602" s="54"/>
      <c r="E602" s="54"/>
    </row>
    <row r="603" spans="2:5">
      <c r="B603" s="53"/>
      <c r="D603" s="54"/>
      <c r="E603" s="54"/>
    </row>
    <row r="604" spans="2:5">
      <c r="B604" s="53"/>
      <c r="D604" s="54"/>
      <c r="E604" s="54"/>
    </row>
    <row r="605" spans="2:5">
      <c r="B605" s="53"/>
      <c r="D605" s="54"/>
      <c r="E605" s="54"/>
    </row>
    <row r="606" spans="2:5">
      <c r="B606" s="53"/>
      <c r="D606" s="54"/>
      <c r="E606" s="54"/>
    </row>
    <row r="607" spans="2:5">
      <c r="B607" s="53"/>
      <c r="D607" s="54"/>
      <c r="E607" s="54"/>
    </row>
    <row r="608" spans="2:5">
      <c r="B608" s="53"/>
      <c r="D608" s="54"/>
      <c r="E608" s="54"/>
    </row>
    <row r="609" spans="2:5">
      <c r="B609" s="53"/>
      <c r="D609" s="54"/>
      <c r="E609" s="54"/>
    </row>
    <row r="610" spans="2:5">
      <c r="B610" s="53"/>
      <c r="D610" s="54"/>
      <c r="E610" s="54"/>
    </row>
    <row r="611" spans="2:5">
      <c r="B611" s="53"/>
      <c r="D611" s="54"/>
      <c r="E611" s="54"/>
    </row>
    <row r="612" spans="2:5">
      <c r="B612" s="53"/>
      <c r="D612" s="54"/>
      <c r="E612" s="54"/>
    </row>
    <row r="613" spans="2:5">
      <c r="B613" s="53"/>
      <c r="D613" s="54"/>
      <c r="E613" s="54"/>
    </row>
    <row r="614" spans="2:5">
      <c r="B614" s="53"/>
      <c r="D614" s="54"/>
      <c r="E614" s="54"/>
    </row>
    <row r="615" spans="2:5">
      <c r="B615" s="53"/>
      <c r="C615" s="125"/>
      <c r="D615" s="54"/>
      <c r="E615" s="54"/>
    </row>
    <row r="616" spans="2:5">
      <c r="B616" s="53"/>
      <c r="D616" s="54"/>
      <c r="E616" s="54"/>
    </row>
    <row r="617" spans="2:5">
      <c r="B617" s="53"/>
      <c r="D617" s="54"/>
      <c r="E617" s="54"/>
    </row>
    <row r="618" spans="2:5">
      <c r="B618" s="53"/>
      <c r="D618" s="54"/>
      <c r="E618" s="54"/>
    </row>
    <row r="619" spans="2:5">
      <c r="B619" s="53"/>
      <c r="C619" s="125"/>
      <c r="D619" s="54"/>
      <c r="E619" s="54"/>
    </row>
    <row r="620" spans="2:5">
      <c r="B620" s="53"/>
      <c r="C620" s="125"/>
      <c r="D620" s="54"/>
      <c r="E620" s="54"/>
    </row>
    <row r="621" spans="2:5">
      <c r="B621" s="53"/>
      <c r="C621" s="125"/>
      <c r="D621" s="54"/>
      <c r="E621" s="54"/>
    </row>
    <row r="622" spans="2:5">
      <c r="B622" s="53"/>
      <c r="C622" s="125"/>
      <c r="D622" s="54"/>
      <c r="E622" s="54"/>
    </row>
    <row r="623" spans="2:5">
      <c r="B623" s="53"/>
      <c r="C623" s="125"/>
      <c r="D623" s="54"/>
      <c r="E623" s="54"/>
    </row>
    <row r="624" spans="2:5">
      <c r="B624" s="53"/>
      <c r="C624" s="125"/>
      <c r="D624" s="54"/>
      <c r="E624" s="54"/>
    </row>
    <row r="625" spans="2:5">
      <c r="B625" s="53"/>
      <c r="C625" s="125"/>
      <c r="D625" s="54"/>
      <c r="E625" s="54"/>
    </row>
    <row r="626" spans="2:5">
      <c r="B626" s="53"/>
      <c r="C626" s="125"/>
      <c r="D626" s="54"/>
      <c r="E626" s="54"/>
    </row>
    <row r="627" spans="2:5">
      <c r="B627" s="128"/>
      <c r="C627" s="125"/>
      <c r="D627" s="54"/>
      <c r="E627" s="54"/>
    </row>
    <row r="628" spans="2:5">
      <c r="B628" s="53"/>
      <c r="C628" s="125"/>
      <c r="D628" s="54"/>
      <c r="E628" s="54"/>
    </row>
    <row r="629" spans="2:5">
      <c r="B629" s="53"/>
      <c r="C629" s="125"/>
      <c r="D629" s="54"/>
      <c r="E629" s="54"/>
    </row>
    <row r="630" spans="2:5">
      <c r="B630" s="53"/>
      <c r="C630" s="125"/>
      <c r="D630" s="54"/>
      <c r="E630" s="54"/>
    </row>
    <row r="631" spans="2:5">
      <c r="B631" s="53"/>
      <c r="C631" s="125"/>
      <c r="D631" s="54"/>
      <c r="E631" s="54"/>
    </row>
    <row r="632" spans="2:5">
      <c r="B632" s="53"/>
      <c r="C632" s="125"/>
      <c r="D632" s="54"/>
      <c r="E632" s="54"/>
    </row>
    <row r="633" spans="2:5">
      <c r="B633" s="53"/>
      <c r="C633" s="125"/>
      <c r="D633" s="54"/>
      <c r="E633" s="54"/>
    </row>
    <row r="634" spans="2:5">
      <c r="B634" s="53"/>
      <c r="C634" s="125"/>
      <c r="D634" s="54"/>
      <c r="E634" s="54"/>
    </row>
    <row r="635" spans="2:5">
      <c r="B635" s="53"/>
      <c r="C635" s="125"/>
      <c r="D635" s="54"/>
      <c r="E635" s="54"/>
    </row>
    <row r="636" spans="2:5">
      <c r="B636" s="53"/>
      <c r="C636" s="125"/>
      <c r="D636" s="54"/>
      <c r="E636" s="54"/>
    </row>
    <row r="637" spans="2:5">
      <c r="B637" s="53"/>
      <c r="C637" s="125"/>
      <c r="D637" s="54"/>
      <c r="E637" s="54"/>
    </row>
    <row r="638" spans="2:5">
      <c r="B638" s="53"/>
      <c r="C638" s="125"/>
      <c r="D638" s="54"/>
      <c r="E638" s="54"/>
    </row>
    <row r="639" spans="2:5">
      <c r="B639" s="53"/>
      <c r="C639" s="125"/>
      <c r="D639" s="54"/>
      <c r="E639" s="54"/>
    </row>
    <row r="640" spans="2:5">
      <c r="B640" s="53"/>
      <c r="C640" s="125"/>
      <c r="D640" s="54"/>
      <c r="E640" s="54"/>
    </row>
    <row r="641" spans="2:5">
      <c r="B641" s="53"/>
      <c r="C641" s="125"/>
      <c r="D641" s="54"/>
      <c r="E641" s="54"/>
    </row>
    <row r="642" spans="2:5">
      <c r="B642" s="53"/>
      <c r="C642" s="125"/>
      <c r="D642" s="54"/>
      <c r="E642" s="54"/>
    </row>
    <row r="643" spans="2:5">
      <c r="B643" s="53"/>
      <c r="C643" s="125"/>
      <c r="D643" s="54"/>
      <c r="E643" s="54"/>
    </row>
    <row r="644" spans="2:5">
      <c r="B644" s="53"/>
      <c r="C644" s="125"/>
      <c r="D644" s="54"/>
      <c r="E644" s="54"/>
    </row>
    <row r="645" spans="2:5">
      <c r="B645" s="53"/>
      <c r="C645" s="125"/>
      <c r="D645" s="54"/>
      <c r="E645" s="54"/>
    </row>
    <row r="646" spans="2:5">
      <c r="B646" s="53"/>
      <c r="C646" s="125"/>
      <c r="D646" s="54"/>
      <c r="E646" s="54"/>
    </row>
    <row r="647" spans="2:5">
      <c r="B647" s="53"/>
      <c r="C647" s="125"/>
      <c r="D647" s="54"/>
      <c r="E647" s="54"/>
    </row>
    <row r="648" spans="2:5">
      <c r="B648" s="53"/>
      <c r="C648" s="125"/>
      <c r="D648" s="54"/>
      <c r="E648" s="54"/>
    </row>
    <row r="649" spans="2:5">
      <c r="B649" s="53"/>
      <c r="C649" s="125"/>
      <c r="D649" s="54"/>
      <c r="E649" s="54"/>
    </row>
    <row r="650" spans="2:5">
      <c r="B650" s="53"/>
      <c r="C650" s="125"/>
      <c r="D650" s="54"/>
      <c r="E650" s="54"/>
    </row>
    <row r="651" spans="2:5">
      <c r="B651" s="53"/>
      <c r="C651" s="125"/>
      <c r="D651" s="54"/>
      <c r="E651" s="54"/>
    </row>
    <row r="652" spans="2:5">
      <c r="B652" s="53"/>
      <c r="C652" s="125"/>
      <c r="D652" s="54"/>
      <c r="E652" s="54"/>
    </row>
    <row r="653" spans="2:5">
      <c r="B653" s="53"/>
      <c r="C653" s="125"/>
      <c r="D653" s="54"/>
      <c r="E653" s="54"/>
    </row>
    <row r="654" spans="2:5">
      <c r="B654" s="53"/>
      <c r="C654" s="125"/>
      <c r="D654" s="54"/>
      <c r="E654" s="54"/>
    </row>
    <row r="655" spans="2:5">
      <c r="B655" s="53"/>
      <c r="C655" s="125"/>
      <c r="D655" s="54"/>
      <c r="E655" s="54"/>
    </row>
    <row r="656" spans="2:5">
      <c r="B656" s="53"/>
      <c r="C656" s="125"/>
      <c r="D656" s="54"/>
      <c r="E656" s="54"/>
    </row>
    <row r="657" spans="2:5">
      <c r="B657" s="53"/>
      <c r="C657" s="125"/>
      <c r="D657" s="54"/>
      <c r="E657" s="54"/>
    </row>
    <row r="658" spans="2:5">
      <c r="B658" s="53"/>
      <c r="C658" s="125"/>
      <c r="D658" s="54"/>
      <c r="E658" s="54"/>
    </row>
    <row r="659" spans="2:5">
      <c r="B659" s="53"/>
      <c r="C659" s="125"/>
      <c r="D659" s="54"/>
      <c r="E659" s="54"/>
    </row>
    <row r="660" spans="2:5">
      <c r="B660" s="53"/>
      <c r="C660" s="125"/>
      <c r="D660" s="54"/>
      <c r="E660" s="54"/>
    </row>
    <row r="661" spans="2:5">
      <c r="B661" s="53"/>
      <c r="C661" s="125"/>
      <c r="D661" s="54"/>
      <c r="E661" s="54"/>
    </row>
    <row r="662" spans="2:5">
      <c r="B662" s="53"/>
      <c r="C662" s="125"/>
      <c r="D662" s="54"/>
      <c r="E662" s="54"/>
    </row>
    <row r="663" spans="2:5">
      <c r="B663" s="53"/>
      <c r="C663" s="125"/>
      <c r="D663" s="54"/>
      <c r="E663" s="54"/>
    </row>
    <row r="664" spans="2:5">
      <c r="B664" s="53"/>
      <c r="C664" s="125"/>
      <c r="D664" s="54"/>
      <c r="E664" s="54"/>
    </row>
    <row r="665" spans="2:5">
      <c r="B665" s="53"/>
      <c r="D665" s="54"/>
      <c r="E665" s="54"/>
    </row>
    <row r="666" spans="2:5">
      <c r="B666" s="53"/>
      <c r="D666" s="54"/>
      <c r="E666" s="54"/>
    </row>
    <row r="667" spans="2:5">
      <c r="B667" s="53"/>
      <c r="D667" s="54"/>
      <c r="E667" s="54"/>
    </row>
    <row r="668" spans="2:5">
      <c r="B668" s="53"/>
      <c r="D668" s="54"/>
      <c r="E668" s="54"/>
    </row>
    <row r="669" spans="2:5">
      <c r="B669" s="53"/>
      <c r="D669" s="54"/>
      <c r="E669" s="54"/>
    </row>
    <row r="670" spans="2:5">
      <c r="B670" s="53"/>
      <c r="D670" s="54"/>
      <c r="E670" s="54"/>
    </row>
    <row r="671" spans="2:5">
      <c r="B671" s="53"/>
      <c r="D671" s="54"/>
      <c r="E671" s="54"/>
    </row>
    <row r="672" spans="2:5">
      <c r="B672" s="53"/>
      <c r="D672" s="54"/>
      <c r="E672" s="54"/>
    </row>
    <row r="673" spans="2:5">
      <c r="B673" s="53"/>
      <c r="D673" s="54"/>
      <c r="E673" s="54"/>
    </row>
    <row r="674" spans="2:5">
      <c r="B674" s="53"/>
      <c r="D674" s="54"/>
      <c r="E674" s="54"/>
    </row>
    <row r="675" spans="2:5">
      <c r="B675" s="53"/>
      <c r="D675" s="54"/>
      <c r="E675" s="54"/>
    </row>
    <row r="676" spans="2:5">
      <c r="B676" s="53"/>
      <c r="D676" s="54"/>
      <c r="E676" s="54"/>
    </row>
    <row r="677" spans="2:5">
      <c r="B677" s="53"/>
      <c r="D677" s="54"/>
      <c r="E677" s="54"/>
    </row>
    <row r="678" spans="2:5">
      <c r="B678" s="53"/>
      <c r="D678" s="54"/>
      <c r="E678" s="54"/>
    </row>
    <row r="679" spans="2:5">
      <c r="B679" s="53"/>
      <c r="D679" s="54"/>
      <c r="E679" s="54"/>
    </row>
    <row r="680" spans="2:5">
      <c r="B680" s="53"/>
      <c r="D680" s="54"/>
      <c r="E680" s="54"/>
    </row>
    <row r="681" spans="2:5">
      <c r="B681" s="53"/>
      <c r="D681" s="54"/>
      <c r="E681" s="54"/>
    </row>
    <row r="682" spans="2:5">
      <c r="B682" s="53"/>
      <c r="D682" s="54"/>
      <c r="E682" s="54"/>
    </row>
    <row r="683" spans="2:5">
      <c r="B683" s="129"/>
      <c r="D683" s="54"/>
      <c r="E683" s="129"/>
    </row>
    <row r="684" spans="2:5">
      <c r="B684" s="129"/>
      <c r="D684" s="54"/>
      <c r="E684" s="129"/>
    </row>
    <row r="685" spans="2:5">
      <c r="D685" s="54"/>
    </row>
    <row r="686" spans="2:5">
      <c r="D686" s="54"/>
    </row>
    <row r="687" spans="2:5">
      <c r="D687" s="54"/>
    </row>
  </sheetData>
  <sortState ref="A2:E682">
    <sortCondition ref="E2:E682"/>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559"/>
  <sheetViews>
    <sheetView workbookViewId="0">
      <selection activeCell="J443" sqref="J443"/>
    </sheetView>
  </sheetViews>
  <sheetFormatPr baseColWidth="10" defaultColWidth="11" defaultRowHeight="16"/>
  <cols>
    <col min="1" max="1" width="18" customWidth="1"/>
    <col min="2" max="2" width="13.5" style="115" bestFit="1" customWidth="1"/>
  </cols>
  <sheetData>
    <row r="1" spans="1:7">
      <c r="A1" t="s">
        <v>834</v>
      </c>
      <c r="B1" s="115" t="s">
        <v>835</v>
      </c>
      <c r="C1" t="s">
        <v>836</v>
      </c>
      <c r="D1" t="s">
        <v>837</v>
      </c>
      <c r="E1" t="s">
        <v>838</v>
      </c>
      <c r="F1" t="s">
        <v>839</v>
      </c>
      <c r="G1" t="s">
        <v>840</v>
      </c>
    </row>
    <row r="2" spans="1:7">
      <c r="A2" s="2" t="s">
        <v>841</v>
      </c>
      <c r="B2" s="115" t="s">
        <v>156</v>
      </c>
      <c r="C2">
        <v>26</v>
      </c>
      <c r="E2" s="3">
        <v>43691</v>
      </c>
      <c r="F2" s="4"/>
      <c r="G2" s="4" t="s">
        <v>842</v>
      </c>
    </row>
    <row r="3" spans="1:7">
      <c r="A3" s="2" t="s">
        <v>841</v>
      </c>
      <c r="B3" s="115" t="s">
        <v>158</v>
      </c>
      <c r="C3">
        <v>7</v>
      </c>
      <c r="E3" s="3">
        <v>43691</v>
      </c>
      <c r="F3" s="4"/>
      <c r="G3" s="4" t="s">
        <v>842</v>
      </c>
    </row>
    <row r="4" spans="1:7">
      <c r="A4" s="2" t="s">
        <v>841</v>
      </c>
      <c r="B4" s="115" t="s">
        <v>159</v>
      </c>
      <c r="C4">
        <v>20</v>
      </c>
      <c r="E4" s="3">
        <v>43691</v>
      </c>
      <c r="F4" s="4"/>
      <c r="G4" s="4" t="s">
        <v>842</v>
      </c>
    </row>
    <row r="5" spans="1:7">
      <c r="A5" s="2" t="s">
        <v>841</v>
      </c>
      <c r="B5" s="115" t="s">
        <v>160</v>
      </c>
      <c r="C5">
        <v>7</v>
      </c>
      <c r="E5" s="3">
        <v>43691</v>
      </c>
      <c r="F5" s="4"/>
      <c r="G5" s="4" t="s">
        <v>842</v>
      </c>
    </row>
    <row r="6" spans="1:7">
      <c r="A6" s="2" t="s">
        <v>841</v>
      </c>
      <c r="B6" s="115" t="s">
        <v>161</v>
      </c>
      <c r="C6">
        <v>27</v>
      </c>
      <c r="E6" s="3">
        <v>43691</v>
      </c>
      <c r="F6" s="4"/>
      <c r="G6" s="4" t="s">
        <v>842</v>
      </c>
    </row>
    <row r="7" spans="1:7">
      <c r="A7" s="2" t="s">
        <v>841</v>
      </c>
      <c r="B7" s="115" t="s">
        <v>162</v>
      </c>
      <c r="C7">
        <v>4</v>
      </c>
      <c r="E7" s="3">
        <v>43691</v>
      </c>
      <c r="F7" s="4"/>
      <c r="G7" s="4" t="s">
        <v>842</v>
      </c>
    </row>
    <row r="8" spans="1:7">
      <c r="A8" s="2" t="s">
        <v>841</v>
      </c>
      <c r="B8" s="115" t="s">
        <v>163</v>
      </c>
      <c r="C8">
        <v>7</v>
      </c>
      <c r="E8" s="3">
        <v>43691</v>
      </c>
      <c r="F8" s="4"/>
      <c r="G8" s="4" t="s">
        <v>842</v>
      </c>
    </row>
    <row r="9" spans="1:7">
      <c r="A9" s="2" t="s">
        <v>841</v>
      </c>
      <c r="B9" s="115" t="s">
        <v>164</v>
      </c>
      <c r="C9">
        <v>3</v>
      </c>
      <c r="E9" s="3">
        <v>43691</v>
      </c>
      <c r="F9" s="4"/>
      <c r="G9" s="4" t="s">
        <v>842</v>
      </c>
    </row>
    <row r="10" spans="1:7">
      <c r="A10" s="2" t="s">
        <v>841</v>
      </c>
      <c r="B10" s="115" t="s">
        <v>165</v>
      </c>
      <c r="C10">
        <v>26</v>
      </c>
      <c r="E10" s="3">
        <v>43691</v>
      </c>
      <c r="F10" s="4"/>
      <c r="G10" s="4" t="s">
        <v>842</v>
      </c>
    </row>
    <row r="11" spans="1:7">
      <c r="A11" s="2" t="s">
        <v>841</v>
      </c>
      <c r="B11" s="115" t="s">
        <v>541</v>
      </c>
      <c r="C11">
        <v>13</v>
      </c>
      <c r="E11" s="3">
        <v>43691</v>
      </c>
      <c r="F11" s="4"/>
      <c r="G11" s="4" t="s">
        <v>842</v>
      </c>
    </row>
    <row r="12" spans="1:7">
      <c r="A12" s="2" t="s">
        <v>841</v>
      </c>
      <c r="B12" s="115" t="s">
        <v>167</v>
      </c>
      <c r="C12">
        <v>21</v>
      </c>
      <c r="E12" s="3">
        <v>43691</v>
      </c>
      <c r="F12" s="4"/>
      <c r="G12" s="4" t="s">
        <v>842</v>
      </c>
    </row>
    <row r="13" spans="1:7">
      <c r="A13" s="2" t="s">
        <v>841</v>
      </c>
      <c r="B13" s="115" t="s">
        <v>548</v>
      </c>
      <c r="C13">
        <v>6</v>
      </c>
      <c r="E13" s="3">
        <v>43691</v>
      </c>
      <c r="F13" s="4"/>
      <c r="G13" s="4" t="s">
        <v>842</v>
      </c>
    </row>
    <row r="14" spans="1:7">
      <c r="A14" s="2" t="s">
        <v>841</v>
      </c>
      <c r="B14" s="115" t="s">
        <v>169</v>
      </c>
      <c r="C14">
        <v>8</v>
      </c>
      <c r="E14" s="3">
        <v>43691</v>
      </c>
      <c r="F14" s="4"/>
      <c r="G14" s="4" t="s">
        <v>842</v>
      </c>
    </row>
    <row r="15" spans="1:7">
      <c r="A15" s="2" t="s">
        <v>841</v>
      </c>
      <c r="B15" s="115" t="s">
        <v>170</v>
      </c>
      <c r="C15">
        <v>10</v>
      </c>
      <c r="E15" s="3">
        <v>43691</v>
      </c>
      <c r="F15" s="4"/>
      <c r="G15" s="4" t="s">
        <v>842</v>
      </c>
    </row>
    <row r="16" spans="1:7">
      <c r="A16" s="2" t="s">
        <v>841</v>
      </c>
      <c r="B16" s="115" t="s">
        <v>171</v>
      </c>
      <c r="C16">
        <v>10</v>
      </c>
      <c r="E16" s="3">
        <v>43691</v>
      </c>
      <c r="F16" s="4"/>
      <c r="G16" s="4" t="s">
        <v>842</v>
      </c>
    </row>
    <row r="17" spans="1:7">
      <c r="A17" s="2" t="s">
        <v>841</v>
      </c>
      <c r="B17" s="115" t="s">
        <v>173</v>
      </c>
      <c r="C17">
        <v>4</v>
      </c>
      <c r="E17" s="3">
        <v>43691</v>
      </c>
      <c r="F17" s="4"/>
      <c r="G17" s="4" t="s">
        <v>842</v>
      </c>
    </row>
    <row r="18" spans="1:7">
      <c r="A18" s="2" t="s">
        <v>841</v>
      </c>
      <c r="B18" s="115" t="s">
        <v>543</v>
      </c>
      <c r="C18">
        <v>4</v>
      </c>
      <c r="E18" s="3">
        <v>43691</v>
      </c>
      <c r="F18" s="4"/>
      <c r="G18" s="4" t="s">
        <v>842</v>
      </c>
    </row>
    <row r="19" spans="1:7">
      <c r="A19" s="2" t="s">
        <v>841</v>
      </c>
      <c r="B19" s="115" t="s">
        <v>174</v>
      </c>
      <c r="C19">
        <v>0</v>
      </c>
      <c r="E19" s="3">
        <v>43691</v>
      </c>
      <c r="F19" s="4"/>
      <c r="G19" s="4" t="s">
        <v>842</v>
      </c>
    </row>
    <row r="20" spans="1:7">
      <c r="A20" s="2" t="s">
        <v>841</v>
      </c>
      <c r="B20" s="115" t="s">
        <v>175</v>
      </c>
      <c r="C20">
        <v>5</v>
      </c>
      <c r="E20" s="3">
        <v>43691</v>
      </c>
      <c r="F20" s="4"/>
      <c r="G20" s="4" t="s">
        <v>842</v>
      </c>
    </row>
    <row r="21" spans="1:7">
      <c r="A21" s="2" t="s">
        <v>841</v>
      </c>
      <c r="B21" s="115" t="s">
        <v>176</v>
      </c>
      <c r="C21">
        <v>15</v>
      </c>
      <c r="E21" s="3">
        <v>43691</v>
      </c>
      <c r="F21" s="4"/>
      <c r="G21" s="4" t="s">
        <v>842</v>
      </c>
    </row>
    <row r="22" spans="1:7">
      <c r="A22" s="2" t="s">
        <v>841</v>
      </c>
      <c r="B22" s="115" t="s">
        <v>178</v>
      </c>
      <c r="C22">
        <v>21</v>
      </c>
      <c r="E22" s="3">
        <v>43691</v>
      </c>
      <c r="F22" s="4"/>
      <c r="G22" s="4" t="s">
        <v>842</v>
      </c>
    </row>
    <row r="23" spans="1:7">
      <c r="A23" s="2" t="s">
        <v>841</v>
      </c>
      <c r="B23" s="115" t="s">
        <v>180</v>
      </c>
      <c r="C23">
        <v>3</v>
      </c>
      <c r="E23" s="3">
        <v>43691</v>
      </c>
      <c r="F23" s="4"/>
      <c r="G23" s="4" t="s">
        <v>842</v>
      </c>
    </row>
    <row r="24" spans="1:7">
      <c r="A24" s="2" t="s">
        <v>841</v>
      </c>
      <c r="B24" s="115" t="s">
        <v>544</v>
      </c>
      <c r="C24">
        <v>2</v>
      </c>
      <c r="E24" s="3">
        <v>43691</v>
      </c>
      <c r="F24" s="4"/>
      <c r="G24" s="4" t="s">
        <v>842</v>
      </c>
    </row>
    <row r="25" spans="1:7">
      <c r="A25" s="2" t="s">
        <v>841</v>
      </c>
      <c r="B25" s="115" t="s">
        <v>542</v>
      </c>
      <c r="C25">
        <v>6</v>
      </c>
      <c r="E25" s="3">
        <v>43691</v>
      </c>
      <c r="F25" s="4"/>
      <c r="G25" s="4" t="s">
        <v>842</v>
      </c>
    </row>
    <row r="26" spans="1:7">
      <c r="A26" s="2" t="s">
        <v>841</v>
      </c>
      <c r="B26" s="115" t="s">
        <v>181</v>
      </c>
      <c r="C26">
        <v>6</v>
      </c>
      <c r="E26" s="3">
        <v>43691</v>
      </c>
      <c r="F26" s="4"/>
      <c r="G26" s="4" t="s">
        <v>842</v>
      </c>
    </row>
    <row r="27" spans="1:7">
      <c r="A27" s="2" t="s">
        <v>841</v>
      </c>
      <c r="B27" s="115" t="s">
        <v>182</v>
      </c>
      <c r="C27">
        <v>5</v>
      </c>
      <c r="E27" s="3">
        <v>43691</v>
      </c>
      <c r="F27" s="4"/>
      <c r="G27" s="4" t="s">
        <v>842</v>
      </c>
    </row>
    <row r="28" spans="1:7">
      <c r="A28" s="2" t="s">
        <v>841</v>
      </c>
      <c r="B28" s="115" t="s">
        <v>184</v>
      </c>
      <c r="C28">
        <v>21</v>
      </c>
      <c r="E28" s="3">
        <v>43691</v>
      </c>
      <c r="F28" s="4"/>
      <c r="G28" s="4" t="s">
        <v>842</v>
      </c>
    </row>
    <row r="29" spans="1:7">
      <c r="A29" s="2" t="s">
        <v>841</v>
      </c>
      <c r="B29" s="115" t="s">
        <v>185</v>
      </c>
      <c r="C29">
        <v>21</v>
      </c>
      <c r="E29" s="3">
        <v>43691</v>
      </c>
      <c r="F29" s="4"/>
      <c r="G29" s="4" t="s">
        <v>842</v>
      </c>
    </row>
    <row r="30" spans="1:7">
      <c r="A30" s="2" t="s">
        <v>841</v>
      </c>
      <c r="B30" s="115" t="s">
        <v>186</v>
      </c>
      <c r="C30">
        <v>9</v>
      </c>
      <c r="E30" s="3">
        <v>43691</v>
      </c>
      <c r="F30" s="4"/>
      <c r="G30" s="4" t="s">
        <v>842</v>
      </c>
    </row>
    <row r="31" spans="1:7">
      <c r="A31" s="2" t="s">
        <v>841</v>
      </c>
      <c r="B31" s="115" t="s">
        <v>187</v>
      </c>
      <c r="C31">
        <v>17</v>
      </c>
      <c r="E31" s="3">
        <v>43691</v>
      </c>
      <c r="F31" s="4"/>
      <c r="G31" s="4" t="s">
        <v>842</v>
      </c>
    </row>
    <row r="32" spans="1:7">
      <c r="A32" s="2" t="s">
        <v>841</v>
      </c>
      <c r="B32" s="115" t="s">
        <v>189</v>
      </c>
      <c r="C32">
        <v>5</v>
      </c>
      <c r="E32" s="3">
        <v>43691</v>
      </c>
      <c r="F32" s="4"/>
      <c r="G32" s="4" t="s">
        <v>842</v>
      </c>
    </row>
    <row r="33" spans="1:7">
      <c r="A33" s="2" t="s">
        <v>841</v>
      </c>
      <c r="B33" s="115" t="s">
        <v>190</v>
      </c>
      <c r="C33">
        <v>36</v>
      </c>
      <c r="E33" s="3">
        <v>43691</v>
      </c>
      <c r="F33" s="4"/>
      <c r="G33" s="4" t="s">
        <v>842</v>
      </c>
    </row>
    <row r="34" spans="1:7">
      <c r="A34" s="2" t="s">
        <v>841</v>
      </c>
      <c r="B34" s="115" t="s">
        <v>191</v>
      </c>
      <c r="C34">
        <v>4</v>
      </c>
      <c r="E34" s="3">
        <v>43691</v>
      </c>
      <c r="F34" s="4"/>
      <c r="G34" s="4" t="s">
        <v>842</v>
      </c>
    </row>
    <row r="35" spans="1:7">
      <c r="A35" s="2" t="s">
        <v>841</v>
      </c>
      <c r="B35" s="115" t="s">
        <v>545</v>
      </c>
      <c r="C35">
        <v>9</v>
      </c>
      <c r="E35" s="3">
        <v>43691</v>
      </c>
      <c r="F35" s="4"/>
      <c r="G35" s="4" t="s">
        <v>842</v>
      </c>
    </row>
    <row r="36" spans="1:7">
      <c r="A36" s="2" t="s">
        <v>841</v>
      </c>
      <c r="B36" s="115" t="s">
        <v>192</v>
      </c>
      <c r="C36">
        <v>2</v>
      </c>
      <c r="E36" s="3">
        <v>43691</v>
      </c>
      <c r="F36" s="4"/>
      <c r="G36" s="4" t="s">
        <v>842</v>
      </c>
    </row>
    <row r="37" spans="1:7">
      <c r="A37" s="2" t="s">
        <v>841</v>
      </c>
      <c r="B37" s="115" t="s">
        <v>193</v>
      </c>
      <c r="C37">
        <v>6</v>
      </c>
      <c r="E37" s="3">
        <v>43691</v>
      </c>
      <c r="F37" s="4"/>
      <c r="G37" s="4" t="s">
        <v>842</v>
      </c>
    </row>
    <row r="38" spans="1:7">
      <c r="A38" s="2" t="s">
        <v>841</v>
      </c>
      <c r="B38" s="115" t="s">
        <v>194</v>
      </c>
      <c r="C38">
        <v>4</v>
      </c>
      <c r="E38" s="3">
        <v>43691</v>
      </c>
      <c r="F38" s="4"/>
      <c r="G38" s="4" t="s">
        <v>842</v>
      </c>
    </row>
    <row r="39" spans="1:7">
      <c r="A39" s="2" t="s">
        <v>841</v>
      </c>
      <c r="B39" s="115" t="s">
        <v>195</v>
      </c>
      <c r="C39">
        <v>4</v>
      </c>
      <c r="E39" s="3">
        <v>43691</v>
      </c>
      <c r="F39" s="4"/>
      <c r="G39" s="4" t="s">
        <v>842</v>
      </c>
    </row>
    <row r="40" spans="1:7">
      <c r="A40" s="2" t="s">
        <v>841</v>
      </c>
      <c r="B40" s="115" t="s">
        <v>196</v>
      </c>
      <c r="C40">
        <v>11</v>
      </c>
      <c r="E40" s="3">
        <v>43691</v>
      </c>
      <c r="F40" s="4"/>
      <c r="G40" s="4" t="s">
        <v>842</v>
      </c>
    </row>
    <row r="41" spans="1:7">
      <c r="A41" s="2" t="s">
        <v>841</v>
      </c>
      <c r="B41" s="115" t="s">
        <v>198</v>
      </c>
      <c r="C41">
        <v>14</v>
      </c>
      <c r="E41" s="3">
        <v>43691</v>
      </c>
      <c r="F41" s="4"/>
      <c r="G41" s="4" t="s">
        <v>842</v>
      </c>
    </row>
    <row r="42" spans="1:7">
      <c r="A42" s="2" t="s">
        <v>841</v>
      </c>
      <c r="B42" s="115" t="s">
        <v>540</v>
      </c>
      <c r="C42">
        <v>7</v>
      </c>
      <c r="E42" s="3">
        <v>43691</v>
      </c>
      <c r="F42" s="4"/>
      <c r="G42" s="4" t="s">
        <v>842</v>
      </c>
    </row>
    <row r="43" spans="1:7">
      <c r="A43" s="2" t="s">
        <v>841</v>
      </c>
      <c r="B43" s="115" t="s">
        <v>199</v>
      </c>
      <c r="C43">
        <v>0</v>
      </c>
      <c r="E43" s="3">
        <v>43691</v>
      </c>
      <c r="F43" s="4"/>
      <c r="G43" s="4" t="s">
        <v>842</v>
      </c>
    </row>
    <row r="44" spans="1:7">
      <c r="A44" s="2" t="s">
        <v>841</v>
      </c>
      <c r="B44" s="115" t="s">
        <v>200</v>
      </c>
      <c r="C44">
        <v>4</v>
      </c>
      <c r="E44" s="3">
        <v>43691</v>
      </c>
      <c r="F44" s="4"/>
      <c r="G44" s="4" t="s">
        <v>842</v>
      </c>
    </row>
    <row r="45" spans="1:7">
      <c r="A45" s="2" t="s">
        <v>841</v>
      </c>
      <c r="B45" s="115" t="s">
        <v>202</v>
      </c>
      <c r="C45">
        <v>23</v>
      </c>
      <c r="E45" s="3">
        <v>43691</v>
      </c>
      <c r="F45" s="4"/>
      <c r="G45" s="4" t="s">
        <v>842</v>
      </c>
    </row>
    <row r="46" spans="1:7">
      <c r="A46" s="2" t="s">
        <v>841</v>
      </c>
      <c r="B46" s="115" t="s">
        <v>203</v>
      </c>
      <c r="C46">
        <v>8</v>
      </c>
      <c r="E46" s="3">
        <v>43691</v>
      </c>
      <c r="F46" s="4"/>
      <c r="G46" s="4" t="s">
        <v>842</v>
      </c>
    </row>
    <row r="47" spans="1:7">
      <c r="A47" s="2" t="s">
        <v>841</v>
      </c>
      <c r="B47" s="115" t="s">
        <v>204</v>
      </c>
      <c r="C47">
        <v>14</v>
      </c>
      <c r="E47" s="3">
        <v>43691</v>
      </c>
      <c r="F47" s="4"/>
      <c r="G47" s="4" t="s">
        <v>842</v>
      </c>
    </row>
    <row r="48" spans="1:7">
      <c r="A48" s="2" t="s">
        <v>841</v>
      </c>
      <c r="B48" s="115" t="s">
        <v>205</v>
      </c>
      <c r="C48">
        <v>10</v>
      </c>
      <c r="E48" s="3">
        <v>43691</v>
      </c>
      <c r="F48" s="4"/>
      <c r="G48" s="4" t="s">
        <v>842</v>
      </c>
    </row>
    <row r="49" spans="1:11">
      <c r="A49" s="2" t="s">
        <v>841</v>
      </c>
      <c r="B49" s="115" t="s">
        <v>207</v>
      </c>
      <c r="C49">
        <v>5</v>
      </c>
      <c r="E49" s="3">
        <v>43691</v>
      </c>
      <c r="F49" s="4"/>
      <c r="G49" s="4" t="s">
        <v>842</v>
      </c>
    </row>
    <row r="50" spans="1:11">
      <c r="A50" s="2" t="s">
        <v>841</v>
      </c>
      <c r="B50" s="115" t="s">
        <v>208</v>
      </c>
      <c r="C50">
        <v>19</v>
      </c>
      <c r="E50" s="3">
        <v>43691</v>
      </c>
      <c r="F50" s="4"/>
      <c r="G50" s="4" t="s">
        <v>842</v>
      </c>
    </row>
    <row r="51" spans="1:11">
      <c r="A51" t="s">
        <v>841</v>
      </c>
      <c r="B51" s="115" t="s">
        <v>24</v>
      </c>
      <c r="C51">
        <v>28</v>
      </c>
      <c r="E51" s="3">
        <v>43509</v>
      </c>
      <c r="G51" t="s">
        <v>842</v>
      </c>
      <c r="K51" s="24"/>
    </row>
    <row r="52" spans="1:11">
      <c r="A52" t="s">
        <v>841</v>
      </c>
      <c r="B52" s="115" t="s">
        <v>4</v>
      </c>
      <c r="C52">
        <v>8</v>
      </c>
      <c r="E52" s="3">
        <v>43509</v>
      </c>
      <c r="G52" t="s">
        <v>842</v>
      </c>
      <c r="K52" s="24"/>
    </row>
    <row r="53" spans="1:11">
      <c r="A53" t="s">
        <v>841</v>
      </c>
      <c r="B53" s="115" t="s">
        <v>58</v>
      </c>
      <c r="C53">
        <v>18</v>
      </c>
      <c r="E53" s="3">
        <v>43509</v>
      </c>
      <c r="G53" t="s">
        <v>842</v>
      </c>
      <c r="K53" s="24"/>
    </row>
    <row r="54" spans="1:11">
      <c r="A54" t="s">
        <v>841</v>
      </c>
      <c r="B54" s="115" t="s">
        <v>59</v>
      </c>
      <c r="C54">
        <v>21</v>
      </c>
      <c r="E54" s="3">
        <v>43509</v>
      </c>
      <c r="G54" t="s">
        <v>842</v>
      </c>
      <c r="K54" s="24"/>
    </row>
    <row r="55" spans="1:11">
      <c r="A55" t="s">
        <v>841</v>
      </c>
      <c r="B55" s="115" t="s">
        <v>23</v>
      </c>
      <c r="C55">
        <v>23</v>
      </c>
      <c r="E55" s="3">
        <v>43509</v>
      </c>
      <c r="G55" t="s">
        <v>842</v>
      </c>
      <c r="K55" s="24"/>
    </row>
    <row r="56" spans="1:11">
      <c r="A56" t="s">
        <v>841</v>
      </c>
      <c r="B56" s="115" t="s">
        <v>924</v>
      </c>
      <c r="C56">
        <v>0</v>
      </c>
      <c r="E56" s="3">
        <v>43509</v>
      </c>
      <c r="G56" t="s">
        <v>842</v>
      </c>
      <c r="K56" s="24"/>
    </row>
    <row r="57" spans="1:11">
      <c r="A57" t="s">
        <v>841</v>
      </c>
      <c r="B57" s="115" t="s">
        <v>60</v>
      </c>
      <c r="C57">
        <v>32</v>
      </c>
      <c r="E57" s="3">
        <v>43509</v>
      </c>
      <c r="G57" t="s">
        <v>842</v>
      </c>
      <c r="K57" s="24"/>
    </row>
    <row r="58" spans="1:11">
      <c r="A58" t="s">
        <v>841</v>
      </c>
      <c r="B58" s="115" t="s">
        <v>61</v>
      </c>
      <c r="C58">
        <v>16</v>
      </c>
      <c r="E58" s="3">
        <v>43509</v>
      </c>
      <c r="G58" t="s">
        <v>842</v>
      </c>
      <c r="K58" s="24"/>
    </row>
    <row r="59" spans="1:11">
      <c r="A59" t="s">
        <v>841</v>
      </c>
      <c r="B59" s="115" t="s">
        <v>925</v>
      </c>
      <c r="C59">
        <v>0</v>
      </c>
      <c r="E59" s="3">
        <v>43509</v>
      </c>
      <c r="G59" t="s">
        <v>842</v>
      </c>
      <c r="K59" s="24"/>
    </row>
    <row r="60" spans="1:11">
      <c r="A60" t="s">
        <v>841</v>
      </c>
      <c r="B60" s="115" t="s">
        <v>62</v>
      </c>
      <c r="C60">
        <v>0</v>
      </c>
      <c r="E60" s="3">
        <v>43509</v>
      </c>
      <c r="G60" t="s">
        <v>842</v>
      </c>
      <c r="K60" s="24"/>
    </row>
    <row r="61" spans="1:11">
      <c r="A61" t="s">
        <v>841</v>
      </c>
      <c r="B61" s="115" t="s">
        <v>63</v>
      </c>
      <c r="C61">
        <v>20</v>
      </c>
      <c r="E61" s="3">
        <v>43509</v>
      </c>
      <c r="G61" t="s">
        <v>842</v>
      </c>
      <c r="K61" s="24"/>
    </row>
    <row r="62" spans="1:11">
      <c r="A62" t="s">
        <v>841</v>
      </c>
      <c r="B62" s="115" t="s">
        <v>926</v>
      </c>
      <c r="C62" s="25">
        <v>0</v>
      </c>
      <c r="E62" s="3">
        <v>43509</v>
      </c>
      <c r="G62" t="s">
        <v>842</v>
      </c>
      <c r="K62" s="24"/>
    </row>
    <row r="63" spans="1:11">
      <c r="A63" t="s">
        <v>841</v>
      </c>
      <c r="B63" s="115" t="s">
        <v>64</v>
      </c>
      <c r="C63">
        <v>45</v>
      </c>
      <c r="E63" s="3">
        <v>43509</v>
      </c>
      <c r="G63" t="s">
        <v>842</v>
      </c>
      <c r="K63" s="24"/>
    </row>
    <row r="64" spans="1:11">
      <c r="A64" t="s">
        <v>841</v>
      </c>
      <c r="B64" s="115" t="s">
        <v>65</v>
      </c>
      <c r="C64">
        <v>27</v>
      </c>
      <c r="E64" s="3">
        <v>43509</v>
      </c>
      <c r="G64" t="s">
        <v>842</v>
      </c>
      <c r="K64" s="24"/>
    </row>
    <row r="65" spans="1:11">
      <c r="A65" t="s">
        <v>841</v>
      </c>
      <c r="B65" s="115" t="s">
        <v>66</v>
      </c>
      <c r="C65">
        <v>41</v>
      </c>
      <c r="E65" s="3">
        <v>43509</v>
      </c>
      <c r="G65" t="s">
        <v>842</v>
      </c>
      <c r="K65" s="24"/>
    </row>
    <row r="66" spans="1:11">
      <c r="A66" t="s">
        <v>841</v>
      </c>
      <c r="B66" s="115" t="s">
        <v>67</v>
      </c>
      <c r="C66">
        <v>14</v>
      </c>
      <c r="E66" s="3">
        <v>43509</v>
      </c>
      <c r="G66" t="s">
        <v>842</v>
      </c>
      <c r="K66" s="24"/>
    </row>
    <row r="67" spans="1:11">
      <c r="A67" t="s">
        <v>841</v>
      </c>
      <c r="B67" s="115" t="s">
        <v>68</v>
      </c>
      <c r="C67">
        <v>23</v>
      </c>
      <c r="E67" s="3">
        <v>43509</v>
      </c>
      <c r="G67" t="s">
        <v>842</v>
      </c>
      <c r="K67" s="24"/>
    </row>
    <row r="68" spans="1:11">
      <c r="A68" t="s">
        <v>841</v>
      </c>
      <c r="B68" s="115" t="s">
        <v>69</v>
      </c>
      <c r="C68">
        <v>35</v>
      </c>
      <c r="E68" s="3">
        <v>43509</v>
      </c>
      <c r="G68" t="s">
        <v>842</v>
      </c>
    </row>
    <row r="69" spans="1:11">
      <c r="A69" t="s">
        <v>841</v>
      </c>
      <c r="B69" s="115" t="s">
        <v>70</v>
      </c>
      <c r="C69">
        <v>46</v>
      </c>
      <c r="E69" s="3">
        <v>43509</v>
      </c>
      <c r="G69" t="s">
        <v>842</v>
      </c>
    </row>
    <row r="70" spans="1:11">
      <c r="A70" t="s">
        <v>841</v>
      </c>
      <c r="B70" s="115" t="s">
        <v>71</v>
      </c>
      <c r="C70">
        <v>46</v>
      </c>
      <c r="E70" s="3">
        <v>43509</v>
      </c>
      <c r="G70" t="s">
        <v>842</v>
      </c>
    </row>
    <row r="71" spans="1:11">
      <c r="A71" t="s">
        <v>841</v>
      </c>
      <c r="B71" s="115" t="s">
        <v>15</v>
      </c>
      <c r="C71">
        <v>21</v>
      </c>
      <c r="E71" s="3">
        <v>43509</v>
      </c>
      <c r="G71" t="s">
        <v>842</v>
      </c>
    </row>
    <row r="72" spans="1:11">
      <c r="A72" t="s">
        <v>841</v>
      </c>
      <c r="B72" s="115" t="s">
        <v>72</v>
      </c>
      <c r="C72">
        <v>28</v>
      </c>
      <c r="E72" s="3">
        <v>43509</v>
      </c>
      <c r="G72" t="s">
        <v>842</v>
      </c>
    </row>
    <row r="73" spans="1:11">
      <c r="A73" t="s">
        <v>841</v>
      </c>
      <c r="B73" s="115" t="s">
        <v>17</v>
      </c>
      <c r="C73">
        <v>28</v>
      </c>
      <c r="E73" s="3">
        <v>43509</v>
      </c>
      <c r="G73" t="s">
        <v>842</v>
      </c>
    </row>
    <row r="74" spans="1:11">
      <c r="A74" t="s">
        <v>841</v>
      </c>
      <c r="B74" s="115" t="s">
        <v>73</v>
      </c>
      <c r="C74">
        <v>41</v>
      </c>
      <c r="E74" s="3">
        <v>43509</v>
      </c>
      <c r="G74" t="s">
        <v>842</v>
      </c>
    </row>
    <row r="75" spans="1:11">
      <c r="A75" t="s">
        <v>841</v>
      </c>
      <c r="B75" s="115" t="s">
        <v>5</v>
      </c>
      <c r="C75">
        <v>8</v>
      </c>
      <c r="E75" s="3">
        <v>43509</v>
      </c>
      <c r="G75" t="s">
        <v>842</v>
      </c>
    </row>
    <row r="76" spans="1:11">
      <c r="A76" t="s">
        <v>841</v>
      </c>
      <c r="B76" s="115" t="s">
        <v>74</v>
      </c>
      <c r="C76">
        <v>18</v>
      </c>
      <c r="E76" s="3">
        <v>43509</v>
      </c>
      <c r="G76" t="s">
        <v>842</v>
      </c>
    </row>
    <row r="77" spans="1:11">
      <c r="A77" t="s">
        <v>841</v>
      </c>
      <c r="B77" s="115" t="s">
        <v>75</v>
      </c>
      <c r="C77">
        <v>16</v>
      </c>
      <c r="E77" s="3">
        <v>43509</v>
      </c>
      <c r="G77" t="s">
        <v>842</v>
      </c>
    </row>
    <row r="78" spans="1:11">
      <c r="A78" t="s">
        <v>841</v>
      </c>
      <c r="B78" s="115" t="s">
        <v>76</v>
      </c>
      <c r="C78">
        <v>42</v>
      </c>
      <c r="E78" s="3">
        <v>43509</v>
      </c>
      <c r="G78" t="s">
        <v>842</v>
      </c>
    </row>
    <row r="79" spans="1:11">
      <c r="A79" t="s">
        <v>841</v>
      </c>
      <c r="B79" s="115" t="s">
        <v>927</v>
      </c>
      <c r="C79">
        <v>0</v>
      </c>
      <c r="E79" s="3">
        <v>43509</v>
      </c>
      <c r="G79" t="s">
        <v>842</v>
      </c>
    </row>
    <row r="80" spans="1:11">
      <c r="A80" t="s">
        <v>841</v>
      </c>
      <c r="B80" s="115" t="s">
        <v>77</v>
      </c>
      <c r="C80">
        <v>28</v>
      </c>
      <c r="E80" s="3">
        <v>43509</v>
      </c>
      <c r="G80" t="s">
        <v>842</v>
      </c>
    </row>
    <row r="81" spans="1:7">
      <c r="A81" t="s">
        <v>841</v>
      </c>
      <c r="B81" s="115" t="s">
        <v>78</v>
      </c>
      <c r="C81">
        <v>17</v>
      </c>
      <c r="E81" s="3">
        <v>43509</v>
      </c>
      <c r="G81" t="s">
        <v>842</v>
      </c>
    </row>
    <row r="82" spans="1:7">
      <c r="A82" t="s">
        <v>841</v>
      </c>
      <c r="B82" s="115" t="s">
        <v>928</v>
      </c>
      <c r="C82">
        <v>1</v>
      </c>
      <c r="E82" s="3">
        <v>43509</v>
      </c>
      <c r="G82" t="s">
        <v>842</v>
      </c>
    </row>
    <row r="83" spans="1:7">
      <c r="A83" t="s">
        <v>841</v>
      </c>
      <c r="B83" s="115" t="s">
        <v>929</v>
      </c>
      <c r="C83">
        <v>0</v>
      </c>
      <c r="E83" s="3">
        <v>43509</v>
      </c>
      <c r="G83" t="s">
        <v>842</v>
      </c>
    </row>
    <row r="84" spans="1:7">
      <c r="A84" t="s">
        <v>841</v>
      </c>
      <c r="B84" s="115" t="s">
        <v>14</v>
      </c>
      <c r="C84">
        <v>17</v>
      </c>
      <c r="E84" s="3">
        <v>43509</v>
      </c>
      <c r="G84" t="s">
        <v>842</v>
      </c>
    </row>
    <row r="85" spans="1:7">
      <c r="A85" t="s">
        <v>841</v>
      </c>
      <c r="B85" s="115" t="s">
        <v>79</v>
      </c>
      <c r="C85">
        <v>2</v>
      </c>
      <c r="E85" s="3">
        <v>43509</v>
      </c>
      <c r="G85" t="s">
        <v>842</v>
      </c>
    </row>
    <row r="86" spans="1:7">
      <c r="A86" t="s">
        <v>841</v>
      </c>
      <c r="B86" s="115" t="s">
        <v>80</v>
      </c>
      <c r="C86">
        <v>25</v>
      </c>
      <c r="E86" s="3">
        <v>43509</v>
      </c>
      <c r="G86" t="s">
        <v>842</v>
      </c>
    </row>
    <row r="87" spans="1:7">
      <c r="A87" t="s">
        <v>841</v>
      </c>
      <c r="B87" s="115" t="s">
        <v>81</v>
      </c>
      <c r="C87">
        <v>15</v>
      </c>
      <c r="E87" s="3">
        <v>43509</v>
      </c>
      <c r="G87" t="s">
        <v>842</v>
      </c>
    </row>
    <row r="88" spans="1:7">
      <c r="A88" t="s">
        <v>841</v>
      </c>
      <c r="B88" s="115" t="s">
        <v>41</v>
      </c>
      <c r="C88">
        <v>41</v>
      </c>
      <c r="E88" s="3">
        <v>43509</v>
      </c>
      <c r="G88" t="s">
        <v>842</v>
      </c>
    </row>
    <row r="89" spans="1:7">
      <c r="A89" t="s">
        <v>841</v>
      </c>
      <c r="B89" s="115" t="s">
        <v>82</v>
      </c>
      <c r="C89">
        <v>8</v>
      </c>
      <c r="E89" s="3">
        <v>43509</v>
      </c>
      <c r="G89" t="s">
        <v>842</v>
      </c>
    </row>
    <row r="90" spans="1:7">
      <c r="A90" t="s">
        <v>841</v>
      </c>
      <c r="B90" s="115" t="s">
        <v>83</v>
      </c>
      <c r="C90">
        <v>22</v>
      </c>
      <c r="E90" s="3">
        <v>43509</v>
      </c>
      <c r="G90" t="s">
        <v>842</v>
      </c>
    </row>
    <row r="91" spans="1:7">
      <c r="A91" t="s">
        <v>841</v>
      </c>
      <c r="B91" s="115" t="s">
        <v>22</v>
      </c>
      <c r="C91">
        <v>31</v>
      </c>
      <c r="E91" s="3">
        <v>43509</v>
      </c>
      <c r="G91" t="s">
        <v>842</v>
      </c>
    </row>
    <row r="92" spans="1:7">
      <c r="A92" t="s">
        <v>841</v>
      </c>
      <c r="B92" s="115" t="s">
        <v>84</v>
      </c>
      <c r="C92">
        <v>24</v>
      </c>
      <c r="E92" s="3">
        <v>43509</v>
      </c>
      <c r="G92" t="s">
        <v>842</v>
      </c>
    </row>
    <row r="93" spans="1:7">
      <c r="A93" t="s">
        <v>841</v>
      </c>
      <c r="B93" s="115" t="s">
        <v>85</v>
      </c>
      <c r="C93">
        <v>44</v>
      </c>
      <c r="E93" s="3">
        <v>43509</v>
      </c>
      <c r="G93" t="s">
        <v>842</v>
      </c>
    </row>
    <row r="94" spans="1:7">
      <c r="A94" t="s">
        <v>841</v>
      </c>
      <c r="B94" s="115" t="s">
        <v>86</v>
      </c>
      <c r="C94">
        <v>26</v>
      </c>
      <c r="E94" s="3">
        <v>43509</v>
      </c>
      <c r="G94" t="s">
        <v>842</v>
      </c>
    </row>
    <row r="95" spans="1:7">
      <c r="A95" t="s">
        <v>841</v>
      </c>
      <c r="B95" s="115" t="s">
        <v>87</v>
      </c>
      <c r="C95">
        <v>23</v>
      </c>
      <c r="E95" s="3">
        <v>43509</v>
      </c>
      <c r="G95" t="s">
        <v>842</v>
      </c>
    </row>
    <row r="96" spans="1:7">
      <c r="A96" t="s">
        <v>841</v>
      </c>
      <c r="B96" s="115" t="s">
        <v>16</v>
      </c>
      <c r="C96">
        <v>22</v>
      </c>
      <c r="E96" s="3">
        <v>43509</v>
      </c>
      <c r="G96" t="s">
        <v>842</v>
      </c>
    </row>
    <row r="97" spans="1:7">
      <c r="A97" t="s">
        <v>841</v>
      </c>
      <c r="B97" s="115" t="s">
        <v>88</v>
      </c>
      <c r="C97">
        <v>0</v>
      </c>
      <c r="E97" s="3">
        <v>43509</v>
      </c>
      <c r="G97" t="s">
        <v>842</v>
      </c>
    </row>
    <row r="98" spans="1:7">
      <c r="A98" t="s">
        <v>841</v>
      </c>
      <c r="B98" s="115" t="s">
        <v>32</v>
      </c>
      <c r="C98">
        <v>15</v>
      </c>
      <c r="E98" s="3">
        <v>43509</v>
      </c>
      <c r="G98" t="s">
        <v>842</v>
      </c>
    </row>
    <row r="99" spans="1:7">
      <c r="A99" t="s">
        <v>841</v>
      </c>
      <c r="B99" s="115" t="s">
        <v>38</v>
      </c>
      <c r="C99">
        <v>3</v>
      </c>
      <c r="E99" s="3">
        <v>43509</v>
      </c>
      <c r="G99" t="s">
        <v>842</v>
      </c>
    </row>
    <row r="100" spans="1:7">
      <c r="A100" t="s">
        <v>841</v>
      </c>
      <c r="B100" s="115" t="s">
        <v>3</v>
      </c>
      <c r="C100">
        <v>1</v>
      </c>
      <c r="E100" s="3">
        <v>43509</v>
      </c>
      <c r="G100" t="s">
        <v>842</v>
      </c>
    </row>
    <row r="101" spans="1:7">
      <c r="A101" t="s">
        <v>841</v>
      </c>
      <c r="B101" s="115" t="s">
        <v>20</v>
      </c>
      <c r="C101">
        <v>11</v>
      </c>
      <c r="E101" s="3">
        <v>43509</v>
      </c>
      <c r="G101" t="s">
        <v>842</v>
      </c>
    </row>
    <row r="102" spans="1:7">
      <c r="A102" t="s">
        <v>841</v>
      </c>
      <c r="B102" s="115" t="s">
        <v>89</v>
      </c>
      <c r="C102">
        <v>20</v>
      </c>
      <c r="E102" s="3">
        <v>43509</v>
      </c>
      <c r="G102" t="s">
        <v>842</v>
      </c>
    </row>
    <row r="103" spans="1:7">
      <c r="A103" t="s">
        <v>841</v>
      </c>
      <c r="B103" s="115" t="s">
        <v>8</v>
      </c>
      <c r="C103">
        <v>18</v>
      </c>
      <c r="E103" s="3">
        <v>43509</v>
      </c>
      <c r="G103" t="s">
        <v>842</v>
      </c>
    </row>
    <row r="104" spans="1:7">
      <c r="A104" t="s">
        <v>841</v>
      </c>
      <c r="B104" s="115" t="s">
        <v>90</v>
      </c>
      <c r="C104">
        <v>30</v>
      </c>
      <c r="E104" s="3">
        <v>43509</v>
      </c>
      <c r="G104" t="s">
        <v>842</v>
      </c>
    </row>
    <row r="105" spans="1:7">
      <c r="A105" t="s">
        <v>841</v>
      </c>
      <c r="B105" s="115" t="s">
        <v>91</v>
      </c>
      <c r="C105">
        <v>0</v>
      </c>
      <c r="E105" s="3">
        <v>43509</v>
      </c>
      <c r="G105" t="s">
        <v>842</v>
      </c>
    </row>
    <row r="106" spans="1:7">
      <c r="A106" t="s">
        <v>841</v>
      </c>
      <c r="B106" s="115" t="s">
        <v>92</v>
      </c>
      <c r="C106">
        <v>17</v>
      </c>
      <c r="E106" s="3">
        <v>43509</v>
      </c>
      <c r="G106" t="s">
        <v>842</v>
      </c>
    </row>
    <row r="107" spans="1:7">
      <c r="A107" t="s">
        <v>841</v>
      </c>
      <c r="B107" s="115" t="s">
        <v>930</v>
      </c>
      <c r="C107">
        <v>8</v>
      </c>
      <c r="E107" s="3">
        <v>43509</v>
      </c>
      <c r="G107" t="s">
        <v>842</v>
      </c>
    </row>
    <row r="108" spans="1:7">
      <c r="A108" t="s">
        <v>841</v>
      </c>
      <c r="B108" s="115" t="s">
        <v>13</v>
      </c>
      <c r="C108">
        <v>24</v>
      </c>
      <c r="E108" s="3">
        <v>43509</v>
      </c>
      <c r="G108" t="s">
        <v>842</v>
      </c>
    </row>
    <row r="109" spans="1:7">
      <c r="A109" t="s">
        <v>841</v>
      </c>
      <c r="B109" s="115" t="s">
        <v>12</v>
      </c>
      <c r="C109">
        <v>3</v>
      </c>
      <c r="E109" s="3">
        <v>43509</v>
      </c>
      <c r="G109" t="s">
        <v>842</v>
      </c>
    </row>
    <row r="110" spans="1:7">
      <c r="A110" t="s">
        <v>841</v>
      </c>
      <c r="B110" s="115" t="s">
        <v>931</v>
      </c>
      <c r="C110">
        <v>0</v>
      </c>
      <c r="E110" s="3">
        <v>43509</v>
      </c>
      <c r="G110" t="s">
        <v>842</v>
      </c>
    </row>
    <row r="111" spans="1:7">
      <c r="A111" t="s">
        <v>841</v>
      </c>
      <c r="B111" s="115" t="s">
        <v>21</v>
      </c>
      <c r="C111">
        <v>37</v>
      </c>
      <c r="E111" s="3">
        <v>43509</v>
      </c>
      <c r="G111" t="s">
        <v>842</v>
      </c>
    </row>
    <row r="112" spans="1:7">
      <c r="A112" t="s">
        <v>841</v>
      </c>
      <c r="B112" s="115" t="s">
        <v>93</v>
      </c>
      <c r="C112">
        <v>22</v>
      </c>
      <c r="E112" s="3">
        <v>43509</v>
      </c>
      <c r="G112" t="s">
        <v>842</v>
      </c>
    </row>
    <row r="113" spans="1:7">
      <c r="A113" t="s">
        <v>841</v>
      </c>
      <c r="B113" s="115" t="s">
        <v>932</v>
      </c>
      <c r="C113">
        <v>0</v>
      </c>
      <c r="E113" s="3">
        <v>43509</v>
      </c>
      <c r="G113" t="s">
        <v>842</v>
      </c>
    </row>
    <row r="114" spans="1:7">
      <c r="A114" t="s">
        <v>841</v>
      </c>
      <c r="B114" s="115" t="s">
        <v>94</v>
      </c>
      <c r="C114">
        <v>0</v>
      </c>
      <c r="E114" s="3">
        <v>43509</v>
      </c>
      <c r="G114" t="s">
        <v>842</v>
      </c>
    </row>
    <row r="115" spans="1:7">
      <c r="A115" t="s">
        <v>841</v>
      </c>
      <c r="B115" s="115" t="s">
        <v>933</v>
      </c>
      <c r="C115">
        <v>0</v>
      </c>
      <c r="E115" s="3">
        <v>43509</v>
      </c>
      <c r="G115" t="s">
        <v>842</v>
      </c>
    </row>
    <row r="116" spans="1:7">
      <c r="A116" t="s">
        <v>841</v>
      </c>
      <c r="B116" s="115" t="s">
        <v>934</v>
      </c>
      <c r="C116">
        <v>0</v>
      </c>
      <c r="E116" s="3">
        <v>43509</v>
      </c>
      <c r="G116" t="s">
        <v>842</v>
      </c>
    </row>
    <row r="117" spans="1:7">
      <c r="A117" t="s">
        <v>841</v>
      </c>
      <c r="B117" s="115" t="s">
        <v>11</v>
      </c>
      <c r="C117">
        <v>14</v>
      </c>
      <c r="E117" s="3">
        <v>43509</v>
      </c>
      <c r="G117" t="s">
        <v>842</v>
      </c>
    </row>
    <row r="118" spans="1:7">
      <c r="A118" t="s">
        <v>841</v>
      </c>
      <c r="B118" s="115" t="s">
        <v>36</v>
      </c>
      <c r="C118">
        <v>4</v>
      </c>
      <c r="E118" s="3">
        <v>43509</v>
      </c>
      <c r="G118" t="s">
        <v>842</v>
      </c>
    </row>
    <row r="119" spans="1:7">
      <c r="A119" t="s">
        <v>841</v>
      </c>
      <c r="B119" s="115" t="s">
        <v>7</v>
      </c>
      <c r="C119">
        <v>0</v>
      </c>
      <c r="E119" s="3">
        <v>43509</v>
      </c>
      <c r="G119" t="s">
        <v>842</v>
      </c>
    </row>
    <row r="120" spans="1:7">
      <c r="A120" t="s">
        <v>841</v>
      </c>
      <c r="B120" s="115" t="s">
        <v>30</v>
      </c>
      <c r="C120">
        <v>0</v>
      </c>
      <c r="E120" s="3">
        <v>43509</v>
      </c>
      <c r="G120" t="s">
        <v>842</v>
      </c>
    </row>
    <row r="121" spans="1:7">
      <c r="A121" t="s">
        <v>841</v>
      </c>
      <c r="B121" s="115" t="s">
        <v>33</v>
      </c>
      <c r="C121">
        <v>0</v>
      </c>
      <c r="E121" s="3">
        <v>43509</v>
      </c>
      <c r="G121" t="s">
        <v>842</v>
      </c>
    </row>
    <row r="122" spans="1:7">
      <c r="A122" t="s">
        <v>841</v>
      </c>
      <c r="B122" s="115" t="s">
        <v>95</v>
      </c>
      <c r="C122">
        <v>1</v>
      </c>
      <c r="E122" s="3">
        <v>43509</v>
      </c>
      <c r="G122" t="s">
        <v>842</v>
      </c>
    </row>
    <row r="123" spans="1:7">
      <c r="A123" t="s">
        <v>841</v>
      </c>
      <c r="B123" s="115" t="s">
        <v>18</v>
      </c>
      <c r="C123">
        <v>19</v>
      </c>
      <c r="E123" s="3">
        <v>43509</v>
      </c>
      <c r="G123" t="s">
        <v>842</v>
      </c>
    </row>
    <row r="124" spans="1:7">
      <c r="A124" t="s">
        <v>841</v>
      </c>
      <c r="B124" s="115" t="s">
        <v>35</v>
      </c>
      <c r="C124">
        <v>13</v>
      </c>
      <c r="E124" s="3">
        <v>43509</v>
      </c>
      <c r="G124" t="s">
        <v>842</v>
      </c>
    </row>
    <row r="125" spans="1:7">
      <c r="A125" t="s">
        <v>841</v>
      </c>
      <c r="B125" s="115" t="s">
        <v>19</v>
      </c>
      <c r="C125">
        <v>20</v>
      </c>
      <c r="E125" s="3">
        <v>43509</v>
      </c>
      <c r="G125" t="s">
        <v>842</v>
      </c>
    </row>
    <row r="126" spans="1:7">
      <c r="A126" t="s">
        <v>841</v>
      </c>
      <c r="B126" s="115" t="s">
        <v>96</v>
      </c>
      <c r="C126">
        <v>15</v>
      </c>
      <c r="E126" s="3">
        <v>43509</v>
      </c>
      <c r="G126" t="s">
        <v>842</v>
      </c>
    </row>
    <row r="127" spans="1:7">
      <c r="A127" t="s">
        <v>841</v>
      </c>
      <c r="B127" s="115" t="s">
        <v>97</v>
      </c>
      <c r="C127">
        <v>12</v>
      </c>
      <c r="E127" s="3">
        <v>43509</v>
      </c>
      <c r="G127" t="s">
        <v>842</v>
      </c>
    </row>
    <row r="128" spans="1:7">
      <c r="A128" t="s">
        <v>841</v>
      </c>
      <c r="B128" s="115" t="s">
        <v>98</v>
      </c>
      <c r="C128">
        <v>16</v>
      </c>
      <c r="E128" s="3">
        <v>43509</v>
      </c>
      <c r="G128" t="s">
        <v>842</v>
      </c>
    </row>
    <row r="129" spans="1:7">
      <c r="A129" t="s">
        <v>841</v>
      </c>
      <c r="B129" s="115" t="s">
        <v>99</v>
      </c>
      <c r="C129">
        <v>5</v>
      </c>
      <c r="E129" s="3">
        <v>43509</v>
      </c>
      <c r="G129" t="s">
        <v>842</v>
      </c>
    </row>
    <row r="130" spans="1:7">
      <c r="A130" t="s">
        <v>841</v>
      </c>
      <c r="B130" s="115" t="s">
        <v>39</v>
      </c>
      <c r="C130">
        <v>27</v>
      </c>
      <c r="E130" s="3">
        <v>43509</v>
      </c>
      <c r="G130" t="s">
        <v>842</v>
      </c>
    </row>
    <row r="131" spans="1:7">
      <c r="A131" t="s">
        <v>841</v>
      </c>
      <c r="B131" s="115" t="s">
        <v>146</v>
      </c>
      <c r="C131">
        <v>0</v>
      </c>
      <c r="E131" s="3">
        <v>43509</v>
      </c>
      <c r="G131" t="s">
        <v>842</v>
      </c>
    </row>
    <row r="132" spans="1:7">
      <c r="A132" t="s">
        <v>841</v>
      </c>
      <c r="B132" s="115" t="s">
        <v>37</v>
      </c>
      <c r="C132">
        <v>19</v>
      </c>
      <c r="E132" s="3">
        <v>43509</v>
      </c>
      <c r="G132" t="s">
        <v>842</v>
      </c>
    </row>
    <row r="133" spans="1:7">
      <c r="A133" t="s">
        <v>841</v>
      </c>
      <c r="B133" s="115" t="s">
        <v>6</v>
      </c>
      <c r="C133">
        <v>0</v>
      </c>
      <c r="E133" s="3">
        <v>43509</v>
      </c>
      <c r="G133" t="s">
        <v>842</v>
      </c>
    </row>
    <row r="134" spans="1:7">
      <c r="A134" t="s">
        <v>841</v>
      </c>
      <c r="B134" s="115" t="s">
        <v>100</v>
      </c>
      <c r="C134">
        <v>35</v>
      </c>
      <c r="E134" s="3">
        <v>43509</v>
      </c>
      <c r="G134" t="s">
        <v>842</v>
      </c>
    </row>
    <row r="135" spans="1:7">
      <c r="A135" t="s">
        <v>841</v>
      </c>
      <c r="B135" s="115" t="s">
        <v>34</v>
      </c>
      <c r="C135">
        <v>25</v>
      </c>
      <c r="E135" s="3">
        <v>43509</v>
      </c>
      <c r="G135" t="s">
        <v>842</v>
      </c>
    </row>
    <row r="136" spans="1:7">
      <c r="A136" t="s">
        <v>841</v>
      </c>
      <c r="B136" s="115" t="s">
        <v>40</v>
      </c>
      <c r="C136">
        <v>37</v>
      </c>
      <c r="E136" s="3">
        <v>43509</v>
      </c>
      <c r="G136" t="s">
        <v>842</v>
      </c>
    </row>
    <row r="137" spans="1:7">
      <c r="A137" t="s">
        <v>841</v>
      </c>
      <c r="B137" s="115" t="s">
        <v>27</v>
      </c>
      <c r="C137">
        <v>0</v>
      </c>
      <c r="E137" s="3">
        <v>43509</v>
      </c>
      <c r="G137" t="s">
        <v>842</v>
      </c>
    </row>
    <row r="138" spans="1:7">
      <c r="A138" t="s">
        <v>841</v>
      </c>
      <c r="B138" s="115" t="s">
        <v>10</v>
      </c>
      <c r="C138">
        <v>15</v>
      </c>
      <c r="E138" s="3">
        <v>43509</v>
      </c>
      <c r="G138" t="s">
        <v>842</v>
      </c>
    </row>
    <row r="139" spans="1:7">
      <c r="A139" t="s">
        <v>841</v>
      </c>
      <c r="B139" s="115" t="s">
        <v>101</v>
      </c>
      <c r="C139">
        <v>33</v>
      </c>
      <c r="E139" s="3">
        <v>43509</v>
      </c>
      <c r="G139" t="s">
        <v>842</v>
      </c>
    </row>
    <row r="140" spans="1:7">
      <c r="A140" t="s">
        <v>841</v>
      </c>
      <c r="B140" s="115" t="s">
        <v>25</v>
      </c>
      <c r="C140">
        <v>20</v>
      </c>
      <c r="E140" s="3">
        <v>43509</v>
      </c>
      <c r="G140" t="s">
        <v>842</v>
      </c>
    </row>
    <row r="141" spans="1:7">
      <c r="A141" t="s">
        <v>841</v>
      </c>
      <c r="B141" s="115" t="s">
        <v>102</v>
      </c>
      <c r="C141">
        <v>10</v>
      </c>
      <c r="E141" s="3">
        <v>43509</v>
      </c>
      <c r="G141" t="s">
        <v>842</v>
      </c>
    </row>
    <row r="142" spans="1:7">
      <c r="A142" t="s">
        <v>841</v>
      </c>
      <c r="B142" s="115" t="s">
        <v>103</v>
      </c>
      <c r="C142">
        <v>0</v>
      </c>
      <c r="E142" s="3">
        <v>43509</v>
      </c>
      <c r="G142" t="s">
        <v>842</v>
      </c>
    </row>
    <row r="143" spans="1:7">
      <c r="A143" t="s">
        <v>841</v>
      </c>
      <c r="B143" s="115" t="s">
        <v>121</v>
      </c>
      <c r="C143">
        <v>19</v>
      </c>
      <c r="E143" s="3">
        <v>43509</v>
      </c>
      <c r="G143" t="s">
        <v>842</v>
      </c>
    </row>
    <row r="144" spans="1:7">
      <c r="A144" t="s">
        <v>841</v>
      </c>
      <c r="B144" s="115" t="s">
        <v>122</v>
      </c>
      <c r="C144">
        <v>4</v>
      </c>
      <c r="E144" s="3">
        <v>43509</v>
      </c>
      <c r="G144" t="s">
        <v>842</v>
      </c>
    </row>
    <row r="145" spans="1:7">
      <c r="A145" t="s">
        <v>841</v>
      </c>
      <c r="B145" s="115" t="s">
        <v>1</v>
      </c>
      <c r="C145">
        <v>23</v>
      </c>
      <c r="E145" s="3">
        <v>43509</v>
      </c>
      <c r="G145" t="s">
        <v>842</v>
      </c>
    </row>
    <row r="146" spans="1:7">
      <c r="A146" t="s">
        <v>841</v>
      </c>
      <c r="B146" s="115" t="s">
        <v>123</v>
      </c>
      <c r="C146">
        <v>15</v>
      </c>
      <c r="E146" s="3">
        <v>43509</v>
      </c>
      <c r="G146" t="s">
        <v>842</v>
      </c>
    </row>
    <row r="147" spans="1:7">
      <c r="A147" t="s">
        <v>841</v>
      </c>
      <c r="B147" s="115" t="s">
        <v>124</v>
      </c>
      <c r="C147">
        <v>0</v>
      </c>
      <c r="E147" s="3">
        <v>43509</v>
      </c>
      <c r="G147" t="s">
        <v>842</v>
      </c>
    </row>
    <row r="148" spans="1:7">
      <c r="A148" t="s">
        <v>841</v>
      </c>
      <c r="B148" s="115" t="s">
        <v>125</v>
      </c>
      <c r="C148">
        <v>30</v>
      </c>
      <c r="E148" s="3">
        <v>43509</v>
      </c>
      <c r="G148" t="s">
        <v>842</v>
      </c>
    </row>
    <row r="149" spans="1:7">
      <c r="A149" t="s">
        <v>841</v>
      </c>
      <c r="B149" s="115" t="s">
        <v>9</v>
      </c>
      <c r="C149">
        <v>15</v>
      </c>
      <c r="E149" s="3">
        <v>43509</v>
      </c>
      <c r="G149" t="s">
        <v>842</v>
      </c>
    </row>
    <row r="150" spans="1:7">
      <c r="A150" t="s">
        <v>841</v>
      </c>
      <c r="B150" s="115" t="s">
        <v>126</v>
      </c>
      <c r="C150">
        <v>24</v>
      </c>
      <c r="E150" s="3">
        <v>43509</v>
      </c>
      <c r="G150" t="s">
        <v>842</v>
      </c>
    </row>
    <row r="151" spans="1:7">
      <c r="A151" t="s">
        <v>841</v>
      </c>
      <c r="B151" s="115" t="s">
        <v>29</v>
      </c>
      <c r="C151">
        <v>46</v>
      </c>
      <c r="E151" s="3">
        <v>43509</v>
      </c>
      <c r="G151" t="s">
        <v>842</v>
      </c>
    </row>
    <row r="152" spans="1:7">
      <c r="A152" t="s">
        <v>841</v>
      </c>
      <c r="B152" s="115" t="s">
        <v>26</v>
      </c>
      <c r="C152">
        <v>34</v>
      </c>
      <c r="E152" s="3">
        <v>43509</v>
      </c>
      <c r="G152" t="s">
        <v>842</v>
      </c>
    </row>
    <row r="153" spans="1:7">
      <c r="A153" t="s">
        <v>841</v>
      </c>
      <c r="B153" s="115" t="s">
        <v>2</v>
      </c>
      <c r="C153">
        <v>15</v>
      </c>
      <c r="E153" s="3">
        <v>43509</v>
      </c>
      <c r="G153" t="s">
        <v>842</v>
      </c>
    </row>
    <row r="154" spans="1:7">
      <c r="A154" t="s">
        <v>841</v>
      </c>
      <c r="B154" s="115" t="s">
        <v>127</v>
      </c>
      <c r="C154">
        <v>7</v>
      </c>
      <c r="E154" s="3">
        <v>43509</v>
      </c>
      <c r="G154" t="s">
        <v>842</v>
      </c>
    </row>
    <row r="155" spans="1:7">
      <c r="A155" t="s">
        <v>841</v>
      </c>
      <c r="B155" s="115" t="s">
        <v>147</v>
      </c>
      <c r="C155">
        <v>3</v>
      </c>
      <c r="E155" s="3">
        <v>43509</v>
      </c>
      <c r="G155" t="s">
        <v>842</v>
      </c>
    </row>
    <row r="156" spans="1:7">
      <c r="A156" t="s">
        <v>841</v>
      </c>
      <c r="B156" s="115" t="s">
        <v>148</v>
      </c>
      <c r="C156">
        <v>15</v>
      </c>
      <c r="E156" s="3">
        <v>43509</v>
      </c>
      <c r="G156" t="s">
        <v>842</v>
      </c>
    </row>
    <row r="157" spans="1:7">
      <c r="A157" t="s">
        <v>841</v>
      </c>
      <c r="B157" s="115" t="s">
        <v>31</v>
      </c>
      <c r="C157">
        <v>3</v>
      </c>
      <c r="E157" s="3">
        <v>43509</v>
      </c>
      <c r="G157" t="s">
        <v>842</v>
      </c>
    </row>
    <row r="158" spans="1:7">
      <c r="A158" t="s">
        <v>841</v>
      </c>
      <c r="B158" s="115" t="s">
        <v>128</v>
      </c>
      <c r="C158">
        <v>0</v>
      </c>
      <c r="E158" s="3">
        <v>43509</v>
      </c>
      <c r="G158" t="s">
        <v>842</v>
      </c>
    </row>
    <row r="159" spans="1:7">
      <c r="A159" t="s">
        <v>841</v>
      </c>
      <c r="B159" s="115" t="s">
        <v>499</v>
      </c>
      <c r="C159">
        <v>2</v>
      </c>
      <c r="E159" s="3">
        <v>43509</v>
      </c>
      <c r="G159" t="s">
        <v>842</v>
      </c>
    </row>
    <row r="160" spans="1:7">
      <c r="A160" t="s">
        <v>841</v>
      </c>
      <c r="B160" s="115" t="s">
        <v>501</v>
      </c>
      <c r="C160">
        <v>3</v>
      </c>
      <c r="E160" s="3">
        <v>43509</v>
      </c>
      <c r="G160" t="s">
        <v>842</v>
      </c>
    </row>
    <row r="161" spans="1:7">
      <c r="A161" t="s">
        <v>841</v>
      </c>
      <c r="B161" s="115" t="s">
        <v>500</v>
      </c>
      <c r="C161">
        <v>0</v>
      </c>
      <c r="E161" s="3">
        <v>43509</v>
      </c>
      <c r="G161" t="s">
        <v>842</v>
      </c>
    </row>
    <row r="162" spans="1:7">
      <c r="A162" t="s">
        <v>841</v>
      </c>
      <c r="B162" s="115" t="s">
        <v>504</v>
      </c>
      <c r="C162">
        <v>5</v>
      </c>
      <c r="E162" s="3">
        <v>43509</v>
      </c>
      <c r="G162" t="s">
        <v>842</v>
      </c>
    </row>
    <row r="163" spans="1:7">
      <c r="A163" t="s">
        <v>841</v>
      </c>
      <c r="B163" s="115" t="s">
        <v>508</v>
      </c>
      <c r="C163">
        <v>0</v>
      </c>
      <c r="E163" s="3">
        <v>43509</v>
      </c>
      <c r="G163" t="s">
        <v>842</v>
      </c>
    </row>
    <row r="164" spans="1:7">
      <c r="A164" t="s">
        <v>841</v>
      </c>
      <c r="B164" s="115" t="s">
        <v>496</v>
      </c>
      <c r="C164">
        <v>6</v>
      </c>
      <c r="E164" s="3">
        <v>43509</v>
      </c>
      <c r="G164" t="s">
        <v>842</v>
      </c>
    </row>
    <row r="165" spans="1:7">
      <c r="A165" t="s">
        <v>841</v>
      </c>
      <c r="B165" s="115" t="s">
        <v>510</v>
      </c>
      <c r="C165">
        <v>0</v>
      </c>
      <c r="E165" s="3">
        <v>43509</v>
      </c>
      <c r="G165" t="s">
        <v>842</v>
      </c>
    </row>
    <row r="166" spans="1:7">
      <c r="A166" t="s">
        <v>841</v>
      </c>
      <c r="B166" s="115" t="s">
        <v>506</v>
      </c>
      <c r="C166">
        <v>6</v>
      </c>
      <c r="E166" s="3">
        <v>43509</v>
      </c>
      <c r="G166" t="s">
        <v>842</v>
      </c>
    </row>
    <row r="167" spans="1:7">
      <c r="A167" t="s">
        <v>841</v>
      </c>
      <c r="B167" s="115" t="s">
        <v>502</v>
      </c>
      <c r="C167">
        <v>4</v>
      </c>
      <c r="E167" s="3">
        <v>43509</v>
      </c>
      <c r="G167" t="s">
        <v>842</v>
      </c>
    </row>
    <row r="168" spans="1:7">
      <c r="A168" t="s">
        <v>841</v>
      </c>
      <c r="B168" s="115" t="s">
        <v>505</v>
      </c>
      <c r="C168">
        <v>2</v>
      </c>
      <c r="E168" s="3">
        <v>43509</v>
      </c>
      <c r="G168" t="s">
        <v>842</v>
      </c>
    </row>
    <row r="169" spans="1:7">
      <c r="A169" t="s">
        <v>841</v>
      </c>
      <c r="B169" s="115" t="s">
        <v>507</v>
      </c>
      <c r="C169">
        <v>0</v>
      </c>
      <c r="E169" s="3">
        <v>43509</v>
      </c>
      <c r="G169" t="s">
        <v>842</v>
      </c>
    </row>
    <row r="170" spans="1:7">
      <c r="A170" t="s">
        <v>841</v>
      </c>
      <c r="B170" s="115" t="s">
        <v>503</v>
      </c>
      <c r="C170">
        <v>0</v>
      </c>
      <c r="E170" s="3">
        <v>43509</v>
      </c>
      <c r="G170" t="s">
        <v>842</v>
      </c>
    </row>
    <row r="171" spans="1:7">
      <c r="A171" t="s">
        <v>841</v>
      </c>
      <c r="B171" s="115" t="s">
        <v>511</v>
      </c>
      <c r="C171">
        <v>4</v>
      </c>
      <c r="E171" s="3">
        <v>43509</v>
      </c>
      <c r="G171" t="s">
        <v>842</v>
      </c>
    </row>
    <row r="172" spans="1:7">
      <c r="A172" t="s">
        <v>841</v>
      </c>
      <c r="B172" s="115" t="s">
        <v>509</v>
      </c>
      <c r="C172">
        <v>3</v>
      </c>
      <c r="E172" s="3">
        <v>43509</v>
      </c>
      <c r="G172" t="s">
        <v>842</v>
      </c>
    </row>
    <row r="173" spans="1:7">
      <c r="A173" t="s">
        <v>841</v>
      </c>
      <c r="B173" s="115" t="s">
        <v>498</v>
      </c>
      <c r="C173">
        <v>7</v>
      </c>
      <c r="E173" s="3">
        <v>43509</v>
      </c>
      <c r="G173" t="s">
        <v>842</v>
      </c>
    </row>
    <row r="174" spans="1:7">
      <c r="A174" t="s">
        <v>841</v>
      </c>
      <c r="B174" s="115" t="s">
        <v>497</v>
      </c>
      <c r="C174">
        <v>0</v>
      </c>
      <c r="E174" s="3">
        <v>43509</v>
      </c>
      <c r="G174" t="s">
        <v>842</v>
      </c>
    </row>
    <row r="175" spans="1:7">
      <c r="A175" t="s">
        <v>841</v>
      </c>
      <c r="B175" s="115" t="s">
        <v>515</v>
      </c>
      <c r="C175">
        <v>6</v>
      </c>
      <c r="E175" s="3">
        <v>43509</v>
      </c>
      <c r="G175" t="s">
        <v>842</v>
      </c>
    </row>
    <row r="176" spans="1:7">
      <c r="A176" t="s">
        <v>841</v>
      </c>
      <c r="B176" s="115" t="s">
        <v>517</v>
      </c>
      <c r="C176">
        <v>6</v>
      </c>
      <c r="E176" s="3">
        <v>43509</v>
      </c>
      <c r="G176" t="s">
        <v>842</v>
      </c>
    </row>
    <row r="177" spans="1:7">
      <c r="A177" t="s">
        <v>841</v>
      </c>
      <c r="B177" s="115" t="s">
        <v>516</v>
      </c>
      <c r="C177">
        <v>2</v>
      </c>
      <c r="E177" s="3">
        <v>43509</v>
      </c>
      <c r="G177" t="s">
        <v>842</v>
      </c>
    </row>
    <row r="178" spans="1:7">
      <c r="A178" t="s">
        <v>841</v>
      </c>
      <c r="B178" s="115" t="s">
        <v>520</v>
      </c>
      <c r="C178">
        <v>6</v>
      </c>
      <c r="E178" s="3">
        <v>43509</v>
      </c>
      <c r="G178" t="s">
        <v>842</v>
      </c>
    </row>
    <row r="179" spans="1:7">
      <c r="A179" t="s">
        <v>841</v>
      </c>
      <c r="B179" s="115" t="s">
        <v>524</v>
      </c>
      <c r="C179">
        <v>0</v>
      </c>
      <c r="E179" s="3">
        <v>43509</v>
      </c>
      <c r="G179" t="s">
        <v>842</v>
      </c>
    </row>
    <row r="180" spans="1:7">
      <c r="A180" t="s">
        <v>841</v>
      </c>
      <c r="B180" s="115" t="s">
        <v>512</v>
      </c>
      <c r="C180">
        <v>6</v>
      </c>
      <c r="E180" s="3">
        <v>43509</v>
      </c>
      <c r="G180" t="s">
        <v>842</v>
      </c>
    </row>
    <row r="181" spans="1:7">
      <c r="A181" t="s">
        <v>841</v>
      </c>
      <c r="B181" s="115" t="s">
        <v>526</v>
      </c>
      <c r="C181">
        <v>0</v>
      </c>
      <c r="E181" s="3">
        <v>43509</v>
      </c>
      <c r="G181" t="s">
        <v>842</v>
      </c>
    </row>
    <row r="182" spans="1:7">
      <c r="A182" t="s">
        <v>841</v>
      </c>
      <c r="B182" s="115" t="s">
        <v>522</v>
      </c>
      <c r="C182">
        <v>7</v>
      </c>
      <c r="E182" s="3">
        <v>43509</v>
      </c>
      <c r="G182" t="s">
        <v>842</v>
      </c>
    </row>
    <row r="183" spans="1:7">
      <c r="A183" t="s">
        <v>841</v>
      </c>
      <c r="B183" s="115" t="s">
        <v>518</v>
      </c>
      <c r="C183">
        <v>2</v>
      </c>
      <c r="E183" s="3">
        <v>43509</v>
      </c>
      <c r="G183" t="s">
        <v>842</v>
      </c>
    </row>
    <row r="184" spans="1:7">
      <c r="A184" t="s">
        <v>841</v>
      </c>
      <c r="B184" s="115" t="s">
        <v>521</v>
      </c>
      <c r="C184">
        <v>4</v>
      </c>
      <c r="E184" s="3">
        <v>43509</v>
      </c>
      <c r="G184" t="s">
        <v>842</v>
      </c>
    </row>
    <row r="185" spans="1:7">
      <c r="A185" t="s">
        <v>841</v>
      </c>
      <c r="B185" s="115" t="s">
        <v>523</v>
      </c>
      <c r="C185">
        <v>0</v>
      </c>
      <c r="E185" s="3">
        <v>43509</v>
      </c>
      <c r="G185" t="s">
        <v>842</v>
      </c>
    </row>
    <row r="186" spans="1:7">
      <c r="A186" t="s">
        <v>841</v>
      </c>
      <c r="B186" s="115" t="s">
        <v>519</v>
      </c>
      <c r="C186">
        <v>0</v>
      </c>
      <c r="E186" s="3">
        <v>43509</v>
      </c>
      <c r="G186" t="s">
        <v>842</v>
      </c>
    </row>
    <row r="187" spans="1:7">
      <c r="A187" t="s">
        <v>841</v>
      </c>
      <c r="B187" s="115" t="s">
        <v>527</v>
      </c>
      <c r="C187">
        <v>2</v>
      </c>
      <c r="E187" s="3">
        <v>43509</v>
      </c>
      <c r="G187" t="s">
        <v>842</v>
      </c>
    </row>
    <row r="188" spans="1:7">
      <c r="A188" t="s">
        <v>841</v>
      </c>
      <c r="B188" s="115" t="s">
        <v>525</v>
      </c>
      <c r="C188">
        <v>2</v>
      </c>
      <c r="E188" s="3">
        <v>43509</v>
      </c>
      <c r="G188" t="s">
        <v>842</v>
      </c>
    </row>
    <row r="189" spans="1:7">
      <c r="A189" t="s">
        <v>841</v>
      </c>
      <c r="B189" s="115" t="s">
        <v>514</v>
      </c>
      <c r="C189">
        <v>0</v>
      </c>
      <c r="E189" s="3">
        <v>43509</v>
      </c>
      <c r="G189" t="s">
        <v>842</v>
      </c>
    </row>
    <row r="190" spans="1:7">
      <c r="A190" t="s">
        <v>841</v>
      </c>
      <c r="B190" s="115" t="s">
        <v>513</v>
      </c>
      <c r="C190">
        <v>0</v>
      </c>
      <c r="E190" s="3">
        <v>43509</v>
      </c>
      <c r="G190" t="s">
        <v>842</v>
      </c>
    </row>
    <row r="191" spans="1:7">
      <c r="A191" t="s">
        <v>841</v>
      </c>
      <c r="B191" s="99" t="s">
        <v>565</v>
      </c>
      <c r="C191">
        <v>5</v>
      </c>
      <c r="E191" s="3">
        <v>43509</v>
      </c>
      <c r="G191" t="s">
        <v>842</v>
      </c>
    </row>
    <row r="192" spans="1:7">
      <c r="A192" t="s">
        <v>841</v>
      </c>
      <c r="B192" s="99" t="s">
        <v>575</v>
      </c>
      <c r="C192">
        <v>17</v>
      </c>
      <c r="E192" s="3">
        <v>43509</v>
      </c>
      <c r="G192" t="s">
        <v>842</v>
      </c>
    </row>
    <row r="193" spans="1:7">
      <c r="A193" t="s">
        <v>841</v>
      </c>
      <c r="B193" s="99" t="s">
        <v>578</v>
      </c>
      <c r="C193">
        <v>1</v>
      </c>
      <c r="E193" s="3">
        <v>43509</v>
      </c>
      <c r="G193" t="s">
        <v>842</v>
      </c>
    </row>
    <row r="194" spans="1:7">
      <c r="A194" t="s">
        <v>841</v>
      </c>
      <c r="B194" s="99" t="s">
        <v>572</v>
      </c>
      <c r="C194">
        <v>4</v>
      </c>
      <c r="E194" s="3">
        <v>43509</v>
      </c>
      <c r="G194" t="s">
        <v>842</v>
      </c>
    </row>
    <row r="195" spans="1:7">
      <c r="A195" t="s">
        <v>841</v>
      </c>
      <c r="B195" s="99" t="s">
        <v>564</v>
      </c>
      <c r="C195">
        <v>5</v>
      </c>
      <c r="E195" s="3">
        <v>43509</v>
      </c>
      <c r="G195" t="s">
        <v>842</v>
      </c>
    </row>
    <row r="196" spans="1:7">
      <c r="A196" t="s">
        <v>841</v>
      </c>
      <c r="B196" s="99" t="s">
        <v>666</v>
      </c>
      <c r="C196">
        <v>51</v>
      </c>
      <c r="E196" s="3">
        <v>43509</v>
      </c>
      <c r="G196" t="s">
        <v>842</v>
      </c>
    </row>
    <row r="197" spans="1:7">
      <c r="A197" t="s">
        <v>841</v>
      </c>
      <c r="B197" s="99" t="s">
        <v>561</v>
      </c>
      <c r="C197">
        <v>4</v>
      </c>
      <c r="E197" s="3">
        <v>43509</v>
      </c>
      <c r="G197" t="s">
        <v>842</v>
      </c>
    </row>
    <row r="198" spans="1:7">
      <c r="A198" t="s">
        <v>841</v>
      </c>
      <c r="B198" s="99" t="s">
        <v>574</v>
      </c>
      <c r="C198">
        <v>23</v>
      </c>
      <c r="E198" s="3">
        <v>43509</v>
      </c>
      <c r="G198" t="s">
        <v>842</v>
      </c>
    </row>
    <row r="199" spans="1:7">
      <c r="A199" t="s">
        <v>841</v>
      </c>
      <c r="B199" s="99" t="s">
        <v>570</v>
      </c>
      <c r="C199">
        <v>7</v>
      </c>
      <c r="E199" s="3">
        <v>43509</v>
      </c>
      <c r="G199" t="s">
        <v>842</v>
      </c>
    </row>
    <row r="200" spans="1:7">
      <c r="A200" t="s">
        <v>841</v>
      </c>
      <c r="B200" s="99" t="s">
        <v>562</v>
      </c>
      <c r="C200">
        <v>5</v>
      </c>
      <c r="E200" s="3">
        <v>43509</v>
      </c>
      <c r="G200" t="s">
        <v>842</v>
      </c>
    </row>
    <row r="201" spans="1:7">
      <c r="A201" t="s">
        <v>841</v>
      </c>
      <c r="B201" s="99" t="s">
        <v>567</v>
      </c>
      <c r="C201">
        <v>4</v>
      </c>
      <c r="E201" s="3">
        <v>43509</v>
      </c>
      <c r="G201" t="s">
        <v>842</v>
      </c>
    </row>
    <row r="202" spans="1:7">
      <c r="A202" t="s">
        <v>841</v>
      </c>
      <c r="B202" s="99" t="s">
        <v>568</v>
      </c>
      <c r="C202">
        <v>5</v>
      </c>
      <c r="E202" s="3">
        <v>43509</v>
      </c>
      <c r="G202" t="s">
        <v>842</v>
      </c>
    </row>
    <row r="203" spans="1:7">
      <c r="A203" t="s">
        <v>841</v>
      </c>
      <c r="B203" s="99" t="s">
        <v>557</v>
      </c>
      <c r="C203">
        <v>17</v>
      </c>
      <c r="E203" s="3">
        <v>43509</v>
      </c>
      <c r="G203" t="s">
        <v>842</v>
      </c>
    </row>
    <row r="204" spans="1:7">
      <c r="A204" t="s">
        <v>841</v>
      </c>
      <c r="B204" s="99" t="s">
        <v>573</v>
      </c>
      <c r="C204">
        <v>1</v>
      </c>
      <c r="E204" s="3">
        <v>43509</v>
      </c>
      <c r="G204" t="s">
        <v>842</v>
      </c>
    </row>
    <row r="205" spans="1:7">
      <c r="A205" t="s">
        <v>841</v>
      </c>
      <c r="B205" s="99" t="s">
        <v>577</v>
      </c>
      <c r="C205">
        <v>4</v>
      </c>
      <c r="E205" s="3">
        <v>43509</v>
      </c>
      <c r="G205" t="s">
        <v>842</v>
      </c>
    </row>
    <row r="206" spans="1:7">
      <c r="A206" t="s">
        <v>841</v>
      </c>
      <c r="B206" s="99" t="s">
        <v>560</v>
      </c>
      <c r="C206">
        <v>1</v>
      </c>
      <c r="E206" s="3">
        <v>43509</v>
      </c>
      <c r="G206" t="s">
        <v>842</v>
      </c>
    </row>
    <row r="207" spans="1:7">
      <c r="A207" t="s">
        <v>841</v>
      </c>
      <c r="B207" s="99" t="s">
        <v>664</v>
      </c>
      <c r="C207">
        <v>57</v>
      </c>
      <c r="E207" s="3">
        <v>43509</v>
      </c>
      <c r="G207" t="s">
        <v>842</v>
      </c>
    </row>
    <row r="208" spans="1:7">
      <c r="A208" t="s">
        <v>841</v>
      </c>
      <c r="B208" s="99" t="s">
        <v>681</v>
      </c>
      <c r="C208">
        <v>4</v>
      </c>
      <c r="E208" s="3">
        <v>43509</v>
      </c>
      <c r="G208" t="s">
        <v>842</v>
      </c>
    </row>
    <row r="209" spans="1:7">
      <c r="A209" t="s">
        <v>841</v>
      </c>
      <c r="B209" s="99" t="s">
        <v>558</v>
      </c>
      <c r="C209">
        <v>4</v>
      </c>
      <c r="E209" s="3">
        <v>43509</v>
      </c>
      <c r="G209" t="s">
        <v>842</v>
      </c>
    </row>
    <row r="210" spans="1:7">
      <c r="A210" t="s">
        <v>841</v>
      </c>
      <c r="B210" s="99" t="s">
        <v>559</v>
      </c>
      <c r="C210">
        <v>5</v>
      </c>
      <c r="E210" s="3">
        <v>43509</v>
      </c>
      <c r="G210" t="s">
        <v>842</v>
      </c>
    </row>
    <row r="211" spans="1:7">
      <c r="A211" t="s">
        <v>841</v>
      </c>
      <c r="B211" s="99" t="s">
        <v>563</v>
      </c>
      <c r="C211">
        <v>16</v>
      </c>
      <c r="E211" s="3">
        <v>43509</v>
      </c>
      <c r="G211" t="s">
        <v>842</v>
      </c>
    </row>
    <row r="212" spans="1:7">
      <c r="A212" t="s">
        <v>841</v>
      </c>
      <c r="B212" s="99" t="s">
        <v>566</v>
      </c>
      <c r="C212">
        <v>5</v>
      </c>
      <c r="E212" s="3">
        <v>43509</v>
      </c>
      <c r="G212" t="s">
        <v>842</v>
      </c>
    </row>
    <row r="213" spans="1:7">
      <c r="A213" t="s">
        <v>841</v>
      </c>
      <c r="B213" s="99" t="s">
        <v>680</v>
      </c>
      <c r="C213">
        <v>5</v>
      </c>
      <c r="E213" s="3">
        <v>43509</v>
      </c>
      <c r="G213" t="s">
        <v>842</v>
      </c>
    </row>
    <row r="214" spans="1:7">
      <c r="A214" t="s">
        <v>841</v>
      </c>
      <c r="B214" s="99" t="s">
        <v>556</v>
      </c>
      <c r="C214">
        <v>9</v>
      </c>
      <c r="E214" s="3">
        <v>43509</v>
      </c>
      <c r="G214" t="s">
        <v>842</v>
      </c>
    </row>
    <row r="215" spans="1:7">
      <c r="A215" t="s">
        <v>841</v>
      </c>
      <c r="B215" s="99" t="s">
        <v>665</v>
      </c>
      <c r="C215">
        <v>36</v>
      </c>
      <c r="E215" s="3">
        <v>43509</v>
      </c>
      <c r="G215" t="s">
        <v>842</v>
      </c>
    </row>
    <row r="216" spans="1:7">
      <c r="A216" t="s">
        <v>841</v>
      </c>
      <c r="B216" s="99" t="s">
        <v>571</v>
      </c>
      <c r="C216">
        <v>12</v>
      </c>
      <c r="E216" s="3">
        <v>43509</v>
      </c>
      <c r="G216" t="s">
        <v>842</v>
      </c>
    </row>
    <row r="217" spans="1:7">
      <c r="A217" t="s">
        <v>841</v>
      </c>
      <c r="B217" s="99" t="s">
        <v>555</v>
      </c>
      <c r="C217">
        <v>1</v>
      </c>
      <c r="E217" s="3">
        <v>43509</v>
      </c>
      <c r="G217" t="s">
        <v>842</v>
      </c>
    </row>
    <row r="218" spans="1:7">
      <c r="A218" t="s">
        <v>841</v>
      </c>
      <c r="B218" s="99" t="s">
        <v>569</v>
      </c>
      <c r="C218">
        <v>9</v>
      </c>
      <c r="E218" s="3">
        <v>43509</v>
      </c>
      <c r="G218" t="s">
        <v>842</v>
      </c>
    </row>
    <row r="219" spans="1:7">
      <c r="A219" t="s">
        <v>841</v>
      </c>
      <c r="B219" s="99" t="s">
        <v>576</v>
      </c>
      <c r="C219">
        <v>4</v>
      </c>
      <c r="E219" s="3">
        <v>43509</v>
      </c>
      <c r="G219" t="s">
        <v>842</v>
      </c>
    </row>
    <row r="220" spans="1:7">
      <c r="A220" t="s">
        <v>841</v>
      </c>
      <c r="B220" s="99" t="s">
        <v>667</v>
      </c>
      <c r="C220">
        <v>16</v>
      </c>
      <c r="E220" s="3">
        <v>43509</v>
      </c>
      <c r="G220" t="s">
        <v>842</v>
      </c>
    </row>
    <row r="221" spans="1:7">
      <c r="A221" t="s">
        <v>841</v>
      </c>
      <c r="B221" s="99" t="s">
        <v>1169</v>
      </c>
      <c r="C221">
        <v>9</v>
      </c>
      <c r="E221" s="3">
        <v>43509</v>
      </c>
      <c r="G221" t="s">
        <v>842</v>
      </c>
    </row>
    <row r="222" spans="1:7">
      <c r="A222" t="s">
        <v>841</v>
      </c>
      <c r="B222" s="99" t="s">
        <v>1153</v>
      </c>
      <c r="C222">
        <v>26</v>
      </c>
      <c r="E222" s="3">
        <v>43509</v>
      </c>
      <c r="G222" t="s">
        <v>842</v>
      </c>
    </row>
    <row r="223" spans="1:7">
      <c r="A223" t="s">
        <v>841</v>
      </c>
      <c r="B223" s="99" t="s">
        <v>1185</v>
      </c>
      <c r="C223">
        <v>115</v>
      </c>
      <c r="E223" s="3">
        <v>43509</v>
      </c>
      <c r="G223" t="s">
        <v>842</v>
      </c>
    </row>
    <row r="224" spans="1:7">
      <c r="A224" t="s">
        <v>841</v>
      </c>
      <c r="B224" s="99" t="s">
        <v>1181</v>
      </c>
      <c r="C224">
        <v>13</v>
      </c>
      <c r="E224" s="3">
        <v>43509</v>
      </c>
      <c r="G224" t="s">
        <v>842</v>
      </c>
    </row>
    <row r="225" spans="1:7">
      <c r="A225" t="s">
        <v>841</v>
      </c>
      <c r="B225" s="99" t="s">
        <v>1171</v>
      </c>
      <c r="C225">
        <v>10</v>
      </c>
      <c r="E225" s="3">
        <v>43509</v>
      </c>
      <c r="G225" t="s">
        <v>842</v>
      </c>
    </row>
    <row r="226" spans="1:7">
      <c r="A226" t="s">
        <v>841</v>
      </c>
      <c r="B226" s="99" t="s">
        <v>1175</v>
      </c>
      <c r="C226">
        <v>24</v>
      </c>
      <c r="E226" s="3">
        <v>43509</v>
      </c>
      <c r="G226" t="s">
        <v>842</v>
      </c>
    </row>
    <row r="227" spans="1:7">
      <c r="A227" t="s">
        <v>841</v>
      </c>
      <c r="B227" s="99" t="s">
        <v>1167</v>
      </c>
      <c r="C227">
        <v>0</v>
      </c>
      <c r="E227" s="3">
        <v>43509</v>
      </c>
      <c r="G227" t="s">
        <v>842</v>
      </c>
    </row>
    <row r="228" spans="1:7">
      <c r="A228" t="s">
        <v>841</v>
      </c>
      <c r="B228" s="99" t="s">
        <v>1187</v>
      </c>
      <c r="C228">
        <v>27</v>
      </c>
      <c r="E228" s="3">
        <v>43509</v>
      </c>
      <c r="G228" t="s">
        <v>842</v>
      </c>
    </row>
    <row r="229" spans="1:7">
      <c r="A229" t="s">
        <v>841</v>
      </c>
      <c r="B229" s="99" t="s">
        <v>1183</v>
      </c>
      <c r="C229">
        <v>53</v>
      </c>
      <c r="E229" s="3">
        <v>43509</v>
      </c>
      <c r="G229" t="s">
        <v>842</v>
      </c>
    </row>
    <row r="230" spans="1:7">
      <c r="A230" t="s">
        <v>841</v>
      </c>
      <c r="B230" s="99" t="s">
        <v>1159</v>
      </c>
      <c r="C230">
        <v>7</v>
      </c>
      <c r="E230" s="3">
        <v>43509</v>
      </c>
      <c r="G230" t="s">
        <v>842</v>
      </c>
    </row>
    <row r="231" spans="1:7">
      <c r="A231" t="s">
        <v>841</v>
      </c>
      <c r="B231" s="99" t="s">
        <v>1189</v>
      </c>
      <c r="C231">
        <v>9</v>
      </c>
      <c r="E231" s="3">
        <v>43509</v>
      </c>
      <c r="G231" t="s">
        <v>842</v>
      </c>
    </row>
    <row r="232" spans="1:7">
      <c r="A232" t="s">
        <v>841</v>
      </c>
      <c r="B232" s="99" t="s">
        <v>1137</v>
      </c>
      <c r="C232">
        <v>20</v>
      </c>
      <c r="E232" s="3">
        <v>43509</v>
      </c>
      <c r="G232" t="s">
        <v>842</v>
      </c>
    </row>
    <row r="233" spans="1:7">
      <c r="A233" t="s">
        <v>841</v>
      </c>
      <c r="B233" s="99" t="s">
        <v>1143</v>
      </c>
      <c r="C233">
        <v>6</v>
      </c>
      <c r="E233" s="3">
        <v>43509</v>
      </c>
      <c r="G233" t="s">
        <v>842</v>
      </c>
    </row>
    <row r="234" spans="1:7">
      <c r="A234" t="s">
        <v>841</v>
      </c>
      <c r="B234" s="99" t="s">
        <v>1151</v>
      </c>
      <c r="C234">
        <v>126</v>
      </c>
      <c r="E234" s="3">
        <v>43509</v>
      </c>
      <c r="G234" t="s">
        <v>842</v>
      </c>
    </row>
    <row r="235" spans="1:7">
      <c r="A235" t="s">
        <v>841</v>
      </c>
      <c r="B235" s="99" t="s">
        <v>1165</v>
      </c>
      <c r="C235">
        <v>19</v>
      </c>
      <c r="E235" s="3">
        <v>43509</v>
      </c>
      <c r="G235" t="s">
        <v>842</v>
      </c>
    </row>
    <row r="236" spans="1:7">
      <c r="A236" t="s">
        <v>841</v>
      </c>
      <c r="B236" s="99" t="s">
        <v>1149</v>
      </c>
      <c r="C236">
        <v>8</v>
      </c>
      <c r="E236" s="3">
        <v>43509</v>
      </c>
      <c r="G236" t="s">
        <v>842</v>
      </c>
    </row>
    <row r="237" spans="1:7">
      <c r="A237" t="s">
        <v>841</v>
      </c>
      <c r="B237" s="99" t="s">
        <v>1195</v>
      </c>
      <c r="C237">
        <v>11</v>
      </c>
      <c r="E237" s="3">
        <v>43509</v>
      </c>
      <c r="G237" t="s">
        <v>842</v>
      </c>
    </row>
    <row r="238" spans="1:7">
      <c r="A238" t="s">
        <v>841</v>
      </c>
      <c r="B238" s="99" t="s">
        <v>1193</v>
      </c>
      <c r="C238">
        <v>12</v>
      </c>
      <c r="E238" s="3">
        <v>43509</v>
      </c>
      <c r="G238" t="s">
        <v>842</v>
      </c>
    </row>
    <row r="239" spans="1:7">
      <c r="A239" t="s">
        <v>841</v>
      </c>
      <c r="B239" s="99" t="s">
        <v>1161</v>
      </c>
      <c r="C239">
        <v>6</v>
      </c>
      <c r="E239" s="3">
        <v>43509</v>
      </c>
      <c r="G239" t="s">
        <v>842</v>
      </c>
    </row>
    <row r="240" spans="1:7">
      <c r="A240" t="s">
        <v>841</v>
      </c>
      <c r="B240" s="99" t="s">
        <v>1163</v>
      </c>
      <c r="C240">
        <v>4</v>
      </c>
      <c r="E240" s="3">
        <v>43509</v>
      </c>
      <c r="G240" t="s">
        <v>842</v>
      </c>
    </row>
    <row r="241" spans="1:7">
      <c r="A241" t="s">
        <v>841</v>
      </c>
      <c r="B241" s="99" t="s">
        <v>1197</v>
      </c>
      <c r="C241">
        <v>0</v>
      </c>
      <c r="E241" s="3">
        <v>43509</v>
      </c>
      <c r="G241" t="s">
        <v>842</v>
      </c>
    </row>
    <row r="242" spans="1:7">
      <c r="A242" t="s">
        <v>841</v>
      </c>
      <c r="B242" s="99" t="s">
        <v>1157</v>
      </c>
      <c r="C242">
        <v>40</v>
      </c>
      <c r="E242" s="3">
        <v>43509</v>
      </c>
      <c r="G242" t="s">
        <v>842</v>
      </c>
    </row>
    <row r="243" spans="1:7">
      <c r="A243" t="s">
        <v>841</v>
      </c>
      <c r="B243" s="99" t="s">
        <v>1179</v>
      </c>
      <c r="C243">
        <v>60</v>
      </c>
      <c r="E243" s="3">
        <v>43509</v>
      </c>
      <c r="G243" t="s">
        <v>842</v>
      </c>
    </row>
    <row r="244" spans="1:7">
      <c r="A244" t="s">
        <v>841</v>
      </c>
      <c r="B244" s="99" t="s">
        <v>1134</v>
      </c>
      <c r="C244">
        <v>11</v>
      </c>
      <c r="E244" s="3">
        <v>43509</v>
      </c>
      <c r="G244" t="s">
        <v>842</v>
      </c>
    </row>
    <row r="245" spans="1:7">
      <c r="A245" t="s">
        <v>841</v>
      </c>
      <c r="B245" s="99" t="s">
        <v>1177</v>
      </c>
      <c r="C245">
        <v>39</v>
      </c>
      <c r="E245" s="3">
        <v>43509</v>
      </c>
      <c r="G245" t="s">
        <v>842</v>
      </c>
    </row>
    <row r="246" spans="1:7">
      <c r="A246" t="s">
        <v>841</v>
      </c>
      <c r="B246" s="99" t="s">
        <v>1141</v>
      </c>
      <c r="C246">
        <v>40</v>
      </c>
      <c r="E246" s="3">
        <v>43509</v>
      </c>
      <c r="G246" t="s">
        <v>842</v>
      </c>
    </row>
    <row r="247" spans="1:7">
      <c r="A247" t="s">
        <v>841</v>
      </c>
      <c r="B247" s="99" t="s">
        <v>1139</v>
      </c>
      <c r="C247">
        <v>9</v>
      </c>
      <c r="E247" s="3">
        <v>43509</v>
      </c>
      <c r="G247" t="s">
        <v>842</v>
      </c>
    </row>
    <row r="248" spans="1:7">
      <c r="A248" t="s">
        <v>841</v>
      </c>
      <c r="B248" s="99" t="s">
        <v>1147</v>
      </c>
      <c r="C248">
        <v>7</v>
      </c>
      <c r="E248" s="3">
        <v>43509</v>
      </c>
      <c r="G248" t="s">
        <v>842</v>
      </c>
    </row>
    <row r="249" spans="1:7">
      <c r="A249" t="s">
        <v>841</v>
      </c>
      <c r="B249" s="99" t="s">
        <v>1155</v>
      </c>
      <c r="C249">
        <v>1</v>
      </c>
      <c r="E249" s="3">
        <v>43509</v>
      </c>
      <c r="G249" t="s">
        <v>842</v>
      </c>
    </row>
    <row r="250" spans="1:7">
      <c r="A250" t="s">
        <v>841</v>
      </c>
      <c r="B250" s="99" t="s">
        <v>1173</v>
      </c>
      <c r="C250">
        <v>21</v>
      </c>
      <c r="E250" s="3">
        <v>43509</v>
      </c>
      <c r="G250" t="s">
        <v>842</v>
      </c>
    </row>
    <row r="251" spans="1:7">
      <c r="A251" t="s">
        <v>841</v>
      </c>
      <c r="B251" s="99" t="s">
        <v>1145</v>
      </c>
      <c r="C251">
        <v>10</v>
      </c>
      <c r="E251" s="3">
        <v>43509</v>
      </c>
      <c r="G251" t="s">
        <v>842</v>
      </c>
    </row>
    <row r="252" spans="1:7">
      <c r="A252" t="s">
        <v>841</v>
      </c>
      <c r="B252" s="99" t="s">
        <v>1191</v>
      </c>
      <c r="C252">
        <v>25</v>
      </c>
      <c r="E252" s="3">
        <v>43509</v>
      </c>
      <c r="G252" t="s">
        <v>842</v>
      </c>
    </row>
    <row r="253" spans="1:7">
      <c r="A253" t="s">
        <v>841</v>
      </c>
      <c r="B253" s="115" t="s">
        <v>579</v>
      </c>
      <c r="C253">
        <v>1</v>
      </c>
      <c r="E253" s="3">
        <v>43509</v>
      </c>
      <c r="G253" t="s">
        <v>842</v>
      </c>
    </row>
    <row r="254" spans="1:7">
      <c r="A254" t="s">
        <v>841</v>
      </c>
      <c r="B254" s="115" t="s">
        <v>580</v>
      </c>
      <c r="C254">
        <v>2</v>
      </c>
      <c r="E254" s="3">
        <v>43509</v>
      </c>
      <c r="G254" t="s">
        <v>842</v>
      </c>
    </row>
    <row r="255" spans="1:7">
      <c r="A255" t="s">
        <v>841</v>
      </c>
      <c r="B255" s="115" t="s">
        <v>581</v>
      </c>
      <c r="C255">
        <v>15</v>
      </c>
      <c r="E255" s="3">
        <v>43509</v>
      </c>
      <c r="G255" t="s">
        <v>842</v>
      </c>
    </row>
    <row r="256" spans="1:7">
      <c r="A256" t="s">
        <v>841</v>
      </c>
      <c r="B256" s="115" t="s">
        <v>582</v>
      </c>
      <c r="C256">
        <v>6</v>
      </c>
      <c r="E256" s="3">
        <v>43509</v>
      </c>
      <c r="G256" t="s">
        <v>842</v>
      </c>
    </row>
    <row r="257" spans="1:7">
      <c r="A257" t="s">
        <v>841</v>
      </c>
      <c r="B257" s="115" t="s">
        <v>689</v>
      </c>
      <c r="C257">
        <v>1</v>
      </c>
      <c r="E257" s="3">
        <v>43509</v>
      </c>
      <c r="G257" t="s">
        <v>842</v>
      </c>
    </row>
    <row r="258" spans="1:7">
      <c r="A258" t="s">
        <v>841</v>
      </c>
      <c r="B258" s="115" t="s">
        <v>690</v>
      </c>
      <c r="C258">
        <v>3</v>
      </c>
      <c r="E258" s="3">
        <v>43509</v>
      </c>
      <c r="G258" t="s">
        <v>842</v>
      </c>
    </row>
    <row r="259" spans="1:7">
      <c r="A259" t="s">
        <v>841</v>
      </c>
      <c r="B259" s="115" t="s">
        <v>583</v>
      </c>
      <c r="C259">
        <v>8</v>
      </c>
      <c r="E259" s="3">
        <v>43509</v>
      </c>
      <c r="G259" t="s">
        <v>842</v>
      </c>
    </row>
    <row r="260" spans="1:7">
      <c r="A260" t="s">
        <v>841</v>
      </c>
      <c r="B260" s="115" t="s">
        <v>584</v>
      </c>
      <c r="C260">
        <v>9</v>
      </c>
      <c r="E260" s="3">
        <v>43509</v>
      </c>
      <c r="G260" t="s">
        <v>842</v>
      </c>
    </row>
    <row r="261" spans="1:7">
      <c r="A261" t="s">
        <v>841</v>
      </c>
      <c r="B261" s="115" t="s">
        <v>668</v>
      </c>
      <c r="C261">
        <v>13</v>
      </c>
      <c r="E261" s="3">
        <v>43509</v>
      </c>
      <c r="G261" t="s">
        <v>842</v>
      </c>
    </row>
    <row r="262" spans="1:7">
      <c r="A262" t="s">
        <v>841</v>
      </c>
      <c r="B262" s="115" t="s">
        <v>669</v>
      </c>
      <c r="C262">
        <v>8</v>
      </c>
      <c r="E262" s="3">
        <v>43509</v>
      </c>
      <c r="G262" t="s">
        <v>842</v>
      </c>
    </row>
    <row r="263" spans="1:7">
      <c r="A263" t="s">
        <v>841</v>
      </c>
      <c r="B263" s="115" t="s">
        <v>585</v>
      </c>
      <c r="C263">
        <v>1</v>
      </c>
      <c r="E263" s="3">
        <v>43509</v>
      </c>
      <c r="G263" t="s">
        <v>842</v>
      </c>
    </row>
    <row r="264" spans="1:7">
      <c r="A264" t="s">
        <v>841</v>
      </c>
      <c r="B264" s="115" t="s">
        <v>586</v>
      </c>
      <c r="C264">
        <v>3</v>
      </c>
      <c r="E264" s="3">
        <v>43509</v>
      </c>
      <c r="G264" t="s">
        <v>842</v>
      </c>
    </row>
    <row r="265" spans="1:7">
      <c r="A265" t="s">
        <v>841</v>
      </c>
      <c r="B265" s="115" t="s">
        <v>587</v>
      </c>
      <c r="C265">
        <v>2</v>
      </c>
      <c r="E265" s="3">
        <v>43509</v>
      </c>
      <c r="G265" t="s">
        <v>842</v>
      </c>
    </row>
    <row r="266" spans="1:7">
      <c r="A266" t="s">
        <v>841</v>
      </c>
      <c r="B266" s="115" t="s">
        <v>588</v>
      </c>
      <c r="C266">
        <v>2</v>
      </c>
      <c r="E266" s="3">
        <v>43509</v>
      </c>
      <c r="G266" t="s">
        <v>842</v>
      </c>
    </row>
    <row r="267" spans="1:7">
      <c r="A267" t="s">
        <v>841</v>
      </c>
      <c r="B267" s="115" t="s">
        <v>589</v>
      </c>
      <c r="C267">
        <v>2</v>
      </c>
      <c r="E267" s="3">
        <v>43509</v>
      </c>
      <c r="G267" t="s">
        <v>842</v>
      </c>
    </row>
    <row r="268" spans="1:7">
      <c r="A268" t="s">
        <v>841</v>
      </c>
      <c r="B268" s="115" t="s">
        <v>590</v>
      </c>
      <c r="C268">
        <v>3</v>
      </c>
      <c r="E268" s="3">
        <v>43509</v>
      </c>
      <c r="G268" t="s">
        <v>842</v>
      </c>
    </row>
    <row r="269" spans="1:7">
      <c r="A269" t="s">
        <v>841</v>
      </c>
      <c r="B269" s="115" t="s">
        <v>591</v>
      </c>
      <c r="C269">
        <v>5</v>
      </c>
      <c r="E269" s="3">
        <v>43509</v>
      </c>
      <c r="G269" t="s">
        <v>842</v>
      </c>
    </row>
    <row r="270" spans="1:7">
      <c r="A270" t="s">
        <v>841</v>
      </c>
      <c r="B270" s="115" t="s">
        <v>592</v>
      </c>
      <c r="C270">
        <v>3</v>
      </c>
      <c r="E270" s="3">
        <v>43509</v>
      </c>
      <c r="G270" t="s">
        <v>842</v>
      </c>
    </row>
    <row r="271" spans="1:7">
      <c r="A271" t="s">
        <v>841</v>
      </c>
      <c r="B271" s="115" t="s">
        <v>593</v>
      </c>
      <c r="C271">
        <v>3</v>
      </c>
      <c r="E271" s="3">
        <v>43509</v>
      </c>
      <c r="G271" t="s">
        <v>842</v>
      </c>
    </row>
    <row r="272" spans="1:7">
      <c r="A272" t="s">
        <v>841</v>
      </c>
      <c r="B272" s="115" t="s">
        <v>594</v>
      </c>
      <c r="C272">
        <v>1</v>
      </c>
      <c r="E272" s="3">
        <v>43509</v>
      </c>
      <c r="G272" t="s">
        <v>842</v>
      </c>
    </row>
    <row r="273" spans="1:7">
      <c r="A273" t="s">
        <v>841</v>
      </c>
      <c r="B273" s="115" t="s">
        <v>595</v>
      </c>
      <c r="C273">
        <v>31</v>
      </c>
      <c r="E273" s="3">
        <v>43509</v>
      </c>
      <c r="G273" t="s">
        <v>842</v>
      </c>
    </row>
    <row r="274" spans="1:7">
      <c r="A274" t="s">
        <v>841</v>
      </c>
      <c r="B274" s="115" t="s">
        <v>596</v>
      </c>
      <c r="C274">
        <v>27</v>
      </c>
      <c r="E274" s="3">
        <v>43509</v>
      </c>
      <c r="G274" t="s">
        <v>842</v>
      </c>
    </row>
    <row r="275" spans="1:7">
      <c r="A275" t="s">
        <v>841</v>
      </c>
      <c r="B275" s="115" t="s">
        <v>597</v>
      </c>
      <c r="C275">
        <v>1</v>
      </c>
      <c r="E275" s="3">
        <v>43509</v>
      </c>
      <c r="G275" t="s">
        <v>842</v>
      </c>
    </row>
    <row r="276" spans="1:7">
      <c r="A276" t="s">
        <v>841</v>
      </c>
      <c r="B276" s="115" t="s">
        <v>598</v>
      </c>
      <c r="C276">
        <v>2</v>
      </c>
      <c r="E276" s="3">
        <v>43509</v>
      </c>
      <c r="G276" t="s">
        <v>842</v>
      </c>
    </row>
    <row r="277" spans="1:7">
      <c r="A277" t="s">
        <v>841</v>
      </c>
      <c r="B277" s="115" t="s">
        <v>670</v>
      </c>
      <c r="C277">
        <v>9</v>
      </c>
      <c r="E277" s="3">
        <v>43509</v>
      </c>
      <c r="G277" t="s">
        <v>842</v>
      </c>
    </row>
    <row r="278" spans="1:7">
      <c r="A278" t="s">
        <v>841</v>
      </c>
      <c r="B278" s="115" t="s">
        <v>671</v>
      </c>
      <c r="C278">
        <v>15</v>
      </c>
      <c r="E278" s="3">
        <v>43509</v>
      </c>
      <c r="G278" t="s">
        <v>842</v>
      </c>
    </row>
    <row r="279" spans="1:7">
      <c r="A279" t="s">
        <v>841</v>
      </c>
      <c r="B279" s="115" t="s">
        <v>599</v>
      </c>
      <c r="C279">
        <v>3</v>
      </c>
      <c r="E279" s="3">
        <v>43509</v>
      </c>
      <c r="G279" t="s">
        <v>842</v>
      </c>
    </row>
    <row r="280" spans="1:7">
      <c r="A280" t="s">
        <v>841</v>
      </c>
      <c r="B280" s="115" t="s">
        <v>600</v>
      </c>
      <c r="C280">
        <v>2</v>
      </c>
      <c r="E280" s="3">
        <v>43509</v>
      </c>
      <c r="G280" t="s">
        <v>842</v>
      </c>
    </row>
    <row r="281" spans="1:7">
      <c r="A281" t="s">
        <v>841</v>
      </c>
      <c r="B281" s="115" t="s">
        <v>601</v>
      </c>
      <c r="C281">
        <v>3</v>
      </c>
      <c r="E281" s="3">
        <v>43509</v>
      </c>
      <c r="G281" t="s">
        <v>842</v>
      </c>
    </row>
    <row r="282" spans="1:7">
      <c r="A282" t="s">
        <v>841</v>
      </c>
      <c r="B282" s="115" t="s">
        <v>602</v>
      </c>
      <c r="C282">
        <v>2</v>
      </c>
      <c r="E282" s="3">
        <v>43509</v>
      </c>
      <c r="G282" t="s">
        <v>842</v>
      </c>
    </row>
    <row r="283" spans="1:7">
      <c r="A283" t="s">
        <v>841</v>
      </c>
      <c r="B283" s="115" t="s">
        <v>603</v>
      </c>
      <c r="C283">
        <v>1</v>
      </c>
      <c r="E283" s="3">
        <v>43509</v>
      </c>
      <c r="G283" t="s">
        <v>842</v>
      </c>
    </row>
    <row r="284" spans="1:7">
      <c r="A284" t="s">
        <v>841</v>
      </c>
      <c r="B284" s="115" t="s">
        <v>604</v>
      </c>
      <c r="C284">
        <v>2</v>
      </c>
      <c r="E284" s="3">
        <v>43509</v>
      </c>
      <c r="G284" t="s">
        <v>842</v>
      </c>
    </row>
    <row r="285" spans="1:7">
      <c r="A285" t="s">
        <v>841</v>
      </c>
      <c r="B285" s="115" t="s">
        <v>605</v>
      </c>
      <c r="C285">
        <v>2</v>
      </c>
      <c r="E285" s="3">
        <v>43509</v>
      </c>
      <c r="G285" t="s">
        <v>842</v>
      </c>
    </row>
    <row r="286" spans="1:7">
      <c r="A286" t="s">
        <v>841</v>
      </c>
      <c r="B286" s="115" t="s">
        <v>606</v>
      </c>
      <c r="C286">
        <v>3</v>
      </c>
      <c r="E286" s="3">
        <v>43509</v>
      </c>
      <c r="G286" t="s">
        <v>842</v>
      </c>
    </row>
    <row r="287" spans="1:7">
      <c r="A287" t="s">
        <v>841</v>
      </c>
      <c r="B287" s="115" t="s">
        <v>672</v>
      </c>
      <c r="C287">
        <v>22</v>
      </c>
      <c r="E287" s="3">
        <v>43509</v>
      </c>
      <c r="G287" t="s">
        <v>842</v>
      </c>
    </row>
    <row r="288" spans="1:7">
      <c r="A288" t="s">
        <v>841</v>
      </c>
      <c r="B288" s="115" t="s">
        <v>673</v>
      </c>
      <c r="C288">
        <v>30</v>
      </c>
      <c r="E288" s="3">
        <v>43509</v>
      </c>
      <c r="G288" t="s">
        <v>842</v>
      </c>
    </row>
    <row r="289" spans="1:7">
      <c r="A289" t="s">
        <v>841</v>
      </c>
      <c r="B289" s="115" t="s">
        <v>607</v>
      </c>
      <c r="C289">
        <v>3</v>
      </c>
      <c r="E289" s="3">
        <v>43509</v>
      </c>
      <c r="G289" t="s">
        <v>842</v>
      </c>
    </row>
    <row r="290" spans="1:7">
      <c r="A290" t="s">
        <v>841</v>
      </c>
      <c r="B290" s="115" t="s">
        <v>608</v>
      </c>
      <c r="C290">
        <v>10</v>
      </c>
      <c r="E290" s="3">
        <v>43509</v>
      </c>
      <c r="G290" t="s">
        <v>842</v>
      </c>
    </row>
    <row r="291" spans="1:7">
      <c r="A291" t="s">
        <v>841</v>
      </c>
      <c r="B291" s="115" t="s">
        <v>609</v>
      </c>
      <c r="C291">
        <v>2</v>
      </c>
      <c r="E291" s="3">
        <v>43509</v>
      </c>
      <c r="G291" t="s">
        <v>842</v>
      </c>
    </row>
    <row r="292" spans="1:7">
      <c r="A292" t="s">
        <v>841</v>
      </c>
      <c r="B292" s="115" t="s">
        <v>610</v>
      </c>
      <c r="C292">
        <v>3</v>
      </c>
      <c r="E292" s="3">
        <v>43509</v>
      </c>
      <c r="G292" t="s">
        <v>842</v>
      </c>
    </row>
    <row r="293" spans="1:7">
      <c r="A293" t="s">
        <v>841</v>
      </c>
      <c r="B293" s="115" t="s">
        <v>611</v>
      </c>
      <c r="C293">
        <v>2</v>
      </c>
      <c r="E293" s="3">
        <v>43509</v>
      </c>
      <c r="G293" t="s">
        <v>842</v>
      </c>
    </row>
    <row r="294" spans="1:7">
      <c r="A294" t="s">
        <v>841</v>
      </c>
      <c r="B294" s="115" t="s">
        <v>612</v>
      </c>
      <c r="C294">
        <v>2</v>
      </c>
      <c r="E294" s="3">
        <v>43509</v>
      </c>
      <c r="G294" t="s">
        <v>842</v>
      </c>
    </row>
    <row r="295" spans="1:7">
      <c r="A295" t="s">
        <v>841</v>
      </c>
      <c r="B295" s="115" t="s">
        <v>676</v>
      </c>
      <c r="C295">
        <v>2</v>
      </c>
      <c r="E295" s="3">
        <v>43509</v>
      </c>
      <c r="G295" t="s">
        <v>842</v>
      </c>
    </row>
    <row r="296" spans="1:7">
      <c r="A296" t="s">
        <v>841</v>
      </c>
      <c r="B296" s="115" t="s">
        <v>674</v>
      </c>
      <c r="C296">
        <v>1</v>
      </c>
      <c r="E296" s="3">
        <v>43509</v>
      </c>
      <c r="G296" t="s">
        <v>842</v>
      </c>
    </row>
    <row r="297" spans="1:7">
      <c r="A297" t="s">
        <v>841</v>
      </c>
      <c r="B297" s="115" t="s">
        <v>613</v>
      </c>
      <c r="C297">
        <v>4</v>
      </c>
      <c r="E297" s="3">
        <v>43509</v>
      </c>
      <c r="G297" t="s">
        <v>842</v>
      </c>
    </row>
    <row r="298" spans="1:7">
      <c r="A298" t="s">
        <v>841</v>
      </c>
      <c r="B298" s="115" t="s">
        <v>614</v>
      </c>
      <c r="C298">
        <v>2</v>
      </c>
      <c r="E298" s="3">
        <v>43509</v>
      </c>
      <c r="G298" t="s">
        <v>842</v>
      </c>
    </row>
    <row r="299" spans="1:7">
      <c r="A299" t="s">
        <v>841</v>
      </c>
      <c r="B299" s="115" t="s">
        <v>615</v>
      </c>
      <c r="C299">
        <v>2</v>
      </c>
      <c r="E299" s="3">
        <v>43509</v>
      </c>
      <c r="G299" t="s">
        <v>842</v>
      </c>
    </row>
    <row r="300" spans="1:7">
      <c r="A300" t="s">
        <v>841</v>
      </c>
      <c r="B300" s="115" t="s">
        <v>616</v>
      </c>
      <c r="C300">
        <v>2</v>
      </c>
      <c r="E300" s="3">
        <v>43509</v>
      </c>
      <c r="G300" t="s">
        <v>842</v>
      </c>
    </row>
    <row r="301" spans="1:7">
      <c r="A301" t="s">
        <v>841</v>
      </c>
      <c r="B301" s="115" t="s">
        <v>617</v>
      </c>
      <c r="C301">
        <v>16</v>
      </c>
      <c r="E301" s="3">
        <v>43509</v>
      </c>
      <c r="G301" t="s">
        <v>842</v>
      </c>
    </row>
    <row r="302" spans="1:7">
      <c r="A302" t="s">
        <v>841</v>
      </c>
      <c r="B302" s="115" t="s">
        <v>618</v>
      </c>
      <c r="C302">
        <v>14</v>
      </c>
      <c r="E302" s="3">
        <v>43509</v>
      </c>
      <c r="G302" t="s">
        <v>842</v>
      </c>
    </row>
    <row r="303" spans="1:7">
      <c r="A303" t="s">
        <v>841</v>
      </c>
      <c r="B303" s="115" t="s">
        <v>619</v>
      </c>
      <c r="C303">
        <v>5</v>
      </c>
      <c r="E303" s="3">
        <v>43509</v>
      </c>
      <c r="G303" t="s">
        <v>842</v>
      </c>
    </row>
    <row r="304" spans="1:7">
      <c r="A304" t="s">
        <v>841</v>
      </c>
      <c r="B304" s="115" t="s">
        <v>620</v>
      </c>
      <c r="C304">
        <v>15</v>
      </c>
      <c r="E304" s="3">
        <v>43509</v>
      </c>
      <c r="G304" t="s">
        <v>842</v>
      </c>
    </row>
    <row r="305" spans="1:7">
      <c r="A305" t="s">
        <v>841</v>
      </c>
      <c r="B305" s="115" t="s">
        <v>621</v>
      </c>
      <c r="C305">
        <v>1</v>
      </c>
      <c r="E305" s="3">
        <v>43509</v>
      </c>
      <c r="G305" t="s">
        <v>842</v>
      </c>
    </row>
    <row r="306" spans="1:7">
      <c r="A306" t="s">
        <v>841</v>
      </c>
      <c r="B306" s="115" t="s">
        <v>622</v>
      </c>
      <c r="C306">
        <v>2</v>
      </c>
      <c r="E306" s="3">
        <v>43509</v>
      </c>
      <c r="G306" t="s">
        <v>842</v>
      </c>
    </row>
    <row r="307" spans="1:7">
      <c r="A307" t="s">
        <v>841</v>
      </c>
      <c r="B307" s="115" t="s">
        <v>623</v>
      </c>
      <c r="C307">
        <v>2</v>
      </c>
      <c r="E307" s="3">
        <v>43509</v>
      </c>
      <c r="G307" t="s">
        <v>842</v>
      </c>
    </row>
    <row r="308" spans="1:7">
      <c r="A308" t="s">
        <v>841</v>
      </c>
      <c r="B308" s="115" t="s">
        <v>624</v>
      </c>
      <c r="C308">
        <v>4</v>
      </c>
      <c r="E308" s="3">
        <v>43509</v>
      </c>
      <c r="G308" t="s">
        <v>842</v>
      </c>
    </row>
    <row r="309" spans="1:7">
      <c r="A309" t="s">
        <v>841</v>
      </c>
      <c r="B309" s="115" t="s">
        <v>625</v>
      </c>
      <c r="C309">
        <v>2</v>
      </c>
      <c r="E309" s="3">
        <v>43509</v>
      </c>
      <c r="G309" t="s">
        <v>842</v>
      </c>
    </row>
    <row r="310" spans="1:7">
      <c r="A310" t="s">
        <v>841</v>
      </c>
      <c r="B310" s="115" t="s">
        <v>626</v>
      </c>
      <c r="C310">
        <v>2</v>
      </c>
      <c r="E310" s="3">
        <v>43509</v>
      </c>
      <c r="G310" t="s">
        <v>842</v>
      </c>
    </row>
    <row r="311" spans="1:7">
      <c r="A311" t="s">
        <v>841</v>
      </c>
      <c r="B311" s="115" t="s">
        <v>691</v>
      </c>
      <c r="C311">
        <v>2</v>
      </c>
      <c r="E311" s="3">
        <v>43509</v>
      </c>
      <c r="G311" t="s">
        <v>842</v>
      </c>
    </row>
    <row r="312" spans="1:7">
      <c r="A312" t="s">
        <v>841</v>
      </c>
      <c r="B312" s="115" t="s">
        <v>692</v>
      </c>
      <c r="C312">
        <v>2</v>
      </c>
      <c r="E312" s="3">
        <v>43509</v>
      </c>
      <c r="G312" t="s">
        <v>842</v>
      </c>
    </row>
    <row r="313" spans="1:7">
      <c r="A313" t="s">
        <v>841</v>
      </c>
      <c r="B313" s="115" t="s">
        <v>392</v>
      </c>
      <c r="C313">
        <v>1</v>
      </c>
      <c r="E313" s="3">
        <v>43509</v>
      </c>
      <c r="G313" t="s">
        <v>842</v>
      </c>
    </row>
    <row r="314" spans="1:7">
      <c r="A314" t="s">
        <v>841</v>
      </c>
      <c r="B314" s="115" t="s">
        <v>423</v>
      </c>
      <c r="C314">
        <v>2</v>
      </c>
      <c r="E314" s="3">
        <v>43509</v>
      </c>
      <c r="G314" t="s">
        <v>842</v>
      </c>
    </row>
    <row r="315" spans="1:7">
      <c r="A315" t="s">
        <v>841</v>
      </c>
      <c r="B315" s="115" t="s">
        <v>393</v>
      </c>
      <c r="C315">
        <v>45</v>
      </c>
      <c r="E315" s="3">
        <v>43509</v>
      </c>
      <c r="G315" t="s">
        <v>842</v>
      </c>
    </row>
    <row r="316" spans="1:7">
      <c r="A316" t="s">
        <v>841</v>
      </c>
      <c r="B316" s="115" t="s">
        <v>424</v>
      </c>
      <c r="C316">
        <v>22</v>
      </c>
      <c r="E316" s="3">
        <v>43509</v>
      </c>
      <c r="G316" t="s">
        <v>842</v>
      </c>
    </row>
    <row r="317" spans="1:7">
      <c r="A317" t="s">
        <v>841</v>
      </c>
      <c r="B317" s="115" t="s">
        <v>394</v>
      </c>
      <c r="C317">
        <v>3</v>
      </c>
      <c r="E317" s="3">
        <v>43509</v>
      </c>
      <c r="G317" t="s">
        <v>842</v>
      </c>
    </row>
    <row r="318" spans="1:7">
      <c r="A318" t="s">
        <v>841</v>
      </c>
      <c r="B318" s="115" t="s">
        <v>425</v>
      </c>
      <c r="C318">
        <v>3</v>
      </c>
      <c r="E318" s="3">
        <v>43509</v>
      </c>
      <c r="G318" t="s">
        <v>842</v>
      </c>
    </row>
    <row r="319" spans="1:7">
      <c r="A319" t="s">
        <v>841</v>
      </c>
      <c r="B319" s="115" t="s">
        <v>395</v>
      </c>
      <c r="C319">
        <v>13</v>
      </c>
      <c r="E319" s="3">
        <v>43509</v>
      </c>
      <c r="G319" t="s">
        <v>842</v>
      </c>
    </row>
    <row r="320" spans="1:7">
      <c r="A320" t="s">
        <v>841</v>
      </c>
      <c r="B320" s="115" t="s">
        <v>426</v>
      </c>
      <c r="C320">
        <v>21</v>
      </c>
      <c r="E320" s="3">
        <v>43509</v>
      </c>
      <c r="G320" t="s">
        <v>842</v>
      </c>
    </row>
    <row r="321" spans="1:7">
      <c r="A321" t="s">
        <v>841</v>
      </c>
      <c r="B321" s="115" t="s">
        <v>396</v>
      </c>
      <c r="C321">
        <v>2</v>
      </c>
      <c r="E321" s="3">
        <v>43509</v>
      </c>
      <c r="G321" t="s">
        <v>842</v>
      </c>
    </row>
    <row r="322" spans="1:7">
      <c r="A322" t="s">
        <v>841</v>
      </c>
      <c r="B322" s="115" t="s">
        <v>427</v>
      </c>
      <c r="C322">
        <v>3</v>
      </c>
      <c r="E322" s="3">
        <v>43509</v>
      </c>
      <c r="G322" t="s">
        <v>842</v>
      </c>
    </row>
    <row r="323" spans="1:7">
      <c r="A323" t="s">
        <v>841</v>
      </c>
      <c r="B323" s="115" t="s">
        <v>397</v>
      </c>
      <c r="C323">
        <v>26</v>
      </c>
      <c r="E323" s="3">
        <v>43509</v>
      </c>
      <c r="G323" t="s">
        <v>842</v>
      </c>
    </row>
    <row r="324" spans="1:7">
      <c r="A324" t="s">
        <v>841</v>
      </c>
      <c r="B324" s="115" t="s">
        <v>428</v>
      </c>
      <c r="C324">
        <v>20</v>
      </c>
      <c r="E324" s="3">
        <v>43509</v>
      </c>
      <c r="G324" t="s">
        <v>842</v>
      </c>
    </row>
    <row r="325" spans="1:7">
      <c r="A325" t="s">
        <v>841</v>
      </c>
      <c r="B325" s="115" t="s">
        <v>398</v>
      </c>
      <c r="C325">
        <v>2</v>
      </c>
      <c r="E325" s="3">
        <v>43509</v>
      </c>
      <c r="G325" t="s">
        <v>842</v>
      </c>
    </row>
    <row r="326" spans="1:7">
      <c r="A326" t="s">
        <v>841</v>
      </c>
      <c r="B326" s="115" t="s">
        <v>429</v>
      </c>
      <c r="C326">
        <v>2</v>
      </c>
      <c r="E326" s="3">
        <v>43509</v>
      </c>
      <c r="G326" t="s">
        <v>842</v>
      </c>
    </row>
    <row r="327" spans="1:7">
      <c r="A327" t="s">
        <v>841</v>
      </c>
      <c r="B327" s="115" t="s">
        <v>399</v>
      </c>
      <c r="C327">
        <v>23</v>
      </c>
      <c r="E327" s="3">
        <v>43509</v>
      </c>
      <c r="G327" t="s">
        <v>842</v>
      </c>
    </row>
    <row r="328" spans="1:7">
      <c r="A328" t="s">
        <v>841</v>
      </c>
      <c r="B328" s="115" t="s">
        <v>430</v>
      </c>
      <c r="C328">
        <v>38</v>
      </c>
      <c r="E328" s="3">
        <v>43509</v>
      </c>
      <c r="G328" t="s">
        <v>842</v>
      </c>
    </row>
    <row r="329" spans="1:7">
      <c r="A329" t="s">
        <v>841</v>
      </c>
      <c r="B329" s="115" t="s">
        <v>400</v>
      </c>
      <c r="C329">
        <v>4</v>
      </c>
      <c r="E329" s="3">
        <v>43509</v>
      </c>
      <c r="G329" t="s">
        <v>842</v>
      </c>
    </row>
    <row r="330" spans="1:7">
      <c r="A330" t="s">
        <v>841</v>
      </c>
      <c r="B330" s="115" t="s">
        <v>431</v>
      </c>
      <c r="C330">
        <v>1</v>
      </c>
      <c r="E330" s="3">
        <v>43509</v>
      </c>
      <c r="G330" t="s">
        <v>842</v>
      </c>
    </row>
    <row r="331" spans="1:7">
      <c r="A331" t="s">
        <v>841</v>
      </c>
      <c r="B331" s="115" t="s">
        <v>401</v>
      </c>
      <c r="C331">
        <v>45</v>
      </c>
      <c r="E331" s="3">
        <v>43509</v>
      </c>
      <c r="G331" t="s">
        <v>842</v>
      </c>
    </row>
    <row r="332" spans="1:7">
      <c r="A332" t="s">
        <v>841</v>
      </c>
      <c r="B332" s="115" t="s">
        <v>432</v>
      </c>
      <c r="C332">
        <v>15</v>
      </c>
      <c r="E332" s="3">
        <v>43509</v>
      </c>
      <c r="G332" t="s">
        <v>842</v>
      </c>
    </row>
    <row r="333" spans="1:7">
      <c r="A333" t="s">
        <v>841</v>
      </c>
      <c r="B333" s="115" t="s">
        <v>402</v>
      </c>
      <c r="C333">
        <v>56</v>
      </c>
      <c r="E333" s="3">
        <v>43509</v>
      </c>
      <c r="G333" t="s">
        <v>842</v>
      </c>
    </row>
    <row r="334" spans="1:7">
      <c r="A334" t="s">
        <v>841</v>
      </c>
      <c r="B334" s="115" t="s">
        <v>433</v>
      </c>
      <c r="C334">
        <v>24</v>
      </c>
      <c r="E334" s="3">
        <v>43509</v>
      </c>
      <c r="G334" t="s">
        <v>842</v>
      </c>
    </row>
    <row r="335" spans="1:7">
      <c r="A335" t="s">
        <v>841</v>
      </c>
      <c r="B335" s="115" t="s">
        <v>403</v>
      </c>
      <c r="C335">
        <v>1</v>
      </c>
      <c r="E335" s="3">
        <v>43509</v>
      </c>
      <c r="G335" t="s">
        <v>842</v>
      </c>
    </row>
    <row r="336" spans="1:7">
      <c r="A336" t="s">
        <v>841</v>
      </c>
      <c r="B336" s="115" t="s">
        <v>675</v>
      </c>
      <c r="C336">
        <v>1</v>
      </c>
      <c r="E336" s="3">
        <v>43509</v>
      </c>
      <c r="G336" t="s">
        <v>842</v>
      </c>
    </row>
    <row r="337" spans="1:7">
      <c r="A337" t="s">
        <v>841</v>
      </c>
      <c r="B337" s="115" t="s">
        <v>404</v>
      </c>
      <c r="C337">
        <v>5</v>
      </c>
      <c r="E337" s="3">
        <v>43509</v>
      </c>
      <c r="G337" t="s">
        <v>842</v>
      </c>
    </row>
    <row r="338" spans="1:7">
      <c r="A338" t="s">
        <v>841</v>
      </c>
      <c r="B338" s="115" t="s">
        <v>434</v>
      </c>
      <c r="C338">
        <v>6</v>
      </c>
      <c r="E338" s="3">
        <v>43509</v>
      </c>
      <c r="G338" t="s">
        <v>842</v>
      </c>
    </row>
    <row r="339" spans="1:7">
      <c r="A339" t="s">
        <v>841</v>
      </c>
      <c r="B339" s="115" t="s">
        <v>405</v>
      </c>
      <c r="C339">
        <v>21</v>
      </c>
      <c r="E339" s="3">
        <v>43509</v>
      </c>
      <c r="G339" t="s">
        <v>842</v>
      </c>
    </row>
    <row r="340" spans="1:7">
      <c r="A340" t="s">
        <v>841</v>
      </c>
      <c r="B340" s="115" t="s">
        <v>435</v>
      </c>
      <c r="C340">
        <v>24</v>
      </c>
      <c r="E340" s="3">
        <v>43509</v>
      </c>
      <c r="G340" t="s">
        <v>842</v>
      </c>
    </row>
    <row r="341" spans="1:7">
      <c r="A341" t="s">
        <v>841</v>
      </c>
      <c r="B341" s="115" t="s">
        <v>406</v>
      </c>
      <c r="C341">
        <v>2</v>
      </c>
      <c r="E341" s="3">
        <v>43509</v>
      </c>
      <c r="G341" t="s">
        <v>842</v>
      </c>
    </row>
    <row r="342" spans="1:7">
      <c r="A342" t="s">
        <v>841</v>
      </c>
      <c r="B342" s="115" t="s">
        <v>436</v>
      </c>
      <c r="C342">
        <v>2</v>
      </c>
      <c r="E342" s="3">
        <v>43509</v>
      </c>
      <c r="G342" t="s">
        <v>842</v>
      </c>
    </row>
    <row r="343" spans="1:7">
      <c r="A343" t="s">
        <v>841</v>
      </c>
      <c r="B343" s="115" t="s">
        <v>407</v>
      </c>
      <c r="C343">
        <v>29</v>
      </c>
      <c r="E343" s="3">
        <v>43509</v>
      </c>
      <c r="G343" t="s">
        <v>842</v>
      </c>
    </row>
    <row r="344" spans="1:7">
      <c r="A344" t="s">
        <v>841</v>
      </c>
      <c r="B344" s="115" t="s">
        <v>437</v>
      </c>
      <c r="C344">
        <v>26</v>
      </c>
      <c r="E344" s="3">
        <v>43509</v>
      </c>
      <c r="G344" t="s">
        <v>842</v>
      </c>
    </row>
    <row r="345" spans="1:7">
      <c r="A345" t="s">
        <v>841</v>
      </c>
      <c r="B345" s="115" t="s">
        <v>408</v>
      </c>
      <c r="C345">
        <v>2</v>
      </c>
      <c r="E345" s="3">
        <v>43509</v>
      </c>
      <c r="G345" t="s">
        <v>842</v>
      </c>
    </row>
    <row r="346" spans="1:7">
      <c r="A346" t="s">
        <v>841</v>
      </c>
      <c r="B346" s="115" t="s">
        <v>438</v>
      </c>
      <c r="C346">
        <v>5</v>
      </c>
      <c r="E346" s="3">
        <v>43509</v>
      </c>
      <c r="G346" t="s">
        <v>842</v>
      </c>
    </row>
    <row r="347" spans="1:7">
      <c r="A347" t="s">
        <v>841</v>
      </c>
      <c r="B347" s="115" t="s">
        <v>694</v>
      </c>
      <c r="C347">
        <v>4</v>
      </c>
      <c r="E347" s="3">
        <v>43509</v>
      </c>
      <c r="G347" t="s">
        <v>842</v>
      </c>
    </row>
    <row r="348" spans="1:7">
      <c r="A348" t="s">
        <v>841</v>
      </c>
      <c r="B348" s="115" t="s">
        <v>536</v>
      </c>
      <c r="C348">
        <v>4</v>
      </c>
      <c r="E348" s="3">
        <v>43509</v>
      </c>
      <c r="G348" t="s">
        <v>842</v>
      </c>
    </row>
    <row r="349" spans="1:7">
      <c r="A349" t="s">
        <v>841</v>
      </c>
      <c r="B349" s="115" t="s">
        <v>533</v>
      </c>
      <c r="C349">
        <v>0</v>
      </c>
      <c r="E349" s="3">
        <v>43509</v>
      </c>
      <c r="G349" t="s">
        <v>842</v>
      </c>
    </row>
    <row r="350" spans="1:7">
      <c r="A350" t="s">
        <v>841</v>
      </c>
      <c r="B350" s="115" t="s">
        <v>439</v>
      </c>
      <c r="C350">
        <v>0</v>
      </c>
      <c r="E350" s="3">
        <v>43509</v>
      </c>
      <c r="G350" t="s">
        <v>842</v>
      </c>
    </row>
    <row r="351" spans="1:7">
      <c r="A351" t="s">
        <v>841</v>
      </c>
      <c r="B351" s="115" t="s">
        <v>534</v>
      </c>
      <c r="C351">
        <v>3</v>
      </c>
      <c r="E351" s="3">
        <v>43509</v>
      </c>
      <c r="G351" t="s">
        <v>842</v>
      </c>
    </row>
    <row r="352" spans="1:7">
      <c r="A352" t="s">
        <v>841</v>
      </c>
      <c r="B352" s="115" t="s">
        <v>440</v>
      </c>
      <c r="C352">
        <v>2</v>
      </c>
      <c r="E352" s="3">
        <v>43509</v>
      </c>
      <c r="G352" t="s">
        <v>842</v>
      </c>
    </row>
    <row r="353" spans="1:7">
      <c r="A353" t="s">
        <v>841</v>
      </c>
      <c r="B353" s="115" t="s">
        <v>409</v>
      </c>
      <c r="C353">
        <v>29</v>
      </c>
      <c r="E353" s="3">
        <v>43509</v>
      </c>
      <c r="G353" t="s">
        <v>842</v>
      </c>
    </row>
    <row r="354" spans="1:7">
      <c r="A354" t="s">
        <v>841</v>
      </c>
      <c r="B354" s="115" t="s">
        <v>441</v>
      </c>
      <c r="C354">
        <v>24</v>
      </c>
      <c r="E354" s="3">
        <v>43509</v>
      </c>
      <c r="G354" t="s">
        <v>842</v>
      </c>
    </row>
    <row r="355" spans="1:7">
      <c r="A355" t="s">
        <v>841</v>
      </c>
      <c r="B355" s="115" t="s">
        <v>410</v>
      </c>
      <c r="C355">
        <v>46</v>
      </c>
      <c r="E355" s="3">
        <v>43509</v>
      </c>
      <c r="G355" t="s">
        <v>842</v>
      </c>
    </row>
    <row r="356" spans="1:7">
      <c r="A356" t="s">
        <v>841</v>
      </c>
      <c r="B356" s="115" t="s">
        <v>442</v>
      </c>
      <c r="C356">
        <v>6</v>
      </c>
      <c r="E356" s="3">
        <v>43509</v>
      </c>
      <c r="G356" t="s">
        <v>842</v>
      </c>
    </row>
    <row r="357" spans="1:7">
      <c r="A357" t="s">
        <v>841</v>
      </c>
      <c r="B357" s="115" t="s">
        <v>687</v>
      </c>
      <c r="C357">
        <v>3</v>
      </c>
      <c r="E357" s="3">
        <v>43509</v>
      </c>
      <c r="G357" t="s">
        <v>842</v>
      </c>
    </row>
    <row r="358" spans="1:7">
      <c r="A358" t="s">
        <v>841</v>
      </c>
      <c r="B358" s="115" t="s">
        <v>537</v>
      </c>
      <c r="C358">
        <v>3</v>
      </c>
      <c r="E358" s="3">
        <v>43509</v>
      </c>
      <c r="G358" t="s">
        <v>842</v>
      </c>
    </row>
    <row r="359" spans="1:7">
      <c r="A359" t="s">
        <v>841</v>
      </c>
      <c r="B359" s="115" t="s">
        <v>411</v>
      </c>
      <c r="C359">
        <v>71</v>
      </c>
      <c r="E359" s="3">
        <v>43509</v>
      </c>
      <c r="G359" t="s">
        <v>842</v>
      </c>
    </row>
    <row r="360" spans="1:7">
      <c r="A360" t="s">
        <v>841</v>
      </c>
      <c r="B360" s="115" t="s">
        <v>443</v>
      </c>
      <c r="C360">
        <v>9</v>
      </c>
      <c r="E360" s="3">
        <v>43509</v>
      </c>
      <c r="G360" t="s">
        <v>842</v>
      </c>
    </row>
    <row r="361" spans="1:7">
      <c r="A361" t="s">
        <v>841</v>
      </c>
      <c r="B361" s="115" t="s">
        <v>412</v>
      </c>
      <c r="C361">
        <v>37</v>
      </c>
      <c r="E361" s="3">
        <v>43509</v>
      </c>
      <c r="G361" t="s">
        <v>842</v>
      </c>
    </row>
    <row r="362" spans="1:7">
      <c r="A362" t="s">
        <v>841</v>
      </c>
      <c r="B362" s="115" t="s">
        <v>444</v>
      </c>
      <c r="C362">
        <v>57</v>
      </c>
      <c r="E362" s="3">
        <v>43509</v>
      </c>
      <c r="G362" t="s">
        <v>842</v>
      </c>
    </row>
    <row r="363" spans="1:7">
      <c r="A363" t="s">
        <v>841</v>
      </c>
      <c r="B363" s="115" t="s">
        <v>413</v>
      </c>
      <c r="C363">
        <v>6</v>
      </c>
      <c r="E363" s="3">
        <v>43509</v>
      </c>
      <c r="G363" t="s">
        <v>842</v>
      </c>
    </row>
    <row r="364" spans="1:7">
      <c r="A364" t="s">
        <v>841</v>
      </c>
      <c r="B364" s="115" t="s">
        <v>445</v>
      </c>
      <c r="C364">
        <v>6</v>
      </c>
      <c r="E364" s="3">
        <v>43509</v>
      </c>
      <c r="G364" t="s">
        <v>842</v>
      </c>
    </row>
    <row r="365" spans="1:7">
      <c r="A365" t="s">
        <v>841</v>
      </c>
      <c r="B365" s="115" t="s">
        <v>686</v>
      </c>
      <c r="C365">
        <v>2</v>
      </c>
      <c r="E365" s="3">
        <v>43509</v>
      </c>
      <c r="G365" t="s">
        <v>842</v>
      </c>
    </row>
    <row r="366" spans="1:7">
      <c r="A366" t="s">
        <v>841</v>
      </c>
      <c r="B366" s="115" t="s">
        <v>693</v>
      </c>
      <c r="C366">
        <v>2</v>
      </c>
      <c r="E366" s="3">
        <v>43509</v>
      </c>
      <c r="G366" t="s">
        <v>842</v>
      </c>
    </row>
    <row r="367" spans="1:7">
      <c r="A367" t="s">
        <v>841</v>
      </c>
      <c r="B367" s="115" t="s">
        <v>414</v>
      </c>
      <c r="C367">
        <v>17</v>
      </c>
      <c r="E367" s="3">
        <v>43509</v>
      </c>
      <c r="G367" t="s">
        <v>842</v>
      </c>
    </row>
    <row r="368" spans="1:7">
      <c r="A368" t="s">
        <v>841</v>
      </c>
      <c r="B368" s="115" t="s">
        <v>446</v>
      </c>
      <c r="C368">
        <v>26</v>
      </c>
      <c r="E368" s="3">
        <v>43509</v>
      </c>
      <c r="G368" t="s">
        <v>842</v>
      </c>
    </row>
    <row r="369" spans="1:7">
      <c r="A369" t="s">
        <v>841</v>
      </c>
      <c r="B369" s="115" t="s">
        <v>415</v>
      </c>
      <c r="C369">
        <v>2</v>
      </c>
      <c r="E369" s="3">
        <v>43509</v>
      </c>
      <c r="G369" t="s">
        <v>842</v>
      </c>
    </row>
    <row r="370" spans="1:7">
      <c r="A370" t="s">
        <v>841</v>
      </c>
      <c r="B370" s="115" t="s">
        <v>447</v>
      </c>
      <c r="C370">
        <v>5</v>
      </c>
      <c r="E370" s="3">
        <v>43509</v>
      </c>
      <c r="G370" t="s">
        <v>842</v>
      </c>
    </row>
    <row r="371" spans="1:7">
      <c r="A371" t="s">
        <v>841</v>
      </c>
      <c r="B371" s="115" t="s">
        <v>416</v>
      </c>
      <c r="C371">
        <v>44</v>
      </c>
      <c r="E371" s="3">
        <v>43509</v>
      </c>
      <c r="G371" t="s">
        <v>842</v>
      </c>
    </row>
    <row r="372" spans="1:7">
      <c r="A372" t="s">
        <v>841</v>
      </c>
      <c r="B372" s="115" t="s">
        <v>448</v>
      </c>
      <c r="C372">
        <v>9</v>
      </c>
      <c r="E372" s="3">
        <v>43509</v>
      </c>
      <c r="G372" t="s">
        <v>842</v>
      </c>
    </row>
    <row r="373" spans="1:7">
      <c r="A373" t="s">
        <v>841</v>
      </c>
      <c r="B373" s="115" t="s">
        <v>417</v>
      </c>
      <c r="C373">
        <v>41</v>
      </c>
      <c r="E373" s="3">
        <v>43509</v>
      </c>
      <c r="G373" t="s">
        <v>842</v>
      </c>
    </row>
    <row r="374" spans="1:7">
      <c r="A374" t="s">
        <v>841</v>
      </c>
      <c r="B374" s="115" t="s">
        <v>449</v>
      </c>
      <c r="C374">
        <v>13</v>
      </c>
      <c r="E374" s="3">
        <v>43509</v>
      </c>
      <c r="G374" t="s">
        <v>842</v>
      </c>
    </row>
    <row r="375" spans="1:7">
      <c r="A375" t="s">
        <v>841</v>
      </c>
      <c r="B375" s="115" t="s">
        <v>688</v>
      </c>
      <c r="C375">
        <v>26</v>
      </c>
      <c r="E375" s="3">
        <v>43509</v>
      </c>
      <c r="G375" t="s">
        <v>842</v>
      </c>
    </row>
    <row r="376" spans="1:7">
      <c r="A376" t="s">
        <v>841</v>
      </c>
      <c r="B376" s="115" t="s">
        <v>682</v>
      </c>
      <c r="C376">
        <v>8</v>
      </c>
      <c r="E376" s="3">
        <v>43509</v>
      </c>
      <c r="G376" t="s">
        <v>842</v>
      </c>
    </row>
    <row r="377" spans="1:7">
      <c r="A377" t="s">
        <v>841</v>
      </c>
      <c r="B377" s="115" t="s">
        <v>418</v>
      </c>
      <c r="C377">
        <v>63</v>
      </c>
      <c r="E377" s="3">
        <v>43509</v>
      </c>
      <c r="G377" t="s">
        <v>842</v>
      </c>
    </row>
    <row r="378" spans="1:7">
      <c r="A378" t="s">
        <v>841</v>
      </c>
      <c r="B378" s="115" t="s">
        <v>450</v>
      </c>
      <c r="C378">
        <v>15</v>
      </c>
      <c r="E378" s="3">
        <v>43509</v>
      </c>
      <c r="G378" t="s">
        <v>842</v>
      </c>
    </row>
    <row r="379" spans="1:7">
      <c r="A379" t="s">
        <v>841</v>
      </c>
      <c r="B379" s="115" t="s">
        <v>684</v>
      </c>
      <c r="C379">
        <v>4</v>
      </c>
      <c r="E379" s="3">
        <v>43509</v>
      </c>
      <c r="G379" t="s">
        <v>842</v>
      </c>
    </row>
    <row r="380" spans="1:7">
      <c r="A380" t="s">
        <v>841</v>
      </c>
      <c r="B380" s="115" t="s">
        <v>683</v>
      </c>
      <c r="C380">
        <v>5</v>
      </c>
      <c r="E380" s="3">
        <v>43509</v>
      </c>
      <c r="G380" t="s">
        <v>842</v>
      </c>
    </row>
    <row r="381" spans="1:7">
      <c r="A381" t="s">
        <v>841</v>
      </c>
      <c r="B381" s="115" t="s">
        <v>419</v>
      </c>
      <c r="C381">
        <v>7</v>
      </c>
      <c r="E381" s="3">
        <v>43509</v>
      </c>
      <c r="G381" t="s">
        <v>842</v>
      </c>
    </row>
    <row r="382" spans="1:7">
      <c r="A382" t="s">
        <v>841</v>
      </c>
      <c r="B382" s="115" t="s">
        <v>451</v>
      </c>
      <c r="C382">
        <v>13</v>
      </c>
      <c r="E382" s="3">
        <v>43509</v>
      </c>
      <c r="G382" t="s">
        <v>842</v>
      </c>
    </row>
    <row r="383" spans="1:7">
      <c r="A383" t="s">
        <v>841</v>
      </c>
      <c r="B383" s="115" t="s">
        <v>420</v>
      </c>
      <c r="C383">
        <v>26</v>
      </c>
      <c r="E383" s="3">
        <v>43509</v>
      </c>
      <c r="G383" t="s">
        <v>842</v>
      </c>
    </row>
    <row r="384" spans="1:7">
      <c r="A384" t="s">
        <v>841</v>
      </c>
      <c r="B384" s="115" t="s">
        <v>452</v>
      </c>
      <c r="C384">
        <v>5</v>
      </c>
      <c r="E384" s="3">
        <v>43509</v>
      </c>
      <c r="G384" t="s">
        <v>842</v>
      </c>
    </row>
    <row r="385" spans="1:7">
      <c r="A385" t="s">
        <v>841</v>
      </c>
      <c r="B385" s="115" t="s">
        <v>535</v>
      </c>
      <c r="C385">
        <v>3</v>
      </c>
      <c r="E385" s="3">
        <v>43509</v>
      </c>
      <c r="G385" t="s">
        <v>842</v>
      </c>
    </row>
    <row r="386" spans="1:7">
      <c r="A386" t="s">
        <v>841</v>
      </c>
      <c r="B386" s="115" t="s">
        <v>453</v>
      </c>
      <c r="C386">
        <v>0</v>
      </c>
      <c r="E386" s="3">
        <v>43509</v>
      </c>
      <c r="G386" t="s">
        <v>842</v>
      </c>
    </row>
    <row r="387" spans="1:7">
      <c r="A387" t="s">
        <v>841</v>
      </c>
      <c r="B387" s="115" t="s">
        <v>421</v>
      </c>
      <c r="C387">
        <v>2</v>
      </c>
      <c r="E387" s="3">
        <v>43509</v>
      </c>
      <c r="G387" t="s">
        <v>842</v>
      </c>
    </row>
    <row r="388" spans="1:7">
      <c r="A388" t="s">
        <v>841</v>
      </c>
      <c r="B388" s="115" t="s">
        <v>454</v>
      </c>
      <c r="C388">
        <v>2</v>
      </c>
      <c r="E388" s="3">
        <v>43509</v>
      </c>
      <c r="G388" t="s">
        <v>842</v>
      </c>
    </row>
    <row r="389" spans="1:7">
      <c r="A389" t="s">
        <v>841</v>
      </c>
      <c r="B389" s="115" t="s">
        <v>422</v>
      </c>
      <c r="C389">
        <v>0</v>
      </c>
      <c r="E389" s="3">
        <v>43509</v>
      </c>
      <c r="G389" t="s">
        <v>842</v>
      </c>
    </row>
    <row r="390" spans="1:7">
      <c r="A390" t="s">
        <v>841</v>
      </c>
      <c r="B390" s="115" t="s">
        <v>455</v>
      </c>
      <c r="C390">
        <v>0</v>
      </c>
      <c r="E390" s="3">
        <v>43509</v>
      </c>
      <c r="G390" t="s">
        <v>842</v>
      </c>
    </row>
    <row r="391" spans="1:7">
      <c r="A391" t="s">
        <v>841</v>
      </c>
      <c r="B391" s="115" t="s">
        <v>1512</v>
      </c>
      <c r="C391">
        <v>20</v>
      </c>
      <c r="E391" s="3">
        <v>43509</v>
      </c>
      <c r="G391" t="s">
        <v>842</v>
      </c>
    </row>
    <row r="392" spans="1:7">
      <c r="A392" t="s">
        <v>841</v>
      </c>
      <c r="B392" s="115" t="s">
        <v>1514</v>
      </c>
      <c r="C392">
        <v>18</v>
      </c>
      <c r="E392" s="3">
        <v>43509</v>
      </c>
      <c r="G392" t="s">
        <v>842</v>
      </c>
    </row>
    <row r="393" spans="1:7">
      <c r="A393" t="s">
        <v>841</v>
      </c>
      <c r="B393" s="115" t="s">
        <v>1471</v>
      </c>
      <c r="C393">
        <v>11</v>
      </c>
      <c r="E393" s="3">
        <v>43509</v>
      </c>
      <c r="G393" t="s">
        <v>842</v>
      </c>
    </row>
    <row r="394" spans="1:7">
      <c r="A394" t="s">
        <v>841</v>
      </c>
      <c r="B394" s="115" t="s">
        <v>1496</v>
      </c>
      <c r="C394">
        <v>14</v>
      </c>
      <c r="E394" s="3">
        <v>43509</v>
      </c>
      <c r="G394" t="s">
        <v>842</v>
      </c>
    </row>
    <row r="395" spans="1:7">
      <c r="A395" t="s">
        <v>841</v>
      </c>
      <c r="B395" s="115" t="s">
        <v>1473</v>
      </c>
      <c r="C395">
        <v>10</v>
      </c>
      <c r="E395" s="3">
        <v>43509</v>
      </c>
      <c r="G395" t="s">
        <v>842</v>
      </c>
    </row>
    <row r="396" spans="1:7">
      <c r="A396" t="s">
        <v>841</v>
      </c>
      <c r="B396" s="115" t="s">
        <v>1479</v>
      </c>
      <c r="C396">
        <v>9</v>
      </c>
      <c r="E396" s="3">
        <v>43509</v>
      </c>
      <c r="G396" t="s">
        <v>842</v>
      </c>
    </row>
    <row r="397" spans="1:7">
      <c r="A397" t="s">
        <v>841</v>
      </c>
      <c r="B397" s="115" t="s">
        <v>1545</v>
      </c>
      <c r="C397">
        <v>18</v>
      </c>
      <c r="E397" s="3">
        <v>43509</v>
      </c>
      <c r="G397" t="s">
        <v>842</v>
      </c>
    </row>
    <row r="398" spans="1:7">
      <c r="A398" t="s">
        <v>841</v>
      </c>
      <c r="B398" s="115" t="s">
        <v>1516</v>
      </c>
      <c r="C398">
        <v>9</v>
      </c>
      <c r="E398" s="3">
        <v>43509</v>
      </c>
      <c r="G398" t="s">
        <v>842</v>
      </c>
    </row>
    <row r="399" spans="1:7">
      <c r="A399" t="s">
        <v>841</v>
      </c>
      <c r="B399" s="115" t="s">
        <v>1483</v>
      </c>
      <c r="C399">
        <v>22</v>
      </c>
      <c r="E399" s="3">
        <v>43509</v>
      </c>
      <c r="G399" t="s">
        <v>842</v>
      </c>
    </row>
    <row r="400" spans="1:7">
      <c r="A400" t="s">
        <v>841</v>
      </c>
      <c r="B400" s="115" t="s">
        <v>1518</v>
      </c>
      <c r="C400">
        <v>17</v>
      </c>
      <c r="E400" s="3">
        <v>43509</v>
      </c>
      <c r="G400" t="s">
        <v>842</v>
      </c>
    </row>
    <row r="401" spans="1:7">
      <c r="A401" t="s">
        <v>841</v>
      </c>
      <c r="B401" s="115" t="s">
        <v>1686</v>
      </c>
      <c r="C401">
        <v>0</v>
      </c>
      <c r="E401" s="3">
        <v>43509</v>
      </c>
      <c r="G401" t="s">
        <v>842</v>
      </c>
    </row>
    <row r="402" spans="1:7">
      <c r="A402" t="s">
        <v>841</v>
      </c>
      <c r="B402" s="115" t="s">
        <v>1485</v>
      </c>
      <c r="C402">
        <v>13</v>
      </c>
      <c r="E402" s="3">
        <v>43509</v>
      </c>
      <c r="G402" t="s">
        <v>842</v>
      </c>
    </row>
    <row r="403" spans="1:7">
      <c r="A403" t="s">
        <v>841</v>
      </c>
      <c r="B403" s="115" t="s">
        <v>1548</v>
      </c>
      <c r="C403">
        <v>0</v>
      </c>
      <c r="E403" s="3">
        <v>43509</v>
      </c>
      <c r="G403" t="s">
        <v>842</v>
      </c>
    </row>
    <row r="404" spans="1:7">
      <c r="A404" t="s">
        <v>841</v>
      </c>
      <c r="B404" s="115" t="s">
        <v>1510</v>
      </c>
      <c r="C404">
        <v>9</v>
      </c>
      <c r="E404" s="3">
        <v>43509</v>
      </c>
      <c r="G404" t="s">
        <v>842</v>
      </c>
    </row>
    <row r="405" spans="1:7">
      <c r="A405" t="s">
        <v>841</v>
      </c>
      <c r="B405" s="115" t="s">
        <v>1466</v>
      </c>
      <c r="C405">
        <v>11</v>
      </c>
      <c r="E405" s="3">
        <v>43509</v>
      </c>
      <c r="G405" t="s">
        <v>842</v>
      </c>
    </row>
    <row r="406" spans="1:7">
      <c r="A406" t="s">
        <v>841</v>
      </c>
      <c r="B406" s="115" t="s">
        <v>1477</v>
      </c>
      <c r="C406">
        <v>15</v>
      </c>
      <c r="E406" s="3">
        <v>43509</v>
      </c>
      <c r="G406" t="s">
        <v>842</v>
      </c>
    </row>
    <row r="407" spans="1:7">
      <c r="A407" t="s">
        <v>841</v>
      </c>
      <c r="B407" s="115" t="s">
        <v>1687</v>
      </c>
      <c r="C407">
        <v>0</v>
      </c>
      <c r="E407" s="3">
        <v>43509</v>
      </c>
      <c r="G407" t="s">
        <v>842</v>
      </c>
    </row>
    <row r="408" spans="1:7">
      <c r="A408" t="s">
        <v>841</v>
      </c>
      <c r="B408" s="115" t="s">
        <v>1506</v>
      </c>
      <c r="C408">
        <v>10</v>
      </c>
      <c r="E408" s="3">
        <v>43509</v>
      </c>
      <c r="G408" t="s">
        <v>842</v>
      </c>
    </row>
    <row r="409" spans="1:7">
      <c r="A409" t="s">
        <v>841</v>
      </c>
      <c r="B409" s="115" t="s">
        <v>1536</v>
      </c>
      <c r="C409">
        <v>10</v>
      </c>
      <c r="E409" s="3">
        <v>43509</v>
      </c>
      <c r="G409" t="s">
        <v>842</v>
      </c>
    </row>
    <row r="410" spans="1:7">
      <c r="A410" t="s">
        <v>841</v>
      </c>
      <c r="B410" s="115" t="s">
        <v>1528</v>
      </c>
      <c r="C410">
        <v>14</v>
      </c>
      <c r="E410" s="3">
        <v>43509</v>
      </c>
      <c r="G410" t="s">
        <v>842</v>
      </c>
    </row>
    <row r="411" spans="1:7">
      <c r="A411" t="s">
        <v>841</v>
      </c>
      <c r="B411" s="115" t="s">
        <v>1464</v>
      </c>
      <c r="C411">
        <v>14</v>
      </c>
      <c r="E411" s="3">
        <v>43509</v>
      </c>
      <c r="G411" t="s">
        <v>842</v>
      </c>
    </row>
    <row r="412" spans="1:7">
      <c r="A412" t="s">
        <v>841</v>
      </c>
      <c r="B412" s="115" t="s">
        <v>1520</v>
      </c>
      <c r="C412">
        <v>10</v>
      </c>
      <c r="E412" s="3">
        <v>43509</v>
      </c>
      <c r="G412" t="s">
        <v>842</v>
      </c>
    </row>
    <row r="413" spans="1:7">
      <c r="A413" t="s">
        <v>841</v>
      </c>
      <c r="B413" s="115" t="s">
        <v>1508</v>
      </c>
      <c r="C413">
        <v>11</v>
      </c>
      <c r="E413" s="3">
        <v>43509</v>
      </c>
      <c r="G413" t="s">
        <v>842</v>
      </c>
    </row>
    <row r="414" spans="1:7">
      <c r="A414" t="s">
        <v>841</v>
      </c>
      <c r="B414" s="115" t="s">
        <v>1524</v>
      </c>
      <c r="C414">
        <v>15</v>
      </c>
      <c r="E414" s="3">
        <v>43509</v>
      </c>
      <c r="G414" t="s">
        <v>842</v>
      </c>
    </row>
    <row r="415" spans="1:7">
      <c r="A415" t="s">
        <v>841</v>
      </c>
      <c r="B415" s="115" t="s">
        <v>1468</v>
      </c>
      <c r="C415">
        <v>11</v>
      </c>
      <c r="E415" s="3">
        <v>43509</v>
      </c>
      <c r="G415" t="s">
        <v>842</v>
      </c>
    </row>
    <row r="416" spans="1:7">
      <c r="A416" t="s">
        <v>841</v>
      </c>
      <c r="B416" s="115" t="s">
        <v>1491</v>
      </c>
      <c r="C416">
        <v>11</v>
      </c>
      <c r="E416" s="3">
        <v>43509</v>
      </c>
      <c r="G416" t="s">
        <v>842</v>
      </c>
    </row>
    <row r="417" spans="1:7">
      <c r="A417" t="s">
        <v>841</v>
      </c>
      <c r="B417" s="115" t="s">
        <v>1500</v>
      </c>
      <c r="C417">
        <v>14</v>
      </c>
      <c r="E417" s="3">
        <v>43509</v>
      </c>
      <c r="G417" t="s">
        <v>842</v>
      </c>
    </row>
    <row r="418" spans="1:7">
      <c r="A418" t="s">
        <v>841</v>
      </c>
      <c r="B418" s="115" t="s">
        <v>1688</v>
      </c>
      <c r="C418">
        <v>0</v>
      </c>
      <c r="E418" s="3">
        <v>43509</v>
      </c>
      <c r="G418" t="s">
        <v>842</v>
      </c>
    </row>
    <row r="419" spans="1:7">
      <c r="A419" t="s">
        <v>841</v>
      </c>
      <c r="B419" s="115" t="s">
        <v>1541</v>
      </c>
      <c r="C419">
        <v>20</v>
      </c>
      <c r="E419" s="3">
        <v>43509</v>
      </c>
      <c r="G419" t="s">
        <v>842</v>
      </c>
    </row>
    <row r="420" spans="1:7">
      <c r="A420" t="s">
        <v>841</v>
      </c>
      <c r="B420" s="115" t="s">
        <v>1522</v>
      </c>
      <c r="C420">
        <v>12</v>
      </c>
      <c r="E420" s="3">
        <v>43509</v>
      </c>
      <c r="G420" t="s">
        <v>842</v>
      </c>
    </row>
    <row r="421" spans="1:7">
      <c r="A421" t="s">
        <v>841</v>
      </c>
      <c r="B421" s="115" t="s">
        <v>1504</v>
      </c>
      <c r="C421">
        <v>6</v>
      </c>
      <c r="E421" s="3">
        <v>43509</v>
      </c>
      <c r="G421" t="s">
        <v>842</v>
      </c>
    </row>
    <row r="422" spans="1:7">
      <c r="A422" t="s">
        <v>841</v>
      </c>
      <c r="B422" s="115" t="s">
        <v>1475</v>
      </c>
      <c r="C422">
        <v>17</v>
      </c>
      <c r="E422" s="3">
        <v>43509</v>
      </c>
      <c r="G422" t="s">
        <v>842</v>
      </c>
    </row>
    <row r="423" spans="1:7">
      <c r="A423" t="s">
        <v>841</v>
      </c>
      <c r="B423" s="115" t="s">
        <v>1502</v>
      </c>
      <c r="C423">
        <v>17</v>
      </c>
      <c r="E423" s="3">
        <v>43509</v>
      </c>
      <c r="G423" t="s">
        <v>842</v>
      </c>
    </row>
    <row r="424" spans="1:7">
      <c r="A424" t="s">
        <v>841</v>
      </c>
      <c r="B424" s="115" t="s">
        <v>1481</v>
      </c>
      <c r="C424">
        <v>19</v>
      </c>
      <c r="E424" s="3">
        <v>43509</v>
      </c>
      <c r="G424" t="s">
        <v>842</v>
      </c>
    </row>
    <row r="425" spans="1:7">
      <c r="A425" t="s">
        <v>841</v>
      </c>
      <c r="B425" s="115" t="s">
        <v>1689</v>
      </c>
      <c r="C425">
        <v>0</v>
      </c>
      <c r="E425" s="3">
        <v>43509</v>
      </c>
      <c r="G425" t="s">
        <v>842</v>
      </c>
    </row>
    <row r="426" spans="1:7">
      <c r="A426" t="s">
        <v>841</v>
      </c>
      <c r="B426" s="115" t="s">
        <v>1526</v>
      </c>
      <c r="C426">
        <v>14</v>
      </c>
      <c r="E426" s="3">
        <v>43509</v>
      </c>
      <c r="G426" t="s">
        <v>842</v>
      </c>
    </row>
    <row r="427" spans="1:7">
      <c r="A427" t="s">
        <v>841</v>
      </c>
      <c r="B427" s="115" t="s">
        <v>1494</v>
      </c>
      <c r="C427">
        <v>28</v>
      </c>
      <c r="E427" s="3">
        <v>43509</v>
      </c>
      <c r="G427" t="s">
        <v>842</v>
      </c>
    </row>
    <row r="428" spans="1:7">
      <c r="A428" t="s">
        <v>841</v>
      </c>
      <c r="B428" s="115" t="s">
        <v>1533</v>
      </c>
      <c r="C428">
        <v>11</v>
      </c>
      <c r="E428" s="3">
        <v>43509</v>
      </c>
      <c r="G428" t="s">
        <v>842</v>
      </c>
    </row>
    <row r="429" spans="1:7">
      <c r="A429" t="s">
        <v>841</v>
      </c>
      <c r="B429" s="115" t="s">
        <v>1543</v>
      </c>
      <c r="C429">
        <v>18</v>
      </c>
      <c r="E429" s="3">
        <v>43509</v>
      </c>
      <c r="G429" t="s">
        <v>842</v>
      </c>
    </row>
    <row r="430" spans="1:7">
      <c r="A430" t="s">
        <v>841</v>
      </c>
      <c r="B430" s="115" t="s">
        <v>1531</v>
      </c>
      <c r="C430">
        <v>0</v>
      </c>
      <c r="E430" s="3">
        <v>43509</v>
      </c>
      <c r="G430" t="s">
        <v>842</v>
      </c>
    </row>
    <row r="431" spans="1:7">
      <c r="A431" t="s">
        <v>841</v>
      </c>
      <c r="B431" s="115" t="s">
        <v>1462</v>
      </c>
      <c r="C431">
        <v>2</v>
      </c>
      <c r="E431" s="3">
        <v>43509</v>
      </c>
      <c r="G431" t="s">
        <v>842</v>
      </c>
    </row>
    <row r="432" spans="1:7">
      <c r="A432" t="s">
        <v>841</v>
      </c>
      <c r="B432" s="115" t="s">
        <v>1488</v>
      </c>
      <c r="C432">
        <v>29</v>
      </c>
      <c r="E432" s="3">
        <v>43509</v>
      </c>
      <c r="G432" t="s">
        <v>842</v>
      </c>
    </row>
    <row r="433" spans="1:7">
      <c r="A433" t="s">
        <v>841</v>
      </c>
      <c r="B433" s="115" t="s">
        <v>1538</v>
      </c>
      <c r="C433">
        <v>15</v>
      </c>
      <c r="E433" s="3">
        <v>43509</v>
      </c>
      <c r="G433" t="s">
        <v>842</v>
      </c>
    </row>
    <row r="434" spans="1:7">
      <c r="A434" t="s">
        <v>841</v>
      </c>
      <c r="B434" s="115" t="s">
        <v>1539</v>
      </c>
      <c r="C434">
        <v>12</v>
      </c>
      <c r="E434" s="3">
        <v>43509</v>
      </c>
      <c r="G434" t="s">
        <v>842</v>
      </c>
    </row>
    <row r="435" spans="1:7">
      <c r="A435" t="s">
        <v>841</v>
      </c>
      <c r="B435" s="115" t="s">
        <v>1534</v>
      </c>
      <c r="C435">
        <v>14</v>
      </c>
      <c r="E435" s="3">
        <v>43509</v>
      </c>
      <c r="G435" t="s">
        <v>842</v>
      </c>
    </row>
    <row r="436" spans="1:7">
      <c r="A436" t="s">
        <v>841</v>
      </c>
      <c r="B436" s="115" t="s">
        <v>1498</v>
      </c>
      <c r="C436">
        <v>13</v>
      </c>
      <c r="E436" s="3">
        <v>43509</v>
      </c>
      <c r="G436" t="s">
        <v>842</v>
      </c>
    </row>
    <row r="437" spans="1:7">
      <c r="A437" t="s">
        <v>841</v>
      </c>
      <c r="B437" s="115" t="s">
        <v>1537</v>
      </c>
      <c r="C437">
        <v>27</v>
      </c>
      <c r="E437" s="3">
        <v>43509</v>
      </c>
      <c r="G437" t="s">
        <v>842</v>
      </c>
    </row>
    <row r="438" spans="1:7">
      <c r="A438" t="s">
        <v>841</v>
      </c>
      <c r="B438" s="115" t="s">
        <v>1469</v>
      </c>
      <c r="C438">
        <v>16</v>
      </c>
      <c r="E438" s="3">
        <v>43509</v>
      </c>
      <c r="G438" t="s">
        <v>842</v>
      </c>
    </row>
    <row r="439" spans="1:7">
      <c r="A439" t="s">
        <v>841</v>
      </c>
      <c r="B439" s="115" t="s">
        <v>1497</v>
      </c>
      <c r="C439">
        <v>18</v>
      </c>
      <c r="E439" s="3">
        <v>43509</v>
      </c>
      <c r="G439" t="s">
        <v>842</v>
      </c>
    </row>
    <row r="440" spans="1:7">
      <c r="A440" t="s">
        <v>841</v>
      </c>
      <c r="B440" s="115" t="s">
        <v>1492</v>
      </c>
      <c r="C440">
        <v>17</v>
      </c>
      <c r="E440" s="3">
        <v>43509</v>
      </c>
      <c r="G440" t="s">
        <v>842</v>
      </c>
    </row>
    <row r="441" spans="1:7">
      <c r="A441" t="s">
        <v>841</v>
      </c>
      <c r="B441" s="115" t="s">
        <v>1550</v>
      </c>
      <c r="C441">
        <v>18</v>
      </c>
      <c r="E441" s="3">
        <v>43509</v>
      </c>
      <c r="G441" t="s">
        <v>842</v>
      </c>
    </row>
    <row r="442" spans="1:7">
      <c r="A442" t="s">
        <v>841</v>
      </c>
      <c r="B442" s="115" t="s">
        <v>1529</v>
      </c>
      <c r="C442">
        <v>19</v>
      </c>
      <c r="E442" s="3">
        <v>43509</v>
      </c>
      <c r="G442" t="s">
        <v>842</v>
      </c>
    </row>
    <row r="443" spans="1:7">
      <c r="A443" t="s">
        <v>841</v>
      </c>
      <c r="B443" s="115" t="s">
        <v>1486</v>
      </c>
      <c r="C443">
        <v>15</v>
      </c>
      <c r="E443" s="3">
        <v>43509</v>
      </c>
      <c r="G443" t="s">
        <v>842</v>
      </c>
    </row>
    <row r="444" spans="1:7">
      <c r="A444" t="s">
        <v>841</v>
      </c>
      <c r="B444" s="115" t="s">
        <v>1489</v>
      </c>
      <c r="C444">
        <v>17</v>
      </c>
      <c r="E444" s="3">
        <v>43509</v>
      </c>
      <c r="G444" t="s">
        <v>842</v>
      </c>
    </row>
    <row r="445" spans="1:7">
      <c r="A445" t="s">
        <v>841</v>
      </c>
      <c r="B445" s="115" t="s">
        <v>1547</v>
      </c>
      <c r="C445">
        <v>23</v>
      </c>
      <c r="E445" s="3">
        <v>43509</v>
      </c>
      <c r="G445" t="s">
        <v>842</v>
      </c>
    </row>
    <row r="446" spans="1:7">
      <c r="A446" t="s">
        <v>841</v>
      </c>
      <c r="B446" s="115" t="s">
        <v>1690</v>
      </c>
      <c r="C446">
        <v>0</v>
      </c>
      <c r="E446" s="3">
        <v>43509</v>
      </c>
      <c r="G446" t="s">
        <v>842</v>
      </c>
    </row>
    <row r="447" spans="1:7">
      <c r="A447" t="s">
        <v>841</v>
      </c>
      <c r="B447" s="115" t="s">
        <v>1546</v>
      </c>
      <c r="C447">
        <v>8</v>
      </c>
      <c r="E447" s="3">
        <v>43509</v>
      </c>
      <c r="G447" t="s">
        <v>842</v>
      </c>
    </row>
    <row r="448" spans="1:7">
      <c r="A448" t="s">
        <v>841</v>
      </c>
      <c r="B448" s="119" t="s">
        <v>333</v>
      </c>
      <c r="C448">
        <v>4</v>
      </c>
      <c r="E448" s="3">
        <v>43509</v>
      </c>
      <c r="G448" t="s">
        <v>842</v>
      </c>
    </row>
    <row r="449" spans="1:7">
      <c r="A449" t="s">
        <v>841</v>
      </c>
      <c r="B449" s="119" t="s">
        <v>357</v>
      </c>
      <c r="C449">
        <v>16</v>
      </c>
      <c r="E449" s="3">
        <v>43509</v>
      </c>
      <c r="G449" t="s">
        <v>842</v>
      </c>
    </row>
    <row r="450" spans="1:7">
      <c r="A450" t="s">
        <v>841</v>
      </c>
      <c r="B450" s="119" t="s">
        <v>358</v>
      </c>
      <c r="C450">
        <v>1</v>
      </c>
      <c r="E450" s="3">
        <v>43509</v>
      </c>
      <c r="G450" t="s">
        <v>842</v>
      </c>
    </row>
    <row r="451" spans="1:7">
      <c r="A451" t="s">
        <v>841</v>
      </c>
      <c r="B451" s="119" t="s">
        <v>368</v>
      </c>
      <c r="C451">
        <v>2</v>
      </c>
      <c r="E451" s="3">
        <v>43509</v>
      </c>
      <c r="G451" t="s">
        <v>842</v>
      </c>
    </row>
    <row r="452" spans="1:7">
      <c r="A452" t="s">
        <v>841</v>
      </c>
      <c r="B452" s="119" t="s">
        <v>377</v>
      </c>
      <c r="C452">
        <v>11</v>
      </c>
      <c r="E452" s="3">
        <v>43509</v>
      </c>
      <c r="G452" t="s">
        <v>842</v>
      </c>
    </row>
    <row r="453" spans="1:7">
      <c r="A453" t="s">
        <v>841</v>
      </c>
      <c r="B453" s="119" t="s">
        <v>378</v>
      </c>
      <c r="C453">
        <v>3</v>
      </c>
      <c r="E453" s="3">
        <v>43509</v>
      </c>
      <c r="G453" t="s">
        <v>842</v>
      </c>
    </row>
    <row r="454" spans="1:7">
      <c r="A454" t="s">
        <v>841</v>
      </c>
      <c r="B454" s="119" t="s">
        <v>389</v>
      </c>
      <c r="C454">
        <v>4</v>
      </c>
      <c r="E454" s="3">
        <v>43509</v>
      </c>
      <c r="G454" t="s">
        <v>842</v>
      </c>
    </row>
    <row r="455" spans="1:7">
      <c r="A455" t="s">
        <v>841</v>
      </c>
      <c r="B455" s="119" t="s">
        <v>390</v>
      </c>
      <c r="C455">
        <v>5</v>
      </c>
      <c r="E455" s="3">
        <v>43509</v>
      </c>
      <c r="G455" t="s">
        <v>842</v>
      </c>
    </row>
    <row r="456" spans="1:7">
      <c r="A456" t="s">
        <v>841</v>
      </c>
      <c r="B456" s="119" t="s">
        <v>209</v>
      </c>
      <c r="C456">
        <v>16</v>
      </c>
      <c r="E456" s="3">
        <v>43509</v>
      </c>
      <c r="G456" t="s">
        <v>842</v>
      </c>
    </row>
    <row r="457" spans="1:7">
      <c r="A457" t="s">
        <v>841</v>
      </c>
      <c r="B457" s="119" t="s">
        <v>213</v>
      </c>
      <c r="C457">
        <v>29</v>
      </c>
      <c r="E457" s="3">
        <v>43509</v>
      </c>
      <c r="G457" t="s">
        <v>842</v>
      </c>
    </row>
    <row r="458" spans="1:7">
      <c r="A458" t="s">
        <v>841</v>
      </c>
      <c r="B458" s="119" t="s">
        <v>215</v>
      </c>
      <c r="C458">
        <v>6</v>
      </c>
      <c r="E458" s="3">
        <v>43509</v>
      </c>
      <c r="G458" t="s">
        <v>842</v>
      </c>
    </row>
    <row r="459" spans="1:7">
      <c r="A459" t="s">
        <v>841</v>
      </c>
      <c r="B459" s="119" t="s">
        <v>218</v>
      </c>
      <c r="C459">
        <v>16</v>
      </c>
      <c r="E459" s="3">
        <v>43509</v>
      </c>
      <c r="G459" t="s">
        <v>842</v>
      </c>
    </row>
    <row r="460" spans="1:7">
      <c r="A460" t="s">
        <v>841</v>
      </c>
      <c r="B460" s="119" t="s">
        <v>219</v>
      </c>
      <c r="C460">
        <v>7</v>
      </c>
      <c r="E460" s="3">
        <v>43509</v>
      </c>
      <c r="G460" t="s">
        <v>842</v>
      </c>
    </row>
    <row r="461" spans="1:7">
      <c r="A461" t="s">
        <v>841</v>
      </c>
      <c r="B461" s="119" t="s">
        <v>220</v>
      </c>
      <c r="C461">
        <v>10</v>
      </c>
      <c r="E461" s="3">
        <v>43509</v>
      </c>
      <c r="G461" t="s">
        <v>842</v>
      </c>
    </row>
    <row r="462" spans="1:7">
      <c r="A462" t="s">
        <v>841</v>
      </c>
      <c r="B462" s="119" t="s">
        <v>221</v>
      </c>
      <c r="C462">
        <v>15</v>
      </c>
      <c r="E462" s="3">
        <v>43509</v>
      </c>
      <c r="G462" t="s">
        <v>842</v>
      </c>
    </row>
    <row r="463" spans="1:7">
      <c r="A463" t="s">
        <v>841</v>
      </c>
      <c r="B463" s="119" t="s">
        <v>223</v>
      </c>
      <c r="C463">
        <v>12</v>
      </c>
      <c r="E463" s="3">
        <v>43509</v>
      </c>
      <c r="G463" t="s">
        <v>842</v>
      </c>
    </row>
    <row r="464" spans="1:7">
      <c r="A464" t="s">
        <v>841</v>
      </c>
      <c r="B464" s="119" t="s">
        <v>225</v>
      </c>
      <c r="C464">
        <v>12</v>
      </c>
      <c r="E464" s="3">
        <v>43509</v>
      </c>
      <c r="G464" t="s">
        <v>842</v>
      </c>
    </row>
    <row r="465" spans="1:7">
      <c r="A465" t="s">
        <v>841</v>
      </c>
      <c r="B465" s="119" t="s">
        <v>226</v>
      </c>
      <c r="C465">
        <v>17</v>
      </c>
      <c r="E465" s="3">
        <v>43509</v>
      </c>
      <c r="G465" t="s">
        <v>842</v>
      </c>
    </row>
    <row r="466" spans="1:7">
      <c r="A466" t="s">
        <v>841</v>
      </c>
      <c r="B466" s="119" t="s">
        <v>228</v>
      </c>
      <c r="C466">
        <v>1</v>
      </c>
      <c r="E466" s="3">
        <v>43509</v>
      </c>
      <c r="G466" t="s">
        <v>842</v>
      </c>
    </row>
    <row r="467" spans="1:7">
      <c r="A467" t="s">
        <v>841</v>
      </c>
      <c r="B467" s="119" t="s">
        <v>229</v>
      </c>
      <c r="C467">
        <v>19</v>
      </c>
      <c r="E467" s="3">
        <v>43509</v>
      </c>
      <c r="G467" t="s">
        <v>842</v>
      </c>
    </row>
    <row r="468" spans="1:7">
      <c r="A468" t="s">
        <v>841</v>
      </c>
      <c r="B468" s="119" t="s">
        <v>231</v>
      </c>
      <c r="C468">
        <v>28</v>
      </c>
      <c r="E468" s="3">
        <v>43509</v>
      </c>
      <c r="G468" t="s">
        <v>842</v>
      </c>
    </row>
    <row r="469" spans="1:7">
      <c r="A469" t="s">
        <v>841</v>
      </c>
      <c r="B469" s="120" t="s">
        <v>233</v>
      </c>
      <c r="C469">
        <v>23</v>
      </c>
      <c r="E469" s="3">
        <v>43509</v>
      </c>
      <c r="G469" t="s">
        <v>842</v>
      </c>
    </row>
    <row r="470" spans="1:7">
      <c r="A470" t="s">
        <v>841</v>
      </c>
      <c r="B470" s="119" t="s">
        <v>234</v>
      </c>
      <c r="C470">
        <v>36</v>
      </c>
      <c r="E470" s="3">
        <v>43509</v>
      </c>
      <c r="G470" t="s">
        <v>842</v>
      </c>
    </row>
    <row r="471" spans="1:7">
      <c r="A471" t="s">
        <v>841</v>
      </c>
      <c r="B471" s="119" t="s">
        <v>235</v>
      </c>
      <c r="C471">
        <v>1</v>
      </c>
      <c r="E471" s="3">
        <v>43509</v>
      </c>
      <c r="G471" t="s">
        <v>842</v>
      </c>
    </row>
    <row r="472" spans="1:7">
      <c r="A472" t="s">
        <v>841</v>
      </c>
      <c r="B472" s="119" t="s">
        <v>237</v>
      </c>
      <c r="C472">
        <v>1</v>
      </c>
      <c r="E472" s="3">
        <v>43509</v>
      </c>
      <c r="G472" t="s">
        <v>842</v>
      </c>
    </row>
    <row r="473" spans="1:7">
      <c r="A473" t="s">
        <v>841</v>
      </c>
      <c r="B473" s="119" t="s">
        <v>238</v>
      </c>
      <c r="C473">
        <v>11</v>
      </c>
      <c r="E473" s="3">
        <v>43509</v>
      </c>
      <c r="G473" t="s">
        <v>842</v>
      </c>
    </row>
    <row r="474" spans="1:7">
      <c r="A474" t="s">
        <v>841</v>
      </c>
      <c r="B474" s="119" t="s">
        <v>240</v>
      </c>
      <c r="C474">
        <v>13</v>
      </c>
      <c r="E474" s="3">
        <v>43509</v>
      </c>
      <c r="G474" t="s">
        <v>842</v>
      </c>
    </row>
    <row r="475" spans="1:7">
      <c r="A475" t="s">
        <v>841</v>
      </c>
      <c r="B475" s="119" t="s">
        <v>242</v>
      </c>
      <c r="C475">
        <v>48</v>
      </c>
      <c r="E475" s="3">
        <v>43509</v>
      </c>
      <c r="G475" t="s">
        <v>842</v>
      </c>
    </row>
    <row r="476" spans="1:7">
      <c r="A476" t="s">
        <v>841</v>
      </c>
      <c r="B476" s="119" t="s">
        <v>243</v>
      </c>
      <c r="C476">
        <v>65</v>
      </c>
      <c r="E476" s="3">
        <v>43509</v>
      </c>
      <c r="G476" t="s">
        <v>842</v>
      </c>
    </row>
    <row r="477" spans="1:7">
      <c r="A477" t="s">
        <v>841</v>
      </c>
      <c r="B477" s="119" t="s">
        <v>677</v>
      </c>
      <c r="C477">
        <v>8</v>
      </c>
      <c r="E477" s="3">
        <v>43509</v>
      </c>
      <c r="G477" t="s">
        <v>842</v>
      </c>
    </row>
    <row r="478" spans="1:7">
      <c r="A478" t="s">
        <v>841</v>
      </c>
      <c r="B478" s="119" t="s">
        <v>246</v>
      </c>
      <c r="C478">
        <v>2</v>
      </c>
      <c r="E478" s="3">
        <v>43509</v>
      </c>
      <c r="G478" t="s">
        <v>842</v>
      </c>
    </row>
    <row r="479" spans="1:7">
      <c r="A479" t="s">
        <v>841</v>
      </c>
      <c r="B479" s="119" t="s">
        <v>685</v>
      </c>
      <c r="C479">
        <v>6</v>
      </c>
      <c r="E479" s="3">
        <v>43509</v>
      </c>
      <c r="G479" t="s">
        <v>842</v>
      </c>
    </row>
    <row r="480" spans="1:7">
      <c r="A480" t="s">
        <v>841</v>
      </c>
      <c r="B480" s="119" t="s">
        <v>643</v>
      </c>
      <c r="C480">
        <v>0</v>
      </c>
      <c r="E480" s="3">
        <v>43509</v>
      </c>
      <c r="G480" t="s">
        <v>842</v>
      </c>
    </row>
    <row r="481" spans="1:7">
      <c r="A481" t="s">
        <v>841</v>
      </c>
      <c r="B481" s="119" t="s">
        <v>248</v>
      </c>
      <c r="C481">
        <v>32</v>
      </c>
      <c r="E481" s="3">
        <v>43509</v>
      </c>
      <c r="G481" t="s">
        <v>842</v>
      </c>
    </row>
    <row r="482" spans="1:7">
      <c r="A482" t="s">
        <v>841</v>
      </c>
      <c r="B482" s="119" t="s">
        <v>249</v>
      </c>
      <c r="C482">
        <v>31</v>
      </c>
      <c r="E482" s="3">
        <v>43509</v>
      </c>
      <c r="G482" t="s">
        <v>842</v>
      </c>
    </row>
    <row r="483" spans="1:7">
      <c r="A483" t="s">
        <v>841</v>
      </c>
      <c r="B483" s="119" t="s">
        <v>252</v>
      </c>
      <c r="C483">
        <v>17</v>
      </c>
      <c r="E483" s="3">
        <v>43509</v>
      </c>
      <c r="G483" t="s">
        <v>842</v>
      </c>
    </row>
    <row r="484" spans="1:7">
      <c r="A484" t="s">
        <v>841</v>
      </c>
      <c r="B484" s="119" t="s">
        <v>254</v>
      </c>
      <c r="C484">
        <v>19</v>
      </c>
      <c r="E484" s="3">
        <v>43509</v>
      </c>
      <c r="G484" t="s">
        <v>842</v>
      </c>
    </row>
    <row r="485" spans="1:7">
      <c r="A485" t="s">
        <v>841</v>
      </c>
      <c r="B485" s="119" t="s">
        <v>255</v>
      </c>
      <c r="C485">
        <v>12</v>
      </c>
      <c r="E485" s="3">
        <v>43509</v>
      </c>
      <c r="G485" t="s">
        <v>842</v>
      </c>
    </row>
    <row r="486" spans="1:7">
      <c r="A486" t="s">
        <v>841</v>
      </c>
      <c r="B486" s="119" t="s">
        <v>258</v>
      </c>
      <c r="C486">
        <v>11</v>
      </c>
      <c r="E486" s="3">
        <v>43509</v>
      </c>
      <c r="G486" t="s">
        <v>842</v>
      </c>
    </row>
    <row r="487" spans="1:7">
      <c r="A487" t="s">
        <v>841</v>
      </c>
      <c r="B487" s="119" t="s">
        <v>259</v>
      </c>
      <c r="C487">
        <v>27</v>
      </c>
      <c r="E487" s="3">
        <v>43509</v>
      </c>
      <c r="G487" t="s">
        <v>842</v>
      </c>
    </row>
    <row r="488" spans="1:7">
      <c r="A488" t="s">
        <v>841</v>
      </c>
      <c r="B488" s="119" t="s">
        <v>260</v>
      </c>
      <c r="C488">
        <v>14</v>
      </c>
      <c r="E488" s="3">
        <v>43509</v>
      </c>
      <c r="G488" t="s">
        <v>842</v>
      </c>
    </row>
    <row r="489" spans="1:7">
      <c r="A489" t="s">
        <v>841</v>
      </c>
      <c r="B489" s="119" t="s">
        <v>262</v>
      </c>
      <c r="C489">
        <v>13</v>
      </c>
      <c r="E489" s="3">
        <v>43509</v>
      </c>
      <c r="G489" t="s">
        <v>842</v>
      </c>
    </row>
    <row r="490" spans="1:7">
      <c r="A490" t="s">
        <v>841</v>
      </c>
      <c r="B490" s="119" t="s">
        <v>263</v>
      </c>
      <c r="C490">
        <v>25</v>
      </c>
      <c r="E490" s="3">
        <v>43509</v>
      </c>
      <c r="G490" t="s">
        <v>842</v>
      </c>
    </row>
    <row r="491" spans="1:7">
      <c r="A491" t="s">
        <v>841</v>
      </c>
      <c r="B491" s="119" t="s">
        <v>648</v>
      </c>
      <c r="C491">
        <v>14</v>
      </c>
      <c r="E491" s="3">
        <v>43509</v>
      </c>
      <c r="G491" t="s">
        <v>842</v>
      </c>
    </row>
    <row r="492" spans="1:7">
      <c r="A492" t="s">
        <v>841</v>
      </c>
      <c r="B492" s="119" t="s">
        <v>264</v>
      </c>
      <c r="C492">
        <v>11</v>
      </c>
      <c r="E492" s="3">
        <v>43509</v>
      </c>
      <c r="G492" t="s">
        <v>842</v>
      </c>
    </row>
    <row r="493" spans="1:7">
      <c r="A493" t="s">
        <v>841</v>
      </c>
      <c r="B493" s="119" t="s">
        <v>649</v>
      </c>
      <c r="C493">
        <v>3</v>
      </c>
      <c r="E493" s="3">
        <v>43509</v>
      </c>
      <c r="G493" t="s">
        <v>842</v>
      </c>
    </row>
    <row r="494" spans="1:7">
      <c r="A494" t="s">
        <v>841</v>
      </c>
      <c r="B494" s="119" t="s">
        <v>267</v>
      </c>
      <c r="C494">
        <v>4</v>
      </c>
      <c r="E494" s="3">
        <v>43509</v>
      </c>
      <c r="G494" t="s">
        <v>842</v>
      </c>
    </row>
    <row r="495" spans="1:7">
      <c r="A495" t="s">
        <v>841</v>
      </c>
      <c r="B495" s="119" t="s">
        <v>268</v>
      </c>
      <c r="C495">
        <v>14</v>
      </c>
      <c r="E495" s="3">
        <v>43509</v>
      </c>
      <c r="G495" t="s">
        <v>842</v>
      </c>
    </row>
    <row r="496" spans="1:7">
      <c r="A496" t="s">
        <v>841</v>
      </c>
      <c r="B496" s="119" t="s">
        <v>269</v>
      </c>
      <c r="C496">
        <v>12</v>
      </c>
      <c r="E496" s="3">
        <v>43509</v>
      </c>
      <c r="G496" t="s">
        <v>842</v>
      </c>
    </row>
    <row r="497" spans="1:7">
      <c r="A497" t="s">
        <v>841</v>
      </c>
      <c r="B497" s="119" t="s">
        <v>271</v>
      </c>
      <c r="C497">
        <v>17</v>
      </c>
      <c r="E497" s="3">
        <v>43509</v>
      </c>
      <c r="G497" t="s">
        <v>842</v>
      </c>
    </row>
    <row r="498" spans="1:7">
      <c r="A498" t="s">
        <v>841</v>
      </c>
      <c r="B498" s="119" t="s">
        <v>274</v>
      </c>
      <c r="C498">
        <v>1</v>
      </c>
      <c r="E498" s="3">
        <v>43509</v>
      </c>
      <c r="G498" t="s">
        <v>842</v>
      </c>
    </row>
    <row r="499" spans="1:7">
      <c r="A499" t="s">
        <v>841</v>
      </c>
      <c r="B499" s="119" t="s">
        <v>275</v>
      </c>
      <c r="C499">
        <v>5</v>
      </c>
      <c r="E499" s="3">
        <v>43509</v>
      </c>
      <c r="G499" t="s">
        <v>842</v>
      </c>
    </row>
    <row r="500" spans="1:7">
      <c r="A500" t="s">
        <v>841</v>
      </c>
      <c r="B500" s="119" t="s">
        <v>277</v>
      </c>
      <c r="C500">
        <v>18</v>
      </c>
      <c r="E500" s="3">
        <v>43509</v>
      </c>
      <c r="G500" t="s">
        <v>842</v>
      </c>
    </row>
    <row r="501" spans="1:7">
      <c r="A501" t="s">
        <v>841</v>
      </c>
      <c r="B501" s="119" t="s">
        <v>279</v>
      </c>
      <c r="C501">
        <v>14</v>
      </c>
      <c r="E501" s="3">
        <v>43509</v>
      </c>
      <c r="G501" t="s">
        <v>842</v>
      </c>
    </row>
    <row r="502" spans="1:7">
      <c r="A502" t="s">
        <v>841</v>
      </c>
      <c r="B502" s="119" t="s">
        <v>280</v>
      </c>
      <c r="C502">
        <v>1</v>
      </c>
      <c r="E502" s="3">
        <v>43509</v>
      </c>
      <c r="G502" t="s">
        <v>842</v>
      </c>
    </row>
    <row r="503" spans="1:7">
      <c r="A503" t="s">
        <v>841</v>
      </c>
      <c r="B503" s="119" t="s">
        <v>281</v>
      </c>
      <c r="C503">
        <v>0</v>
      </c>
      <c r="E503" s="3">
        <v>43509</v>
      </c>
      <c r="G503" t="s">
        <v>842</v>
      </c>
    </row>
    <row r="504" spans="1:7">
      <c r="A504" t="s">
        <v>841</v>
      </c>
      <c r="B504" s="119" t="s">
        <v>282</v>
      </c>
      <c r="C504">
        <v>11</v>
      </c>
      <c r="E504" s="3">
        <v>43509</v>
      </c>
      <c r="G504" t="s">
        <v>842</v>
      </c>
    </row>
    <row r="505" spans="1:7">
      <c r="A505" t="s">
        <v>841</v>
      </c>
      <c r="B505" s="119" t="s">
        <v>283</v>
      </c>
      <c r="C505">
        <v>0</v>
      </c>
      <c r="E505" s="3">
        <v>43509</v>
      </c>
      <c r="G505" t="s">
        <v>842</v>
      </c>
    </row>
    <row r="506" spans="1:7">
      <c r="A506" t="s">
        <v>841</v>
      </c>
      <c r="B506" s="119" t="s">
        <v>288</v>
      </c>
      <c r="C506">
        <v>34</v>
      </c>
      <c r="E506" s="3">
        <v>43509</v>
      </c>
      <c r="G506" t="s">
        <v>842</v>
      </c>
    </row>
    <row r="507" spans="1:7">
      <c r="A507" t="s">
        <v>841</v>
      </c>
      <c r="B507" s="119" t="s">
        <v>289</v>
      </c>
      <c r="C507">
        <v>37</v>
      </c>
      <c r="E507" s="3">
        <v>43509</v>
      </c>
      <c r="G507" t="s">
        <v>842</v>
      </c>
    </row>
    <row r="508" spans="1:7">
      <c r="A508" t="s">
        <v>841</v>
      </c>
      <c r="B508" s="119" t="s">
        <v>291</v>
      </c>
      <c r="C508">
        <v>14</v>
      </c>
      <c r="E508" s="3">
        <v>43509</v>
      </c>
      <c r="G508" t="s">
        <v>842</v>
      </c>
    </row>
    <row r="509" spans="1:7">
      <c r="A509" t="s">
        <v>841</v>
      </c>
      <c r="B509" s="119" t="s">
        <v>292</v>
      </c>
      <c r="C509">
        <v>3</v>
      </c>
      <c r="E509" s="3">
        <v>43509</v>
      </c>
      <c r="G509" t="s">
        <v>842</v>
      </c>
    </row>
    <row r="510" spans="1:7">
      <c r="A510" t="s">
        <v>841</v>
      </c>
      <c r="B510" s="119" t="s">
        <v>293</v>
      </c>
      <c r="C510">
        <v>26</v>
      </c>
      <c r="E510" s="3">
        <v>43509</v>
      </c>
      <c r="G510" t="s">
        <v>842</v>
      </c>
    </row>
    <row r="511" spans="1:7">
      <c r="A511" t="s">
        <v>841</v>
      </c>
      <c r="B511" s="119" t="s">
        <v>656</v>
      </c>
      <c r="C511">
        <v>15</v>
      </c>
      <c r="E511" s="3">
        <v>43509</v>
      </c>
      <c r="G511" t="s">
        <v>842</v>
      </c>
    </row>
    <row r="512" spans="1:7">
      <c r="A512" t="s">
        <v>841</v>
      </c>
      <c r="B512" s="119" t="s">
        <v>294</v>
      </c>
      <c r="C512">
        <v>24</v>
      </c>
      <c r="E512" s="3">
        <v>43509</v>
      </c>
      <c r="G512" t="s">
        <v>842</v>
      </c>
    </row>
    <row r="513" spans="1:7">
      <c r="A513" t="s">
        <v>841</v>
      </c>
      <c r="B513" s="119" t="s">
        <v>297</v>
      </c>
      <c r="C513">
        <v>56</v>
      </c>
      <c r="E513" s="3">
        <v>43509</v>
      </c>
      <c r="G513" t="s">
        <v>842</v>
      </c>
    </row>
    <row r="514" spans="1:7">
      <c r="A514" t="s">
        <v>841</v>
      </c>
      <c r="B514" s="119" t="s">
        <v>299</v>
      </c>
      <c r="C514">
        <v>1</v>
      </c>
      <c r="E514" s="3">
        <v>43509</v>
      </c>
      <c r="G514" t="s">
        <v>842</v>
      </c>
    </row>
    <row r="515" spans="1:7">
      <c r="A515" t="s">
        <v>841</v>
      </c>
      <c r="B515" s="119" t="s">
        <v>301</v>
      </c>
      <c r="C515">
        <v>21</v>
      </c>
      <c r="E515" s="3">
        <v>43509</v>
      </c>
      <c r="G515" t="s">
        <v>842</v>
      </c>
    </row>
    <row r="516" spans="1:7">
      <c r="A516" t="s">
        <v>841</v>
      </c>
      <c r="B516" s="119" t="s">
        <v>303</v>
      </c>
      <c r="C516">
        <v>12</v>
      </c>
      <c r="E516" s="3">
        <v>43509</v>
      </c>
      <c r="G516" t="s">
        <v>842</v>
      </c>
    </row>
    <row r="517" spans="1:7">
      <c r="A517" t="s">
        <v>841</v>
      </c>
      <c r="B517" s="119" t="s">
        <v>304</v>
      </c>
      <c r="C517">
        <v>8</v>
      </c>
      <c r="E517" s="3">
        <v>43509</v>
      </c>
      <c r="G517" t="s">
        <v>842</v>
      </c>
    </row>
    <row r="518" spans="1:7">
      <c r="A518" t="s">
        <v>841</v>
      </c>
      <c r="B518" s="119" t="s">
        <v>305</v>
      </c>
      <c r="C518">
        <v>18</v>
      </c>
      <c r="E518" s="3">
        <v>43509</v>
      </c>
      <c r="G518" t="s">
        <v>842</v>
      </c>
    </row>
    <row r="519" spans="1:7">
      <c r="A519" t="s">
        <v>841</v>
      </c>
      <c r="B519" s="119" t="s">
        <v>307</v>
      </c>
      <c r="C519">
        <v>27</v>
      </c>
      <c r="E519" s="3">
        <v>43509</v>
      </c>
      <c r="G519" t="s">
        <v>842</v>
      </c>
    </row>
    <row r="520" spans="1:7">
      <c r="A520" t="s">
        <v>841</v>
      </c>
      <c r="B520" s="119" t="s">
        <v>309</v>
      </c>
      <c r="C520">
        <v>14</v>
      </c>
      <c r="E520" s="3">
        <v>43509</v>
      </c>
      <c r="G520" t="s">
        <v>842</v>
      </c>
    </row>
    <row r="521" spans="1:7">
      <c r="A521" t="s">
        <v>841</v>
      </c>
      <c r="B521" s="119" t="s">
        <v>311</v>
      </c>
      <c r="C521">
        <v>29</v>
      </c>
      <c r="E521" s="3">
        <v>43509</v>
      </c>
      <c r="G521" t="s">
        <v>842</v>
      </c>
    </row>
    <row r="522" spans="1:7">
      <c r="A522" t="s">
        <v>841</v>
      </c>
      <c r="B522" s="119" t="s">
        <v>313</v>
      </c>
      <c r="C522">
        <v>2</v>
      </c>
      <c r="E522" s="3">
        <v>43509</v>
      </c>
      <c r="G522" t="s">
        <v>842</v>
      </c>
    </row>
    <row r="523" spans="1:7">
      <c r="A523" t="s">
        <v>841</v>
      </c>
      <c r="B523" s="119" t="s">
        <v>314</v>
      </c>
      <c r="C523">
        <v>8</v>
      </c>
      <c r="E523" s="3">
        <v>43509</v>
      </c>
      <c r="G523" t="s">
        <v>842</v>
      </c>
    </row>
    <row r="524" spans="1:7">
      <c r="A524" t="s">
        <v>841</v>
      </c>
      <c r="B524" s="119" t="s">
        <v>316</v>
      </c>
      <c r="C524">
        <v>9</v>
      </c>
      <c r="E524" s="3">
        <v>43509</v>
      </c>
      <c r="G524" t="s">
        <v>842</v>
      </c>
    </row>
    <row r="525" spans="1:7">
      <c r="A525" t="s">
        <v>841</v>
      </c>
      <c r="B525" s="119" t="s">
        <v>318</v>
      </c>
      <c r="C525">
        <v>17</v>
      </c>
      <c r="E525" s="3">
        <v>43509</v>
      </c>
      <c r="G525" t="s">
        <v>842</v>
      </c>
    </row>
    <row r="526" spans="1:7">
      <c r="A526" t="s">
        <v>841</v>
      </c>
      <c r="B526" s="119" t="s">
        <v>319</v>
      </c>
      <c r="C526">
        <v>21</v>
      </c>
      <c r="E526" s="3">
        <v>43509</v>
      </c>
      <c r="G526" t="s">
        <v>842</v>
      </c>
    </row>
    <row r="527" spans="1:7">
      <c r="A527" t="s">
        <v>841</v>
      </c>
      <c r="B527" s="119" t="s">
        <v>320</v>
      </c>
      <c r="C527">
        <v>1</v>
      </c>
      <c r="E527" s="3">
        <v>43509</v>
      </c>
      <c r="G527" t="s">
        <v>842</v>
      </c>
    </row>
    <row r="528" spans="1:7">
      <c r="A528" t="s">
        <v>841</v>
      </c>
      <c r="B528" s="119" t="s">
        <v>322</v>
      </c>
      <c r="C528">
        <v>1</v>
      </c>
      <c r="E528" s="3">
        <v>43509</v>
      </c>
      <c r="G528" t="s">
        <v>842</v>
      </c>
    </row>
    <row r="529" spans="1:7">
      <c r="A529" t="s">
        <v>841</v>
      </c>
      <c r="B529" s="119" t="s">
        <v>323</v>
      </c>
      <c r="C529">
        <v>7</v>
      </c>
      <c r="E529" s="3">
        <v>43509</v>
      </c>
      <c r="G529" t="s">
        <v>842</v>
      </c>
    </row>
    <row r="530" spans="1:7">
      <c r="A530" t="s">
        <v>841</v>
      </c>
      <c r="B530" s="119" t="s">
        <v>325</v>
      </c>
      <c r="C530">
        <v>16</v>
      </c>
      <c r="E530" s="3">
        <v>43509</v>
      </c>
      <c r="G530" t="s">
        <v>842</v>
      </c>
    </row>
    <row r="531" spans="1:7">
      <c r="A531" t="s">
        <v>841</v>
      </c>
      <c r="B531" s="119" t="s">
        <v>327</v>
      </c>
      <c r="C531">
        <v>12</v>
      </c>
      <c r="E531" s="3">
        <v>43509</v>
      </c>
      <c r="G531" t="s">
        <v>842</v>
      </c>
    </row>
    <row r="532" spans="1:7">
      <c r="A532" t="s">
        <v>841</v>
      </c>
      <c r="B532" s="119" t="s">
        <v>328</v>
      </c>
      <c r="C532">
        <v>49</v>
      </c>
      <c r="E532" s="3">
        <v>43509</v>
      </c>
      <c r="G532" t="s">
        <v>842</v>
      </c>
    </row>
    <row r="533" spans="1:7">
      <c r="A533" t="s">
        <v>841</v>
      </c>
      <c r="B533" s="119" t="s">
        <v>330</v>
      </c>
      <c r="C533">
        <v>11</v>
      </c>
      <c r="E533" s="3">
        <v>43509</v>
      </c>
      <c r="G533" t="s">
        <v>842</v>
      </c>
    </row>
    <row r="534" spans="1:7">
      <c r="A534" t="s">
        <v>841</v>
      </c>
      <c r="B534" s="119" t="s">
        <v>331</v>
      </c>
      <c r="C534">
        <v>2</v>
      </c>
      <c r="E534" s="3">
        <v>43509</v>
      </c>
      <c r="G534" t="s">
        <v>842</v>
      </c>
    </row>
    <row r="535" spans="1:7">
      <c r="A535" t="s">
        <v>841</v>
      </c>
      <c r="B535" s="119" t="s">
        <v>334</v>
      </c>
      <c r="C535">
        <v>1</v>
      </c>
      <c r="E535" s="3">
        <v>43509</v>
      </c>
      <c r="G535" t="s">
        <v>842</v>
      </c>
    </row>
    <row r="536" spans="1:7">
      <c r="A536" t="s">
        <v>841</v>
      </c>
      <c r="B536" s="119" t="s">
        <v>337</v>
      </c>
      <c r="C536">
        <v>28</v>
      </c>
      <c r="E536" s="3">
        <v>43509</v>
      </c>
      <c r="G536" t="s">
        <v>842</v>
      </c>
    </row>
    <row r="537" spans="1:7">
      <c r="A537" t="s">
        <v>841</v>
      </c>
      <c r="B537" s="119" t="s">
        <v>338</v>
      </c>
      <c r="C537">
        <v>28</v>
      </c>
      <c r="E537" s="3">
        <v>43509</v>
      </c>
      <c r="G537" t="s">
        <v>842</v>
      </c>
    </row>
    <row r="538" spans="1:7">
      <c r="A538" t="s">
        <v>841</v>
      </c>
      <c r="B538" s="119" t="s">
        <v>342</v>
      </c>
      <c r="C538">
        <v>13</v>
      </c>
      <c r="E538" s="3">
        <v>43509</v>
      </c>
      <c r="G538" t="s">
        <v>842</v>
      </c>
    </row>
    <row r="539" spans="1:7">
      <c r="A539" t="s">
        <v>841</v>
      </c>
      <c r="B539" s="119" t="s">
        <v>345</v>
      </c>
      <c r="C539">
        <v>15</v>
      </c>
      <c r="E539" s="3">
        <v>43509</v>
      </c>
      <c r="G539" t="s">
        <v>842</v>
      </c>
    </row>
    <row r="540" spans="1:7">
      <c r="A540" t="s">
        <v>841</v>
      </c>
      <c r="B540" s="119" t="s">
        <v>346</v>
      </c>
      <c r="C540">
        <v>22</v>
      </c>
      <c r="E540" s="3">
        <v>43509</v>
      </c>
      <c r="G540" t="s">
        <v>842</v>
      </c>
    </row>
    <row r="541" spans="1:7">
      <c r="A541" t="s">
        <v>841</v>
      </c>
      <c r="B541" s="119" t="s">
        <v>350</v>
      </c>
      <c r="C541">
        <v>8</v>
      </c>
      <c r="E541" s="3">
        <v>43509</v>
      </c>
      <c r="G541" t="s">
        <v>842</v>
      </c>
    </row>
    <row r="542" spans="1:7">
      <c r="A542" t="s">
        <v>841</v>
      </c>
      <c r="B542" s="119" t="s">
        <v>351</v>
      </c>
      <c r="C542">
        <v>21</v>
      </c>
      <c r="E542" s="3">
        <v>43509</v>
      </c>
      <c r="G542" t="s">
        <v>842</v>
      </c>
    </row>
    <row r="543" spans="1:7">
      <c r="A543" t="s">
        <v>841</v>
      </c>
      <c r="B543" s="119" t="s">
        <v>352</v>
      </c>
      <c r="C543">
        <v>8</v>
      </c>
      <c r="E543" s="3">
        <v>43509</v>
      </c>
      <c r="G543" t="s">
        <v>842</v>
      </c>
    </row>
    <row r="544" spans="1:7">
      <c r="A544" t="s">
        <v>841</v>
      </c>
      <c r="B544" s="119" t="s">
        <v>354</v>
      </c>
      <c r="C544">
        <v>10</v>
      </c>
      <c r="E544" s="3">
        <v>43509</v>
      </c>
      <c r="G544" t="s">
        <v>842</v>
      </c>
    </row>
    <row r="545" spans="1:7">
      <c r="A545" t="s">
        <v>841</v>
      </c>
      <c r="B545" s="119" t="s">
        <v>355</v>
      </c>
      <c r="C545">
        <v>13</v>
      </c>
      <c r="E545" s="3">
        <v>43509</v>
      </c>
      <c r="G545" t="s">
        <v>842</v>
      </c>
    </row>
    <row r="546" spans="1:7">
      <c r="A546" t="s">
        <v>841</v>
      </c>
      <c r="B546" s="119" t="s">
        <v>356</v>
      </c>
      <c r="C546">
        <v>3</v>
      </c>
      <c r="E546" s="3">
        <v>43509</v>
      </c>
      <c r="G546" t="s">
        <v>842</v>
      </c>
    </row>
    <row r="547" spans="1:7">
      <c r="A547" t="s">
        <v>841</v>
      </c>
      <c r="B547" s="119" t="s">
        <v>361</v>
      </c>
      <c r="C547">
        <v>2</v>
      </c>
      <c r="E547" s="3">
        <v>43509</v>
      </c>
      <c r="G547" t="s">
        <v>842</v>
      </c>
    </row>
    <row r="548" spans="1:7">
      <c r="A548" t="s">
        <v>841</v>
      </c>
      <c r="B548" s="119" t="s">
        <v>362</v>
      </c>
      <c r="C548">
        <v>12</v>
      </c>
      <c r="E548" s="3">
        <v>43509</v>
      </c>
      <c r="G548" t="s">
        <v>842</v>
      </c>
    </row>
    <row r="549" spans="1:7">
      <c r="A549" t="s">
        <v>841</v>
      </c>
      <c r="B549" s="119" t="s">
        <v>363</v>
      </c>
      <c r="C549">
        <v>5</v>
      </c>
      <c r="E549" s="3">
        <v>43509</v>
      </c>
      <c r="G549" t="s">
        <v>842</v>
      </c>
    </row>
    <row r="550" spans="1:7">
      <c r="A550" t="s">
        <v>841</v>
      </c>
      <c r="B550" s="119" t="s">
        <v>365</v>
      </c>
      <c r="C550">
        <v>20</v>
      </c>
      <c r="E550" s="3">
        <v>43509</v>
      </c>
      <c r="G550" t="s">
        <v>842</v>
      </c>
    </row>
    <row r="551" spans="1:7">
      <c r="A551" t="s">
        <v>841</v>
      </c>
      <c r="B551" s="119" t="s">
        <v>661</v>
      </c>
      <c r="C551">
        <v>3</v>
      </c>
      <c r="E551" s="3">
        <v>43509</v>
      </c>
      <c r="G551" t="s">
        <v>842</v>
      </c>
    </row>
    <row r="552" spans="1:7">
      <c r="A552" t="s">
        <v>841</v>
      </c>
      <c r="B552" s="119" t="s">
        <v>372</v>
      </c>
      <c r="C552">
        <v>18</v>
      </c>
      <c r="E552" s="3">
        <v>43509</v>
      </c>
      <c r="G552" t="s">
        <v>842</v>
      </c>
    </row>
    <row r="553" spans="1:7">
      <c r="A553" t="s">
        <v>841</v>
      </c>
      <c r="B553" s="119" t="s">
        <v>374</v>
      </c>
      <c r="C553">
        <v>5</v>
      </c>
      <c r="E553" s="3">
        <v>43509</v>
      </c>
      <c r="G553" t="s">
        <v>842</v>
      </c>
    </row>
    <row r="554" spans="1:7">
      <c r="A554" t="s">
        <v>841</v>
      </c>
      <c r="B554" s="119" t="s">
        <v>375</v>
      </c>
      <c r="C554">
        <v>0</v>
      </c>
      <c r="E554" s="3">
        <v>43509</v>
      </c>
      <c r="G554" t="s">
        <v>842</v>
      </c>
    </row>
    <row r="555" spans="1:7">
      <c r="A555" t="s">
        <v>841</v>
      </c>
      <c r="B555" s="119" t="s">
        <v>376</v>
      </c>
      <c r="C555">
        <v>2</v>
      </c>
      <c r="E555" s="3">
        <v>43509</v>
      </c>
      <c r="G555" t="s">
        <v>842</v>
      </c>
    </row>
    <row r="556" spans="1:7">
      <c r="A556" t="s">
        <v>841</v>
      </c>
      <c r="B556" s="119" t="s">
        <v>385</v>
      </c>
      <c r="C556">
        <v>27</v>
      </c>
      <c r="E556" s="3">
        <v>43509</v>
      </c>
      <c r="G556" t="s">
        <v>842</v>
      </c>
    </row>
    <row r="557" spans="1:7">
      <c r="A557" t="s">
        <v>841</v>
      </c>
      <c r="B557" s="119" t="s">
        <v>386</v>
      </c>
      <c r="C557">
        <v>22</v>
      </c>
      <c r="E557" s="3">
        <v>43509</v>
      </c>
      <c r="G557" t="s">
        <v>842</v>
      </c>
    </row>
    <row r="558" spans="1:7">
      <c r="A558" t="s">
        <v>841</v>
      </c>
      <c r="B558" s="119" t="s">
        <v>388</v>
      </c>
      <c r="C558">
        <v>22</v>
      </c>
      <c r="E558" s="3">
        <v>43509</v>
      </c>
      <c r="G558" t="s">
        <v>842</v>
      </c>
    </row>
    <row r="559" spans="1:7" ht="17" thickBot="1">
      <c r="A559" t="s">
        <v>841</v>
      </c>
      <c r="B559" s="121" t="s">
        <v>391</v>
      </c>
      <c r="C559">
        <v>12</v>
      </c>
      <c r="E559" s="3">
        <v>43509</v>
      </c>
      <c r="G559" t="s">
        <v>842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I314"/>
  <sheetViews>
    <sheetView topLeftCell="A297" workbookViewId="0">
      <selection activeCell="K6" sqref="K6"/>
    </sheetView>
  </sheetViews>
  <sheetFormatPr baseColWidth="10" defaultColWidth="11" defaultRowHeight="16"/>
  <cols>
    <col min="1" max="1" width="23.1640625" customWidth="1"/>
    <col min="7" max="7" width="17" style="27" customWidth="1"/>
    <col min="8" max="8" width="10.83203125" style="139"/>
    <col min="9" max="9" width="11" style="45"/>
  </cols>
  <sheetData>
    <row r="1" spans="1:9">
      <c r="A1" s="138" t="s">
        <v>1946</v>
      </c>
      <c r="B1" s="138" t="s">
        <v>844</v>
      </c>
      <c r="C1" s="138" t="s">
        <v>1947</v>
      </c>
      <c r="D1" s="138" t="s">
        <v>845</v>
      </c>
      <c r="E1" s="138" t="s">
        <v>846</v>
      </c>
      <c r="F1" s="138" t="s">
        <v>847</v>
      </c>
      <c r="G1" s="138" t="s">
        <v>1948</v>
      </c>
      <c r="H1" s="139" t="s">
        <v>1949</v>
      </c>
      <c r="I1" s="140" t="s">
        <v>848</v>
      </c>
    </row>
    <row r="2" spans="1:9">
      <c r="A2" t="s">
        <v>156</v>
      </c>
      <c r="B2" t="s">
        <v>849</v>
      </c>
      <c r="D2" t="s">
        <v>850</v>
      </c>
      <c r="E2" t="str">
        <f>"680487043518"</f>
        <v>680487043518</v>
      </c>
      <c r="F2" t="s">
        <v>851</v>
      </c>
      <c r="G2">
        <v>19.989999999999998</v>
      </c>
      <c r="H2">
        <v>0</v>
      </c>
      <c r="I2">
        <v>26</v>
      </c>
    </row>
    <row r="3" spans="1:9">
      <c r="A3" t="s">
        <v>157</v>
      </c>
      <c r="B3" t="s">
        <v>849</v>
      </c>
      <c r="D3" t="s">
        <v>850</v>
      </c>
      <c r="E3" t="str">
        <f>"680487043709"</f>
        <v>680487043709</v>
      </c>
      <c r="F3" t="s">
        <v>851</v>
      </c>
      <c r="G3">
        <v>19.989999999999998</v>
      </c>
      <c r="H3">
        <v>0</v>
      </c>
      <c r="I3">
        <v>0</v>
      </c>
    </row>
    <row r="4" spans="1:9">
      <c r="A4" t="s">
        <v>158</v>
      </c>
      <c r="B4" t="s">
        <v>849</v>
      </c>
      <c r="D4" t="s">
        <v>850</v>
      </c>
      <c r="E4" t="str">
        <f>"680487086058"</f>
        <v>680487086058</v>
      </c>
      <c r="F4" t="s">
        <v>851</v>
      </c>
      <c r="G4">
        <v>19.989999999999998</v>
      </c>
      <c r="H4">
        <v>0</v>
      </c>
      <c r="I4">
        <v>6</v>
      </c>
    </row>
    <row r="5" spans="1:9">
      <c r="A5" t="s">
        <v>159</v>
      </c>
      <c r="B5" t="s">
        <v>849</v>
      </c>
      <c r="D5" t="s">
        <v>850</v>
      </c>
      <c r="E5" t="str">
        <f>"680487043525"</f>
        <v>680487043525</v>
      </c>
      <c r="F5" t="s">
        <v>851</v>
      </c>
      <c r="G5">
        <v>19.989999999999998</v>
      </c>
      <c r="H5">
        <v>0</v>
      </c>
      <c r="I5">
        <v>20</v>
      </c>
    </row>
    <row r="6" spans="1:9">
      <c r="A6" t="s">
        <v>160</v>
      </c>
      <c r="B6" t="s">
        <v>849</v>
      </c>
      <c r="D6" t="s">
        <v>850</v>
      </c>
      <c r="E6" t="str">
        <f>"680487043778"</f>
        <v>680487043778</v>
      </c>
      <c r="F6" t="s">
        <v>851</v>
      </c>
      <c r="G6">
        <v>19.989999999999998</v>
      </c>
      <c r="H6">
        <v>0</v>
      </c>
      <c r="I6">
        <v>7</v>
      </c>
    </row>
    <row r="7" spans="1:9">
      <c r="A7" t="s">
        <v>161</v>
      </c>
      <c r="B7" t="s">
        <v>849</v>
      </c>
      <c r="D7" t="s">
        <v>850</v>
      </c>
      <c r="E7" t="str">
        <f>"680487043556"</f>
        <v>680487043556</v>
      </c>
      <c r="F7" t="s">
        <v>851</v>
      </c>
      <c r="G7">
        <v>19.989999999999998</v>
      </c>
      <c r="H7">
        <v>0</v>
      </c>
      <c r="I7">
        <v>26</v>
      </c>
    </row>
    <row r="8" spans="1:9">
      <c r="A8" t="s">
        <v>162</v>
      </c>
      <c r="B8" t="s">
        <v>849</v>
      </c>
      <c r="D8" t="s">
        <v>850</v>
      </c>
      <c r="E8" t="str">
        <f>"680487046373"</f>
        <v>680487046373</v>
      </c>
      <c r="F8" t="s">
        <v>851</v>
      </c>
      <c r="G8">
        <v>19.989999999999998</v>
      </c>
      <c r="H8">
        <v>0</v>
      </c>
      <c r="I8">
        <v>4</v>
      </c>
    </row>
    <row r="9" spans="1:9">
      <c r="A9" t="s">
        <v>546</v>
      </c>
      <c r="B9" t="s">
        <v>849</v>
      </c>
      <c r="D9" t="s">
        <v>850</v>
      </c>
      <c r="E9" t="str">
        <f>"680487074994"</f>
        <v>680487074994</v>
      </c>
      <c r="F9" t="s">
        <v>851</v>
      </c>
      <c r="G9">
        <v>19.989999999999998</v>
      </c>
      <c r="H9">
        <v>0</v>
      </c>
      <c r="I9">
        <v>0</v>
      </c>
    </row>
    <row r="10" spans="1:9">
      <c r="A10" t="s">
        <v>547</v>
      </c>
      <c r="B10" t="s">
        <v>849</v>
      </c>
      <c r="D10" t="s">
        <v>850</v>
      </c>
      <c r="E10" t="str">
        <f>"680487075007"</f>
        <v>680487075007</v>
      </c>
      <c r="F10" t="s">
        <v>851</v>
      </c>
      <c r="G10">
        <v>19.989999999999998</v>
      </c>
      <c r="H10">
        <v>0</v>
      </c>
      <c r="I10">
        <v>0</v>
      </c>
    </row>
    <row r="11" spans="1:9">
      <c r="A11" t="s">
        <v>163</v>
      </c>
      <c r="B11" t="s">
        <v>849</v>
      </c>
      <c r="D11" t="s">
        <v>850</v>
      </c>
      <c r="E11" t="str">
        <f>"680487043631"</f>
        <v>680487043631</v>
      </c>
      <c r="F11" t="s">
        <v>851</v>
      </c>
      <c r="G11">
        <v>19.989999999999998</v>
      </c>
      <c r="H11">
        <v>0</v>
      </c>
      <c r="I11">
        <v>7</v>
      </c>
    </row>
    <row r="12" spans="1:9">
      <c r="A12" t="s">
        <v>164</v>
      </c>
      <c r="B12" t="s">
        <v>849</v>
      </c>
      <c r="D12" t="s">
        <v>850</v>
      </c>
      <c r="E12" t="str">
        <f>"680487166224"</f>
        <v>680487166224</v>
      </c>
      <c r="F12" t="s">
        <v>851</v>
      </c>
      <c r="G12">
        <v>19.989999999999998</v>
      </c>
      <c r="H12">
        <v>0</v>
      </c>
      <c r="I12">
        <v>3</v>
      </c>
    </row>
    <row r="13" spans="1:9">
      <c r="A13" t="s">
        <v>165</v>
      </c>
      <c r="B13" t="s">
        <v>849</v>
      </c>
      <c r="D13" t="s">
        <v>850</v>
      </c>
      <c r="E13" t="str">
        <f>"680487043433"</f>
        <v>680487043433</v>
      </c>
      <c r="F13" t="s">
        <v>851</v>
      </c>
      <c r="G13">
        <v>19.989999999999998</v>
      </c>
      <c r="H13">
        <v>0</v>
      </c>
      <c r="I13">
        <v>26</v>
      </c>
    </row>
    <row r="14" spans="1:9">
      <c r="A14" t="s">
        <v>166</v>
      </c>
      <c r="B14" t="s">
        <v>849</v>
      </c>
      <c r="D14" t="s">
        <v>850</v>
      </c>
      <c r="E14" t="str">
        <f>"680487043440"</f>
        <v>680487043440</v>
      </c>
      <c r="F14" t="s">
        <v>851</v>
      </c>
      <c r="G14">
        <v>19.989999999999998</v>
      </c>
      <c r="H14">
        <v>0</v>
      </c>
      <c r="I14">
        <v>0</v>
      </c>
    </row>
    <row r="15" spans="1:9">
      <c r="A15" t="s">
        <v>541</v>
      </c>
      <c r="B15" t="s">
        <v>849</v>
      </c>
      <c r="D15" t="s">
        <v>850</v>
      </c>
      <c r="E15" t="str">
        <f>"680487043617"</f>
        <v>680487043617</v>
      </c>
      <c r="F15" t="s">
        <v>851</v>
      </c>
      <c r="G15">
        <v>19.989999999999998</v>
      </c>
      <c r="H15">
        <v>0</v>
      </c>
      <c r="I15">
        <v>13</v>
      </c>
    </row>
    <row r="16" spans="1:9">
      <c r="A16" t="s">
        <v>167</v>
      </c>
      <c r="B16" t="s">
        <v>849</v>
      </c>
      <c r="D16" t="s">
        <v>850</v>
      </c>
      <c r="E16" t="str">
        <f>"680487043501"</f>
        <v>680487043501</v>
      </c>
      <c r="F16" t="s">
        <v>851</v>
      </c>
      <c r="G16">
        <v>19.989999999999998</v>
      </c>
      <c r="H16">
        <v>0</v>
      </c>
      <c r="I16">
        <v>20</v>
      </c>
    </row>
    <row r="17" spans="1:9">
      <c r="A17" t="s">
        <v>168</v>
      </c>
      <c r="B17" t="s">
        <v>849</v>
      </c>
      <c r="D17" t="s">
        <v>850</v>
      </c>
      <c r="E17" t="str">
        <f>"680487043693"</f>
        <v>680487043693</v>
      </c>
      <c r="F17" t="s">
        <v>851</v>
      </c>
      <c r="G17">
        <v>19.989999999999998</v>
      </c>
      <c r="H17">
        <v>0</v>
      </c>
      <c r="I17">
        <v>0</v>
      </c>
    </row>
    <row r="18" spans="1:9">
      <c r="A18" t="s">
        <v>548</v>
      </c>
      <c r="B18" t="s">
        <v>849</v>
      </c>
      <c r="D18" t="s">
        <v>850</v>
      </c>
      <c r="E18" t="str">
        <f>"680487085976"</f>
        <v>680487085976</v>
      </c>
      <c r="F18" t="s">
        <v>851</v>
      </c>
      <c r="G18">
        <v>19.989999999999998</v>
      </c>
      <c r="H18">
        <v>0</v>
      </c>
      <c r="I18">
        <v>6</v>
      </c>
    </row>
    <row r="19" spans="1:9">
      <c r="A19" t="s">
        <v>169</v>
      </c>
      <c r="B19" t="s">
        <v>849</v>
      </c>
      <c r="D19" t="s">
        <v>850</v>
      </c>
      <c r="E19" t="str">
        <f>"680487046311"</f>
        <v>680487046311</v>
      </c>
      <c r="F19" t="s">
        <v>851</v>
      </c>
      <c r="G19">
        <v>19.989999999999998</v>
      </c>
      <c r="H19">
        <v>0</v>
      </c>
      <c r="I19">
        <v>8</v>
      </c>
    </row>
    <row r="20" spans="1:9">
      <c r="A20" t="s">
        <v>549</v>
      </c>
      <c r="B20" t="s">
        <v>849</v>
      </c>
      <c r="D20" t="s">
        <v>850</v>
      </c>
      <c r="E20" t="str">
        <f>"680487167146"</f>
        <v>680487167146</v>
      </c>
      <c r="F20" t="s">
        <v>851</v>
      </c>
      <c r="G20">
        <v>19.989999999999998</v>
      </c>
      <c r="H20">
        <v>0</v>
      </c>
      <c r="I20">
        <v>0</v>
      </c>
    </row>
    <row r="21" spans="1:9">
      <c r="A21" t="s">
        <v>170</v>
      </c>
      <c r="B21" t="s">
        <v>849</v>
      </c>
      <c r="D21" t="s">
        <v>850</v>
      </c>
      <c r="E21" t="str">
        <f>"680487046328"</f>
        <v>680487046328</v>
      </c>
      <c r="F21" t="s">
        <v>851</v>
      </c>
      <c r="G21">
        <v>19.989999999999998</v>
      </c>
      <c r="H21">
        <v>0</v>
      </c>
      <c r="I21">
        <v>10</v>
      </c>
    </row>
    <row r="22" spans="1:9">
      <c r="A22" t="s">
        <v>171</v>
      </c>
      <c r="B22" t="s">
        <v>849</v>
      </c>
      <c r="D22" t="s">
        <v>850</v>
      </c>
      <c r="E22" t="str">
        <f>"680487043600"</f>
        <v>680487043600</v>
      </c>
      <c r="F22" t="s">
        <v>851</v>
      </c>
      <c r="G22">
        <v>19.989999999999998</v>
      </c>
      <c r="H22">
        <v>0</v>
      </c>
      <c r="I22">
        <v>9</v>
      </c>
    </row>
    <row r="23" spans="1:9">
      <c r="A23" t="s">
        <v>172</v>
      </c>
      <c r="B23" t="s">
        <v>849</v>
      </c>
      <c r="D23" t="s">
        <v>850</v>
      </c>
      <c r="E23" t="str">
        <f>"680487043716"</f>
        <v>680487043716</v>
      </c>
      <c r="F23" t="s">
        <v>851</v>
      </c>
      <c r="G23">
        <v>19.989999999999998</v>
      </c>
      <c r="H23">
        <v>0</v>
      </c>
      <c r="I23">
        <v>0</v>
      </c>
    </row>
    <row r="24" spans="1:9">
      <c r="A24" t="s">
        <v>173</v>
      </c>
      <c r="B24" t="s">
        <v>849</v>
      </c>
      <c r="D24" t="s">
        <v>850</v>
      </c>
      <c r="E24" t="str">
        <f>"680487086065"</f>
        <v>680487086065</v>
      </c>
      <c r="F24" t="s">
        <v>851</v>
      </c>
      <c r="G24">
        <v>19.989999999999998</v>
      </c>
      <c r="H24">
        <v>0</v>
      </c>
      <c r="I24">
        <v>4</v>
      </c>
    </row>
    <row r="25" spans="1:9">
      <c r="A25" t="s">
        <v>543</v>
      </c>
      <c r="B25" t="s">
        <v>849</v>
      </c>
      <c r="D25" t="s">
        <v>850</v>
      </c>
      <c r="E25" t="str">
        <f>"680487046380"</f>
        <v>680487046380</v>
      </c>
      <c r="F25" t="s">
        <v>851</v>
      </c>
      <c r="G25">
        <v>19.989999999999998</v>
      </c>
      <c r="H25">
        <v>0</v>
      </c>
      <c r="I25">
        <v>4</v>
      </c>
    </row>
    <row r="26" spans="1:9">
      <c r="A26" t="s">
        <v>174</v>
      </c>
      <c r="B26" t="s">
        <v>849</v>
      </c>
      <c r="D26" t="s">
        <v>850</v>
      </c>
      <c r="E26" t="str">
        <f>"680487046403"</f>
        <v>680487046403</v>
      </c>
      <c r="F26" t="s">
        <v>851</v>
      </c>
      <c r="G26">
        <v>19.989999999999998</v>
      </c>
      <c r="H26">
        <v>0</v>
      </c>
      <c r="I26">
        <v>0</v>
      </c>
    </row>
    <row r="27" spans="1:9">
      <c r="A27" t="s">
        <v>175</v>
      </c>
      <c r="B27" t="s">
        <v>849</v>
      </c>
      <c r="D27" t="s">
        <v>850</v>
      </c>
      <c r="E27" t="str">
        <f>"680487043549"</f>
        <v>680487043549</v>
      </c>
      <c r="F27" t="s">
        <v>851</v>
      </c>
      <c r="G27">
        <v>19.989999999999998</v>
      </c>
      <c r="H27">
        <v>0</v>
      </c>
      <c r="I27">
        <v>5</v>
      </c>
    </row>
    <row r="28" spans="1:9">
      <c r="A28" t="s">
        <v>176</v>
      </c>
      <c r="B28" t="s">
        <v>849</v>
      </c>
      <c r="D28" t="s">
        <v>850</v>
      </c>
      <c r="E28" t="str">
        <f>"680487043495"</f>
        <v>680487043495</v>
      </c>
      <c r="F28" t="s">
        <v>851</v>
      </c>
      <c r="G28">
        <v>19.989999999999998</v>
      </c>
      <c r="H28">
        <v>0</v>
      </c>
      <c r="I28">
        <v>15</v>
      </c>
    </row>
    <row r="29" spans="1:9">
      <c r="A29" t="s">
        <v>177</v>
      </c>
      <c r="B29" t="s">
        <v>849</v>
      </c>
      <c r="D29" t="s">
        <v>850</v>
      </c>
      <c r="E29" t="str">
        <f>"680487046342"</f>
        <v>680487046342</v>
      </c>
      <c r="F29" t="s">
        <v>851</v>
      </c>
      <c r="G29">
        <v>19.989999999999998</v>
      </c>
      <c r="H29">
        <v>0</v>
      </c>
      <c r="I29">
        <v>0</v>
      </c>
    </row>
    <row r="30" spans="1:9">
      <c r="A30" t="s">
        <v>178</v>
      </c>
      <c r="B30" t="s">
        <v>849</v>
      </c>
      <c r="D30" t="s">
        <v>850</v>
      </c>
      <c r="E30" t="str">
        <f>"680487043471"</f>
        <v>680487043471</v>
      </c>
      <c r="F30" t="s">
        <v>851</v>
      </c>
      <c r="G30">
        <v>19.989999999999998</v>
      </c>
      <c r="H30">
        <v>0</v>
      </c>
      <c r="I30">
        <v>20</v>
      </c>
    </row>
    <row r="31" spans="1:9">
      <c r="A31" t="s">
        <v>179</v>
      </c>
      <c r="B31" t="s">
        <v>849</v>
      </c>
      <c r="D31" t="s">
        <v>850</v>
      </c>
      <c r="E31" t="str">
        <f>"680487043563"</f>
        <v>680487043563</v>
      </c>
      <c r="F31" t="s">
        <v>851</v>
      </c>
      <c r="G31">
        <v>19.989999999999998</v>
      </c>
      <c r="H31">
        <v>0</v>
      </c>
      <c r="I31">
        <v>6</v>
      </c>
    </row>
    <row r="32" spans="1:9">
      <c r="A32" t="s">
        <v>180</v>
      </c>
      <c r="B32" t="s">
        <v>849</v>
      </c>
      <c r="D32" t="s">
        <v>850</v>
      </c>
      <c r="E32" t="str">
        <f>"680487086010"</f>
        <v>680487086010</v>
      </c>
      <c r="F32" t="s">
        <v>851</v>
      </c>
      <c r="G32">
        <v>19.989999999999998</v>
      </c>
      <c r="H32">
        <v>0</v>
      </c>
      <c r="I32">
        <v>3</v>
      </c>
    </row>
    <row r="33" spans="1:9">
      <c r="A33" t="s">
        <v>544</v>
      </c>
      <c r="B33" t="s">
        <v>849</v>
      </c>
      <c r="D33" t="s">
        <v>850</v>
      </c>
      <c r="E33" t="str">
        <f>"680487043488"</f>
        <v>680487043488</v>
      </c>
      <c r="F33" t="s">
        <v>851</v>
      </c>
      <c r="G33">
        <v>19.989999999999998</v>
      </c>
      <c r="H33">
        <v>0</v>
      </c>
      <c r="I33">
        <v>2</v>
      </c>
    </row>
    <row r="34" spans="1:9">
      <c r="A34" t="s">
        <v>550</v>
      </c>
      <c r="B34" t="s">
        <v>849</v>
      </c>
      <c r="D34" t="s">
        <v>850</v>
      </c>
      <c r="E34" t="str">
        <f>"680487043723"</f>
        <v>680487043723</v>
      </c>
      <c r="F34" t="s">
        <v>851</v>
      </c>
      <c r="G34">
        <v>19.989999999999998</v>
      </c>
      <c r="H34">
        <v>0</v>
      </c>
      <c r="I34">
        <v>0</v>
      </c>
    </row>
    <row r="35" spans="1:9">
      <c r="A35" t="s">
        <v>542</v>
      </c>
      <c r="B35" t="s">
        <v>849</v>
      </c>
      <c r="D35" t="s">
        <v>850</v>
      </c>
      <c r="E35" t="str">
        <f>"680487166460"</f>
        <v>680487166460</v>
      </c>
      <c r="F35" t="s">
        <v>851</v>
      </c>
      <c r="G35">
        <v>19.989999999999998</v>
      </c>
      <c r="H35">
        <v>0</v>
      </c>
      <c r="I35">
        <v>5</v>
      </c>
    </row>
    <row r="36" spans="1:9">
      <c r="A36" t="s">
        <v>181</v>
      </c>
      <c r="B36" t="s">
        <v>849</v>
      </c>
      <c r="D36" t="s">
        <v>850</v>
      </c>
      <c r="E36" t="str">
        <f>"680487046359"</f>
        <v>680487046359</v>
      </c>
      <c r="F36" t="s">
        <v>851</v>
      </c>
      <c r="G36">
        <v>19.989999999999998</v>
      </c>
      <c r="H36">
        <v>0</v>
      </c>
      <c r="I36">
        <v>6</v>
      </c>
    </row>
    <row r="37" spans="1:9">
      <c r="A37" t="s">
        <v>182</v>
      </c>
      <c r="B37" t="s">
        <v>849</v>
      </c>
      <c r="D37" t="s">
        <v>850</v>
      </c>
      <c r="E37" t="str">
        <f>"680487043457"</f>
        <v>680487043457</v>
      </c>
      <c r="F37" t="s">
        <v>851</v>
      </c>
      <c r="G37">
        <v>19.989999999999998</v>
      </c>
      <c r="H37">
        <v>0</v>
      </c>
      <c r="I37">
        <v>5</v>
      </c>
    </row>
    <row r="38" spans="1:9">
      <c r="A38" t="s">
        <v>183</v>
      </c>
      <c r="B38" t="s">
        <v>849</v>
      </c>
      <c r="D38" t="s">
        <v>850</v>
      </c>
      <c r="E38" t="str">
        <f>"680487043730"</f>
        <v>680487043730</v>
      </c>
      <c r="F38" t="s">
        <v>851</v>
      </c>
      <c r="G38">
        <v>19.989999999999998</v>
      </c>
      <c r="H38">
        <v>0</v>
      </c>
      <c r="I38">
        <v>8</v>
      </c>
    </row>
    <row r="39" spans="1:9">
      <c r="A39" t="s">
        <v>184</v>
      </c>
      <c r="B39" t="s">
        <v>849</v>
      </c>
      <c r="D39" t="s">
        <v>850</v>
      </c>
      <c r="E39" t="str">
        <f>"680487043587"</f>
        <v>680487043587</v>
      </c>
      <c r="F39" t="s">
        <v>851</v>
      </c>
      <c r="G39">
        <v>19.989999999999998</v>
      </c>
      <c r="H39">
        <v>0</v>
      </c>
      <c r="I39">
        <v>20</v>
      </c>
    </row>
    <row r="40" spans="1:9">
      <c r="A40" t="s">
        <v>551</v>
      </c>
      <c r="B40" t="s">
        <v>849</v>
      </c>
      <c r="D40" t="s">
        <v>850</v>
      </c>
      <c r="E40" t="str">
        <f>"80487043747"</f>
        <v>80487043747</v>
      </c>
      <c r="F40" t="s">
        <v>852</v>
      </c>
      <c r="G40">
        <v>19.989999999999998</v>
      </c>
      <c r="H40">
        <v>0</v>
      </c>
      <c r="I40">
        <v>0</v>
      </c>
    </row>
    <row r="41" spans="1:9">
      <c r="A41" t="s">
        <v>185</v>
      </c>
      <c r="B41" t="s">
        <v>849</v>
      </c>
      <c r="D41" t="s">
        <v>850</v>
      </c>
      <c r="E41" t="str">
        <f>"680487043648"</f>
        <v>680487043648</v>
      </c>
      <c r="F41" t="s">
        <v>851</v>
      </c>
      <c r="G41">
        <v>19.989999999999998</v>
      </c>
      <c r="H41">
        <v>0</v>
      </c>
      <c r="I41">
        <v>21</v>
      </c>
    </row>
    <row r="42" spans="1:9">
      <c r="A42" t="s">
        <v>186</v>
      </c>
      <c r="B42" t="s">
        <v>849</v>
      </c>
      <c r="D42" t="s">
        <v>850</v>
      </c>
      <c r="E42" t="str">
        <f>"680487043662"</f>
        <v>680487043662</v>
      </c>
      <c r="F42" t="s">
        <v>851</v>
      </c>
      <c r="G42">
        <v>19.989999999999998</v>
      </c>
      <c r="H42">
        <v>0</v>
      </c>
      <c r="I42">
        <v>9</v>
      </c>
    </row>
    <row r="43" spans="1:9">
      <c r="A43" t="s">
        <v>187</v>
      </c>
      <c r="B43" t="s">
        <v>849</v>
      </c>
      <c r="D43" t="s">
        <v>850</v>
      </c>
      <c r="E43" t="str">
        <f>"680487043655"</f>
        <v>680487043655</v>
      </c>
      <c r="F43" t="s">
        <v>851</v>
      </c>
      <c r="G43">
        <v>19.989999999999998</v>
      </c>
      <c r="H43">
        <v>0</v>
      </c>
      <c r="I43">
        <v>17</v>
      </c>
    </row>
    <row r="44" spans="1:9">
      <c r="A44" t="s">
        <v>188</v>
      </c>
      <c r="B44" t="s">
        <v>849</v>
      </c>
      <c r="D44" t="s">
        <v>850</v>
      </c>
      <c r="E44" t="str">
        <f>"680487043464"</f>
        <v>680487043464</v>
      </c>
      <c r="F44" t="s">
        <v>851</v>
      </c>
      <c r="G44">
        <v>19.989999999999998</v>
      </c>
      <c r="H44">
        <v>0</v>
      </c>
      <c r="I44">
        <v>2</v>
      </c>
    </row>
    <row r="45" spans="1:9">
      <c r="A45" t="s">
        <v>189</v>
      </c>
      <c r="B45" t="s">
        <v>849</v>
      </c>
      <c r="D45" t="s">
        <v>850</v>
      </c>
      <c r="E45" t="str">
        <f>"680487046304"</f>
        <v>680487046304</v>
      </c>
      <c r="F45" t="s">
        <v>851</v>
      </c>
      <c r="G45">
        <v>19.989999999999998</v>
      </c>
      <c r="H45">
        <v>0</v>
      </c>
      <c r="I45">
        <v>5</v>
      </c>
    </row>
    <row r="46" spans="1:9">
      <c r="A46" t="s">
        <v>190</v>
      </c>
      <c r="B46" t="s">
        <v>849</v>
      </c>
      <c r="D46" t="s">
        <v>850</v>
      </c>
      <c r="E46" t="str">
        <f>"680487043679"</f>
        <v>680487043679</v>
      </c>
      <c r="F46" t="s">
        <v>851</v>
      </c>
      <c r="G46">
        <v>19.989999999999998</v>
      </c>
      <c r="H46">
        <v>0</v>
      </c>
      <c r="I46">
        <v>36</v>
      </c>
    </row>
    <row r="47" spans="1:9">
      <c r="A47" t="s">
        <v>191</v>
      </c>
      <c r="B47" t="s">
        <v>849</v>
      </c>
      <c r="D47" t="s">
        <v>850</v>
      </c>
      <c r="E47" t="str">
        <f>"680487085969"</f>
        <v>680487085969</v>
      </c>
      <c r="F47" t="s">
        <v>851</v>
      </c>
      <c r="G47">
        <v>19.989999999999998</v>
      </c>
      <c r="H47">
        <v>0</v>
      </c>
      <c r="I47">
        <v>4</v>
      </c>
    </row>
    <row r="48" spans="1:9">
      <c r="A48" t="s">
        <v>545</v>
      </c>
      <c r="B48" t="s">
        <v>849</v>
      </c>
      <c r="D48" t="s">
        <v>850</v>
      </c>
      <c r="E48" t="str">
        <f>"680487086041"</f>
        <v>680487086041</v>
      </c>
      <c r="F48" t="s">
        <v>851</v>
      </c>
      <c r="G48">
        <v>19.989999999999998</v>
      </c>
      <c r="H48">
        <v>0</v>
      </c>
      <c r="I48">
        <v>8</v>
      </c>
    </row>
    <row r="49" spans="1:9">
      <c r="A49" t="s">
        <v>192</v>
      </c>
      <c r="B49" t="s">
        <v>849</v>
      </c>
      <c r="D49" t="s">
        <v>850</v>
      </c>
      <c r="E49" t="str">
        <f>"680487086034"</f>
        <v>680487086034</v>
      </c>
      <c r="F49" t="s">
        <v>851</v>
      </c>
      <c r="G49">
        <v>19.989999999999998</v>
      </c>
      <c r="H49">
        <v>0</v>
      </c>
      <c r="I49">
        <v>2</v>
      </c>
    </row>
    <row r="50" spans="1:9">
      <c r="A50" t="s">
        <v>193</v>
      </c>
      <c r="B50" t="s">
        <v>849</v>
      </c>
      <c r="D50" t="s">
        <v>850</v>
      </c>
      <c r="E50" t="str">
        <f>"680487085990"</f>
        <v>680487085990</v>
      </c>
      <c r="F50" t="s">
        <v>851</v>
      </c>
      <c r="G50">
        <v>19.989999999999998</v>
      </c>
      <c r="H50">
        <v>0</v>
      </c>
      <c r="I50">
        <v>6</v>
      </c>
    </row>
    <row r="51" spans="1:9">
      <c r="A51" t="s">
        <v>194</v>
      </c>
      <c r="B51" t="s">
        <v>849</v>
      </c>
      <c r="D51" t="s">
        <v>850</v>
      </c>
      <c r="E51" t="str">
        <f>"680487043761"</f>
        <v>680487043761</v>
      </c>
      <c r="F51" t="s">
        <v>851</v>
      </c>
      <c r="G51">
        <v>19.989999999999998</v>
      </c>
      <c r="H51">
        <v>0</v>
      </c>
      <c r="I51">
        <v>4</v>
      </c>
    </row>
    <row r="52" spans="1:9">
      <c r="A52" t="s">
        <v>195</v>
      </c>
      <c r="B52" t="s">
        <v>849</v>
      </c>
      <c r="D52" t="s">
        <v>850</v>
      </c>
      <c r="E52" t="str">
        <f>"680487046335"</f>
        <v>680487046335</v>
      </c>
      <c r="F52" t="s">
        <v>851</v>
      </c>
      <c r="G52">
        <v>19.989999999999998</v>
      </c>
      <c r="H52">
        <v>0</v>
      </c>
      <c r="I52">
        <v>4</v>
      </c>
    </row>
    <row r="53" spans="1:9">
      <c r="A53" t="s">
        <v>196</v>
      </c>
      <c r="B53" t="s">
        <v>849</v>
      </c>
      <c r="D53" t="s">
        <v>850</v>
      </c>
      <c r="E53" t="str">
        <f>"680487043570"</f>
        <v>680487043570</v>
      </c>
      <c r="F53" t="s">
        <v>851</v>
      </c>
      <c r="G53">
        <v>19.989999999999998</v>
      </c>
      <c r="H53">
        <v>0</v>
      </c>
      <c r="I53">
        <v>11</v>
      </c>
    </row>
    <row r="54" spans="1:9">
      <c r="A54" t="s">
        <v>197</v>
      </c>
      <c r="B54" t="s">
        <v>849</v>
      </c>
      <c r="D54" t="s">
        <v>850</v>
      </c>
      <c r="E54" t="str">
        <f>"680487043532"</f>
        <v>680487043532</v>
      </c>
      <c r="F54" t="s">
        <v>851</v>
      </c>
      <c r="G54">
        <v>19.989999999999998</v>
      </c>
      <c r="H54">
        <v>0</v>
      </c>
      <c r="I54">
        <v>10</v>
      </c>
    </row>
    <row r="55" spans="1:9">
      <c r="A55" t="s">
        <v>198</v>
      </c>
      <c r="B55" t="s">
        <v>849</v>
      </c>
      <c r="D55" t="s">
        <v>850</v>
      </c>
      <c r="E55" t="str">
        <f>"680487043594"</f>
        <v>680487043594</v>
      </c>
      <c r="F55" t="s">
        <v>851</v>
      </c>
      <c r="G55">
        <v>19.989999999999998</v>
      </c>
      <c r="H55">
        <v>0</v>
      </c>
      <c r="I55">
        <v>14</v>
      </c>
    </row>
    <row r="56" spans="1:9">
      <c r="A56" t="s">
        <v>540</v>
      </c>
      <c r="B56" t="s">
        <v>849</v>
      </c>
      <c r="D56" t="s">
        <v>850</v>
      </c>
      <c r="E56" t="str">
        <f>"680487165906"</f>
        <v>680487165906</v>
      </c>
      <c r="F56" t="s">
        <v>851</v>
      </c>
      <c r="G56">
        <v>19.989999999999998</v>
      </c>
      <c r="H56">
        <v>0</v>
      </c>
      <c r="I56">
        <v>6</v>
      </c>
    </row>
    <row r="57" spans="1:9">
      <c r="A57" t="s">
        <v>199</v>
      </c>
      <c r="B57" t="s">
        <v>849</v>
      </c>
      <c r="D57" t="s">
        <v>850</v>
      </c>
      <c r="E57" t="str">
        <f>"680487046298"</f>
        <v>680487046298</v>
      </c>
      <c r="F57" t="s">
        <v>851</v>
      </c>
      <c r="G57">
        <v>19.989999999999998</v>
      </c>
      <c r="H57">
        <v>0</v>
      </c>
      <c r="I57">
        <v>0</v>
      </c>
    </row>
    <row r="58" spans="1:9">
      <c r="A58" t="s">
        <v>200</v>
      </c>
      <c r="B58" t="s">
        <v>849</v>
      </c>
      <c r="D58" t="s">
        <v>850</v>
      </c>
      <c r="E58" t="str">
        <f>"680487046366"</f>
        <v>680487046366</v>
      </c>
      <c r="F58" t="s">
        <v>851</v>
      </c>
      <c r="G58">
        <v>19.989999999999998</v>
      </c>
      <c r="H58">
        <v>0</v>
      </c>
      <c r="I58">
        <v>4</v>
      </c>
    </row>
    <row r="59" spans="1:9">
      <c r="A59" t="s">
        <v>201</v>
      </c>
      <c r="B59" t="s">
        <v>849</v>
      </c>
      <c r="D59" t="s">
        <v>850</v>
      </c>
      <c r="E59" t="str">
        <f>"680487166217"</f>
        <v>680487166217</v>
      </c>
      <c r="F59" t="s">
        <v>851</v>
      </c>
      <c r="G59">
        <v>19.989999999999998</v>
      </c>
      <c r="H59">
        <v>0</v>
      </c>
      <c r="I59">
        <v>0</v>
      </c>
    </row>
    <row r="60" spans="1:9">
      <c r="A60" t="s">
        <v>202</v>
      </c>
      <c r="B60" t="s">
        <v>849</v>
      </c>
      <c r="D60" t="s">
        <v>850</v>
      </c>
      <c r="E60" t="str">
        <f>"680487046397"</f>
        <v>680487046397</v>
      </c>
      <c r="F60" t="s">
        <v>851</v>
      </c>
      <c r="G60">
        <v>19.989999999999998</v>
      </c>
      <c r="H60">
        <v>0</v>
      </c>
      <c r="I60">
        <v>23</v>
      </c>
    </row>
    <row r="61" spans="1:9">
      <c r="A61" t="s">
        <v>203</v>
      </c>
      <c r="B61" t="s">
        <v>849</v>
      </c>
      <c r="D61" t="s">
        <v>850</v>
      </c>
      <c r="E61" t="str">
        <f>"680487086072"</f>
        <v>680487086072</v>
      </c>
      <c r="F61" t="s">
        <v>851</v>
      </c>
      <c r="G61">
        <v>19.989999999999998</v>
      </c>
      <c r="H61">
        <v>0</v>
      </c>
      <c r="I61">
        <v>8</v>
      </c>
    </row>
    <row r="62" spans="1:9">
      <c r="A62" t="s">
        <v>552</v>
      </c>
      <c r="B62" t="s">
        <v>849</v>
      </c>
      <c r="D62" t="s">
        <v>850</v>
      </c>
      <c r="E62" t="str">
        <f>"680487086027"</f>
        <v>680487086027</v>
      </c>
      <c r="F62" t="s">
        <v>851</v>
      </c>
      <c r="G62">
        <v>19.989999999999998</v>
      </c>
      <c r="H62">
        <v>0</v>
      </c>
      <c r="I62">
        <v>0</v>
      </c>
    </row>
    <row r="63" spans="1:9">
      <c r="A63" t="s">
        <v>204</v>
      </c>
      <c r="B63" t="s">
        <v>849</v>
      </c>
      <c r="D63" t="s">
        <v>850</v>
      </c>
      <c r="E63" t="str">
        <f>"680487043754"</f>
        <v>680487043754</v>
      </c>
      <c r="F63" t="s">
        <v>851</v>
      </c>
      <c r="G63">
        <v>19.989999999999998</v>
      </c>
      <c r="H63">
        <v>0</v>
      </c>
      <c r="I63">
        <v>14</v>
      </c>
    </row>
    <row r="64" spans="1:9">
      <c r="A64" t="s">
        <v>205</v>
      </c>
      <c r="B64" t="s">
        <v>849</v>
      </c>
      <c r="D64" t="s">
        <v>850</v>
      </c>
      <c r="E64" t="str">
        <f>"680487043624"</f>
        <v>680487043624</v>
      </c>
      <c r="F64" t="s">
        <v>851</v>
      </c>
      <c r="G64">
        <v>19.989999999999998</v>
      </c>
      <c r="H64">
        <v>0</v>
      </c>
      <c r="I64">
        <v>10</v>
      </c>
    </row>
    <row r="65" spans="1:9">
      <c r="A65" t="s">
        <v>553</v>
      </c>
      <c r="B65" t="s">
        <v>849</v>
      </c>
      <c r="D65" t="s">
        <v>850</v>
      </c>
      <c r="E65" t="str">
        <f>"680487167153"</f>
        <v>680487167153</v>
      </c>
      <c r="F65" t="s">
        <v>851</v>
      </c>
      <c r="G65">
        <v>19.989999999999998</v>
      </c>
      <c r="H65">
        <v>0</v>
      </c>
      <c r="I65">
        <v>0</v>
      </c>
    </row>
    <row r="66" spans="1:9">
      <c r="A66" t="s">
        <v>207</v>
      </c>
      <c r="B66" t="s">
        <v>849</v>
      </c>
      <c r="D66" t="s">
        <v>850</v>
      </c>
      <c r="E66" t="str">
        <f>"680487046281"</f>
        <v>680487046281</v>
      </c>
      <c r="F66" t="s">
        <v>851</v>
      </c>
      <c r="G66">
        <v>19.989999999999998</v>
      </c>
      <c r="H66">
        <v>0</v>
      </c>
      <c r="I66">
        <v>5</v>
      </c>
    </row>
    <row r="67" spans="1:9">
      <c r="A67" t="s">
        <v>208</v>
      </c>
      <c r="B67" t="s">
        <v>849</v>
      </c>
      <c r="D67" t="s">
        <v>850</v>
      </c>
      <c r="E67" t="str">
        <f>"680487046274"</f>
        <v>680487046274</v>
      </c>
      <c r="F67" t="s">
        <v>851</v>
      </c>
      <c r="G67">
        <v>19.989999999999998</v>
      </c>
      <c r="H67">
        <v>0</v>
      </c>
      <c r="I67">
        <v>19</v>
      </c>
    </row>
    <row r="68" spans="1:9">
      <c r="A68" t="s">
        <v>554</v>
      </c>
      <c r="B68" t="s">
        <v>849</v>
      </c>
      <c r="D68" t="s">
        <v>850</v>
      </c>
      <c r="E68" t="str">
        <f>"680487086003"</f>
        <v>680487086003</v>
      </c>
      <c r="F68" t="s">
        <v>851</v>
      </c>
      <c r="G68">
        <v>19.989999999999998</v>
      </c>
      <c r="H68">
        <v>0</v>
      </c>
      <c r="I68">
        <v>0</v>
      </c>
    </row>
    <row r="69" spans="1:9">
      <c r="A69" t="s">
        <v>209</v>
      </c>
      <c r="B69" t="s">
        <v>849</v>
      </c>
      <c r="D69" t="s">
        <v>922</v>
      </c>
      <c r="E69" t="str">
        <f>"680487044300"</f>
        <v>680487044300</v>
      </c>
      <c r="F69" t="s">
        <v>851</v>
      </c>
      <c r="G69">
        <v>29.99</v>
      </c>
      <c r="H69">
        <v>0</v>
      </c>
      <c r="I69">
        <v>16</v>
      </c>
    </row>
    <row r="70" spans="1:9">
      <c r="A70" t="s">
        <v>213</v>
      </c>
      <c r="B70" t="s">
        <v>849</v>
      </c>
      <c r="D70" t="s">
        <v>922</v>
      </c>
      <c r="E70" t="str">
        <f>"680487044263"</f>
        <v>680487044263</v>
      </c>
      <c r="F70" t="s">
        <v>851</v>
      </c>
      <c r="G70">
        <v>29.99</v>
      </c>
      <c r="H70">
        <v>0</v>
      </c>
      <c r="I70">
        <v>29</v>
      </c>
    </row>
    <row r="71" spans="1:9">
      <c r="A71" t="s">
        <v>215</v>
      </c>
      <c r="B71" t="s">
        <v>849</v>
      </c>
      <c r="D71" t="s">
        <v>922</v>
      </c>
      <c r="E71" t="str">
        <f>"680487044805"</f>
        <v>680487044805</v>
      </c>
      <c r="F71" t="s">
        <v>851</v>
      </c>
      <c r="G71">
        <v>29.99</v>
      </c>
      <c r="H71">
        <v>0</v>
      </c>
      <c r="I71">
        <v>6</v>
      </c>
    </row>
    <row r="72" spans="1:9">
      <c r="A72" t="s">
        <v>218</v>
      </c>
      <c r="B72" t="s">
        <v>849</v>
      </c>
      <c r="D72" t="s">
        <v>922</v>
      </c>
      <c r="E72" t="str">
        <f>"680487044560"</f>
        <v>680487044560</v>
      </c>
      <c r="F72" t="s">
        <v>851</v>
      </c>
      <c r="G72">
        <v>29.99</v>
      </c>
      <c r="H72">
        <v>0</v>
      </c>
      <c r="I72">
        <v>16</v>
      </c>
    </row>
    <row r="73" spans="1:9">
      <c r="A73" t="s">
        <v>219</v>
      </c>
      <c r="B73" t="s">
        <v>849</v>
      </c>
      <c r="D73" t="s">
        <v>922</v>
      </c>
      <c r="E73" t="str">
        <f>"680487045796"</f>
        <v>680487045796</v>
      </c>
      <c r="F73" t="s">
        <v>851</v>
      </c>
      <c r="G73">
        <v>29.99</v>
      </c>
      <c r="H73">
        <v>0</v>
      </c>
      <c r="I73">
        <v>6</v>
      </c>
    </row>
    <row r="74" spans="1:9">
      <c r="A74" t="s">
        <v>220</v>
      </c>
      <c r="B74" t="s">
        <v>849</v>
      </c>
      <c r="D74" t="s">
        <v>922</v>
      </c>
      <c r="E74" t="str">
        <f>"680487045710"</f>
        <v>680487045710</v>
      </c>
      <c r="F74" t="s">
        <v>851</v>
      </c>
      <c r="G74">
        <v>29.99</v>
      </c>
      <c r="H74">
        <v>0</v>
      </c>
      <c r="I74">
        <v>10</v>
      </c>
    </row>
    <row r="75" spans="1:9">
      <c r="A75" t="s">
        <v>221</v>
      </c>
      <c r="B75" t="s">
        <v>849</v>
      </c>
      <c r="D75" t="s">
        <v>922</v>
      </c>
      <c r="E75" t="str">
        <f>"680487057898"</f>
        <v>680487057898</v>
      </c>
      <c r="F75" t="s">
        <v>851</v>
      </c>
      <c r="G75">
        <v>29.99</v>
      </c>
      <c r="H75">
        <v>0</v>
      </c>
      <c r="I75">
        <v>14</v>
      </c>
    </row>
    <row r="76" spans="1:9">
      <c r="A76" t="s">
        <v>223</v>
      </c>
      <c r="B76" t="s">
        <v>849</v>
      </c>
      <c r="D76" t="s">
        <v>922</v>
      </c>
      <c r="E76" t="str">
        <f>"680487044973"</f>
        <v>680487044973</v>
      </c>
      <c r="F76" t="s">
        <v>851</v>
      </c>
      <c r="G76">
        <v>29.99</v>
      </c>
      <c r="H76">
        <v>0</v>
      </c>
      <c r="I76">
        <v>11</v>
      </c>
    </row>
    <row r="77" spans="1:9">
      <c r="A77" t="s">
        <v>225</v>
      </c>
      <c r="B77" t="s">
        <v>849</v>
      </c>
      <c r="D77" t="s">
        <v>922</v>
      </c>
      <c r="E77" t="str">
        <f>"680487044249"</f>
        <v>680487044249</v>
      </c>
      <c r="F77" t="s">
        <v>851</v>
      </c>
      <c r="G77">
        <v>29.99</v>
      </c>
      <c r="H77">
        <v>0</v>
      </c>
      <c r="I77">
        <v>12</v>
      </c>
    </row>
    <row r="78" spans="1:9">
      <c r="A78" t="s">
        <v>226</v>
      </c>
      <c r="B78" t="s">
        <v>849</v>
      </c>
      <c r="D78" t="s">
        <v>922</v>
      </c>
      <c r="E78" t="str">
        <f>"680487044683"</f>
        <v>680487044683</v>
      </c>
      <c r="F78" t="s">
        <v>851</v>
      </c>
      <c r="G78">
        <v>29.99</v>
      </c>
      <c r="H78">
        <v>0</v>
      </c>
      <c r="I78">
        <v>17</v>
      </c>
    </row>
    <row r="79" spans="1:9">
      <c r="A79" t="s">
        <v>229</v>
      </c>
      <c r="B79" t="s">
        <v>849</v>
      </c>
      <c r="D79" t="s">
        <v>922</v>
      </c>
      <c r="E79" t="str">
        <f>"680487135091"</f>
        <v>680487135091</v>
      </c>
      <c r="F79" t="s">
        <v>851</v>
      </c>
      <c r="G79">
        <v>29.99</v>
      </c>
      <c r="H79">
        <v>0</v>
      </c>
      <c r="I79">
        <v>19</v>
      </c>
    </row>
    <row r="80" spans="1:9">
      <c r="A80" t="s">
        <v>231</v>
      </c>
      <c r="B80" t="s">
        <v>849</v>
      </c>
      <c r="D80" t="s">
        <v>922</v>
      </c>
      <c r="E80" t="str">
        <f>"680487045512"</f>
        <v>680487045512</v>
      </c>
      <c r="F80" t="s">
        <v>851</v>
      </c>
      <c r="G80">
        <v>29.99</v>
      </c>
      <c r="H80">
        <v>0</v>
      </c>
      <c r="I80">
        <v>27</v>
      </c>
    </row>
    <row r="81" spans="1:9">
      <c r="A81" t="s">
        <v>234</v>
      </c>
      <c r="B81" t="s">
        <v>849</v>
      </c>
      <c r="D81" t="s">
        <v>922</v>
      </c>
      <c r="E81" t="str">
        <f>"680487045659"</f>
        <v>680487045659</v>
      </c>
      <c r="F81" t="s">
        <v>851</v>
      </c>
      <c r="G81">
        <v>29.99</v>
      </c>
      <c r="H81">
        <v>0</v>
      </c>
      <c r="I81">
        <v>36</v>
      </c>
    </row>
    <row r="82" spans="1:9">
      <c r="A82" t="s">
        <v>235</v>
      </c>
      <c r="B82" t="s">
        <v>849</v>
      </c>
      <c r="D82" t="s">
        <v>922</v>
      </c>
      <c r="E82" t="str">
        <f>"680487045376"</f>
        <v>680487045376</v>
      </c>
      <c r="F82" t="s">
        <v>851</v>
      </c>
      <c r="G82">
        <v>29.99</v>
      </c>
      <c r="H82">
        <v>0</v>
      </c>
      <c r="I82">
        <v>1</v>
      </c>
    </row>
    <row r="83" spans="1:9">
      <c r="A83" t="s">
        <v>240</v>
      </c>
      <c r="B83" t="s">
        <v>849</v>
      </c>
      <c r="D83" t="s">
        <v>922</v>
      </c>
      <c r="E83" t="str">
        <f>"680487044867"</f>
        <v>680487044867</v>
      </c>
      <c r="F83" t="s">
        <v>851</v>
      </c>
      <c r="G83">
        <v>29.99</v>
      </c>
      <c r="H83">
        <v>0</v>
      </c>
      <c r="I83">
        <v>13</v>
      </c>
    </row>
    <row r="84" spans="1:9">
      <c r="A84" t="s">
        <v>242</v>
      </c>
      <c r="B84" t="s">
        <v>849</v>
      </c>
      <c r="D84" t="s">
        <v>922</v>
      </c>
      <c r="E84" t="str">
        <f>"680487044041"</f>
        <v>680487044041</v>
      </c>
      <c r="F84" t="s">
        <v>851</v>
      </c>
      <c r="G84">
        <v>29.99</v>
      </c>
      <c r="H84">
        <v>0</v>
      </c>
      <c r="I84">
        <v>48</v>
      </c>
    </row>
    <row r="85" spans="1:9">
      <c r="A85" t="s">
        <v>243</v>
      </c>
      <c r="B85" t="s">
        <v>849</v>
      </c>
      <c r="D85" t="s">
        <v>922</v>
      </c>
      <c r="E85" t="str">
        <f>"680487045154"</f>
        <v>680487045154</v>
      </c>
      <c r="F85" t="s">
        <v>851</v>
      </c>
      <c r="G85">
        <v>29.99</v>
      </c>
      <c r="H85">
        <v>0</v>
      </c>
      <c r="I85">
        <v>65</v>
      </c>
    </row>
    <row r="86" spans="1:9">
      <c r="A86" t="s">
        <v>248</v>
      </c>
      <c r="B86" t="s">
        <v>849</v>
      </c>
      <c r="D86" t="s">
        <v>922</v>
      </c>
      <c r="E86" t="str">
        <f>"680487045116"</f>
        <v>680487045116</v>
      </c>
      <c r="F86" t="s">
        <v>851</v>
      </c>
      <c r="G86">
        <v>29.99</v>
      </c>
      <c r="H86">
        <v>0</v>
      </c>
      <c r="I86">
        <v>31</v>
      </c>
    </row>
    <row r="87" spans="1:9">
      <c r="A87" t="s">
        <v>249</v>
      </c>
      <c r="B87" t="s">
        <v>849</v>
      </c>
      <c r="D87" t="s">
        <v>922</v>
      </c>
      <c r="E87" t="str">
        <f>"680487167092"</f>
        <v>680487167092</v>
      </c>
      <c r="F87" t="s">
        <v>851</v>
      </c>
      <c r="G87">
        <v>29.99</v>
      </c>
      <c r="H87">
        <v>0</v>
      </c>
      <c r="I87">
        <v>30</v>
      </c>
    </row>
    <row r="88" spans="1:9">
      <c r="A88" t="s">
        <v>252</v>
      </c>
      <c r="B88" t="s">
        <v>849</v>
      </c>
      <c r="D88" t="s">
        <v>922</v>
      </c>
      <c r="E88" t="str">
        <f>"680487043983"</f>
        <v>680487043983</v>
      </c>
      <c r="F88" t="s">
        <v>851</v>
      </c>
      <c r="G88">
        <v>29.99</v>
      </c>
      <c r="H88">
        <v>0</v>
      </c>
      <c r="I88">
        <v>17</v>
      </c>
    </row>
    <row r="89" spans="1:9">
      <c r="A89" t="s">
        <v>254</v>
      </c>
      <c r="B89" t="s">
        <v>849</v>
      </c>
      <c r="D89" t="s">
        <v>922</v>
      </c>
      <c r="E89" t="str">
        <f>"680487045857"</f>
        <v>680487045857</v>
      </c>
      <c r="F89" t="s">
        <v>851</v>
      </c>
      <c r="G89">
        <v>29.99</v>
      </c>
      <c r="H89">
        <v>0</v>
      </c>
      <c r="I89">
        <v>19</v>
      </c>
    </row>
    <row r="90" spans="1:9">
      <c r="A90" t="s">
        <v>255</v>
      </c>
      <c r="B90" t="s">
        <v>849</v>
      </c>
      <c r="D90" t="s">
        <v>922</v>
      </c>
      <c r="E90" t="str">
        <f>"680487044188"</f>
        <v>680487044188</v>
      </c>
      <c r="F90" t="s">
        <v>851</v>
      </c>
      <c r="G90">
        <v>29.99</v>
      </c>
      <c r="H90">
        <v>0</v>
      </c>
      <c r="I90">
        <v>12</v>
      </c>
    </row>
    <row r="91" spans="1:9">
      <c r="A91" t="s">
        <v>258</v>
      </c>
      <c r="B91" t="s">
        <v>849</v>
      </c>
      <c r="D91" t="s">
        <v>922</v>
      </c>
      <c r="E91" t="str">
        <f>"680487167115"</f>
        <v>680487167115</v>
      </c>
      <c r="F91" t="s">
        <v>851</v>
      </c>
      <c r="G91">
        <v>29.99</v>
      </c>
      <c r="H91">
        <v>0</v>
      </c>
      <c r="I91">
        <v>11</v>
      </c>
    </row>
    <row r="92" spans="1:9">
      <c r="A92" t="s">
        <v>259</v>
      </c>
      <c r="B92" t="s">
        <v>849</v>
      </c>
      <c r="D92" t="s">
        <v>922</v>
      </c>
      <c r="E92" t="str">
        <f>"680487045413"</f>
        <v>680487045413</v>
      </c>
      <c r="F92" t="s">
        <v>851</v>
      </c>
      <c r="G92">
        <v>29.99</v>
      </c>
      <c r="H92">
        <v>0</v>
      </c>
      <c r="I92">
        <v>27</v>
      </c>
    </row>
    <row r="93" spans="1:9">
      <c r="A93" t="s">
        <v>263</v>
      </c>
      <c r="B93" t="s">
        <v>849</v>
      </c>
      <c r="D93" t="s">
        <v>922</v>
      </c>
      <c r="E93" t="str">
        <f>"680487086089"</f>
        <v>680487086089</v>
      </c>
      <c r="F93" t="s">
        <v>851</v>
      </c>
      <c r="G93">
        <v>29.99</v>
      </c>
      <c r="H93">
        <v>0</v>
      </c>
      <c r="I93">
        <v>24</v>
      </c>
    </row>
    <row r="94" spans="1:9">
      <c r="A94" t="s">
        <v>648</v>
      </c>
      <c r="B94" t="s">
        <v>849</v>
      </c>
      <c r="D94" t="s">
        <v>922</v>
      </c>
      <c r="E94" t="str">
        <f>"680487044843"</f>
        <v>680487044843</v>
      </c>
      <c r="F94" t="s">
        <v>851</v>
      </c>
      <c r="G94">
        <v>29.99</v>
      </c>
      <c r="H94">
        <v>0</v>
      </c>
      <c r="I94">
        <v>13</v>
      </c>
    </row>
    <row r="95" spans="1:9">
      <c r="A95" t="s">
        <v>264</v>
      </c>
      <c r="B95" t="s">
        <v>849</v>
      </c>
      <c r="D95" t="s">
        <v>922</v>
      </c>
      <c r="E95" t="str">
        <f>"680487086102"</f>
        <v>680487086102</v>
      </c>
      <c r="F95" t="s">
        <v>851</v>
      </c>
      <c r="G95">
        <v>29.99</v>
      </c>
      <c r="H95">
        <v>0</v>
      </c>
      <c r="I95">
        <v>10</v>
      </c>
    </row>
    <row r="96" spans="1:9">
      <c r="A96" t="s">
        <v>267</v>
      </c>
      <c r="B96" t="s">
        <v>849</v>
      </c>
      <c r="D96" t="s">
        <v>922</v>
      </c>
      <c r="E96" t="str">
        <f>"680487045611"</f>
        <v>680487045611</v>
      </c>
      <c r="F96" t="s">
        <v>851</v>
      </c>
      <c r="G96">
        <v>29.99</v>
      </c>
      <c r="H96">
        <v>0</v>
      </c>
      <c r="I96">
        <v>4</v>
      </c>
    </row>
    <row r="97" spans="1:9">
      <c r="A97" t="s">
        <v>268</v>
      </c>
      <c r="B97" t="s">
        <v>849</v>
      </c>
      <c r="D97" t="s">
        <v>922</v>
      </c>
      <c r="E97" t="str">
        <f>"680487044423"</f>
        <v>680487044423</v>
      </c>
      <c r="F97" t="s">
        <v>851</v>
      </c>
      <c r="G97">
        <v>29.99</v>
      </c>
      <c r="H97">
        <v>0</v>
      </c>
      <c r="I97">
        <v>14</v>
      </c>
    </row>
    <row r="98" spans="1:9">
      <c r="A98" t="s">
        <v>269</v>
      </c>
      <c r="B98" t="s">
        <v>849</v>
      </c>
      <c r="D98" t="s">
        <v>922</v>
      </c>
      <c r="E98" t="str">
        <f>"680487044447"</f>
        <v>680487044447</v>
      </c>
      <c r="F98" t="s">
        <v>851</v>
      </c>
      <c r="G98">
        <v>29.99</v>
      </c>
      <c r="H98">
        <v>0</v>
      </c>
      <c r="I98">
        <v>12</v>
      </c>
    </row>
    <row r="99" spans="1:9">
      <c r="A99" t="s">
        <v>271</v>
      </c>
      <c r="B99" t="s">
        <v>849</v>
      </c>
      <c r="D99" t="s">
        <v>922</v>
      </c>
      <c r="E99" t="str">
        <f>"680487043860"</f>
        <v>680487043860</v>
      </c>
      <c r="F99" t="s">
        <v>851</v>
      </c>
      <c r="G99">
        <v>29.99</v>
      </c>
      <c r="H99">
        <v>0</v>
      </c>
      <c r="I99">
        <v>17</v>
      </c>
    </row>
    <row r="100" spans="1:9">
      <c r="A100" t="s">
        <v>277</v>
      </c>
      <c r="B100" t="s">
        <v>849</v>
      </c>
      <c r="D100" t="s">
        <v>922</v>
      </c>
      <c r="E100" t="str">
        <f>"680487044461"</f>
        <v>680487044461</v>
      </c>
      <c r="F100" t="s">
        <v>851</v>
      </c>
      <c r="G100">
        <v>29.99</v>
      </c>
      <c r="H100">
        <v>0</v>
      </c>
      <c r="I100">
        <v>18</v>
      </c>
    </row>
    <row r="101" spans="1:9">
      <c r="A101" t="s">
        <v>279</v>
      </c>
      <c r="B101" t="s">
        <v>849</v>
      </c>
      <c r="D101" t="s">
        <v>922</v>
      </c>
      <c r="E101" t="str">
        <f>"680487044409"</f>
        <v>680487044409</v>
      </c>
      <c r="F101" t="s">
        <v>851</v>
      </c>
      <c r="G101">
        <v>29.99</v>
      </c>
      <c r="H101">
        <v>0</v>
      </c>
      <c r="I101">
        <v>14</v>
      </c>
    </row>
    <row r="102" spans="1:9">
      <c r="A102" t="s">
        <v>288</v>
      </c>
      <c r="B102" t="s">
        <v>849</v>
      </c>
      <c r="D102" t="s">
        <v>922</v>
      </c>
      <c r="E102" t="str">
        <f>"680487044522"</f>
        <v>680487044522</v>
      </c>
      <c r="F102" t="s">
        <v>851</v>
      </c>
      <c r="G102">
        <v>29.99</v>
      </c>
      <c r="H102">
        <v>0</v>
      </c>
      <c r="I102">
        <v>34</v>
      </c>
    </row>
    <row r="103" spans="1:9">
      <c r="A103" t="s">
        <v>289</v>
      </c>
      <c r="B103" t="s">
        <v>849</v>
      </c>
      <c r="D103" t="s">
        <v>922</v>
      </c>
      <c r="E103" t="str">
        <f>"680487044669"</f>
        <v>680487044669</v>
      </c>
      <c r="F103" t="s">
        <v>851</v>
      </c>
      <c r="G103">
        <v>29.99</v>
      </c>
      <c r="H103">
        <v>0</v>
      </c>
      <c r="I103">
        <v>37</v>
      </c>
    </row>
    <row r="104" spans="1:9">
      <c r="A104" t="s">
        <v>291</v>
      </c>
      <c r="B104" t="s">
        <v>849</v>
      </c>
      <c r="D104" t="s">
        <v>922</v>
      </c>
      <c r="E104" t="str">
        <f>"680487044102"</f>
        <v>680487044102</v>
      </c>
      <c r="F104" t="s">
        <v>851</v>
      </c>
      <c r="G104">
        <v>29.99</v>
      </c>
      <c r="H104">
        <v>0</v>
      </c>
      <c r="I104">
        <v>14</v>
      </c>
    </row>
    <row r="105" spans="1:9">
      <c r="A105" t="s">
        <v>293</v>
      </c>
      <c r="B105" t="s">
        <v>849</v>
      </c>
      <c r="D105" t="s">
        <v>922</v>
      </c>
      <c r="E105" t="str">
        <f>"680487045031"</f>
        <v>680487045031</v>
      </c>
      <c r="F105" t="s">
        <v>851</v>
      </c>
      <c r="G105">
        <v>29.99</v>
      </c>
      <c r="H105">
        <v>0</v>
      </c>
      <c r="I105">
        <v>26</v>
      </c>
    </row>
    <row r="106" spans="1:9">
      <c r="A106" t="s">
        <v>294</v>
      </c>
      <c r="B106" t="s">
        <v>849</v>
      </c>
      <c r="D106" t="s">
        <v>923</v>
      </c>
      <c r="E106" t="str">
        <f>"680487044317"</f>
        <v>680487044317</v>
      </c>
      <c r="F106" t="s">
        <v>851</v>
      </c>
      <c r="G106">
        <v>29.99</v>
      </c>
      <c r="H106">
        <v>0</v>
      </c>
      <c r="I106">
        <v>24</v>
      </c>
    </row>
    <row r="107" spans="1:9">
      <c r="A107" t="s">
        <v>297</v>
      </c>
      <c r="B107" t="s">
        <v>849</v>
      </c>
      <c r="D107" t="s">
        <v>923</v>
      </c>
      <c r="E107" t="str">
        <f>"680487044270"</f>
        <v>680487044270</v>
      </c>
      <c r="F107" t="s">
        <v>851</v>
      </c>
      <c r="G107">
        <v>29.99</v>
      </c>
      <c r="H107">
        <v>0</v>
      </c>
      <c r="I107">
        <v>55</v>
      </c>
    </row>
    <row r="108" spans="1:9">
      <c r="A108" t="s">
        <v>299</v>
      </c>
      <c r="B108" t="s">
        <v>849</v>
      </c>
      <c r="D108" t="s">
        <v>923</v>
      </c>
      <c r="E108" t="str">
        <f>"680487044812"</f>
        <v>680487044812</v>
      </c>
      <c r="F108" t="s">
        <v>851</v>
      </c>
      <c r="G108">
        <v>29.99</v>
      </c>
      <c r="H108">
        <v>0</v>
      </c>
      <c r="I108">
        <v>1</v>
      </c>
    </row>
    <row r="109" spans="1:9">
      <c r="A109" t="s">
        <v>301</v>
      </c>
      <c r="B109" t="s">
        <v>849</v>
      </c>
      <c r="D109" t="s">
        <v>923</v>
      </c>
      <c r="E109" t="str">
        <f>"680487044577"</f>
        <v>680487044577</v>
      </c>
      <c r="F109" t="s">
        <v>851</v>
      </c>
      <c r="G109">
        <v>29.99</v>
      </c>
      <c r="H109">
        <v>0</v>
      </c>
      <c r="I109">
        <v>21</v>
      </c>
    </row>
    <row r="110" spans="1:9">
      <c r="A110" t="s">
        <v>303</v>
      </c>
      <c r="B110" t="s">
        <v>849</v>
      </c>
      <c r="D110" t="s">
        <v>923</v>
      </c>
      <c r="E110" t="str">
        <f>"680487045802"</f>
        <v>680487045802</v>
      </c>
      <c r="F110" t="s">
        <v>851</v>
      </c>
      <c r="G110">
        <v>29.99</v>
      </c>
      <c r="H110">
        <v>0</v>
      </c>
      <c r="I110">
        <v>11</v>
      </c>
    </row>
    <row r="111" spans="1:9">
      <c r="A111" t="s">
        <v>304</v>
      </c>
      <c r="B111" t="s">
        <v>849</v>
      </c>
      <c r="D111" t="s">
        <v>923</v>
      </c>
      <c r="E111" t="str">
        <f>"680487045727"</f>
        <v>680487045727</v>
      </c>
      <c r="F111" t="s">
        <v>851</v>
      </c>
      <c r="G111">
        <v>29.99</v>
      </c>
      <c r="H111">
        <v>0</v>
      </c>
      <c r="I111">
        <v>8</v>
      </c>
    </row>
    <row r="112" spans="1:9">
      <c r="A112" t="s">
        <v>305</v>
      </c>
      <c r="B112" t="s">
        <v>849</v>
      </c>
      <c r="D112" t="s">
        <v>923</v>
      </c>
      <c r="E112" t="str">
        <f>"680487057904"</f>
        <v>680487057904</v>
      </c>
      <c r="F112" t="s">
        <v>851</v>
      </c>
      <c r="G112">
        <v>29.99</v>
      </c>
      <c r="H112">
        <v>0</v>
      </c>
      <c r="I112">
        <v>17</v>
      </c>
    </row>
    <row r="113" spans="1:9">
      <c r="A113" t="s">
        <v>307</v>
      </c>
      <c r="B113" t="s">
        <v>849</v>
      </c>
      <c r="D113" t="s">
        <v>923</v>
      </c>
      <c r="E113" t="str">
        <f>"680487044980"</f>
        <v>680487044980</v>
      </c>
      <c r="F113" t="s">
        <v>851</v>
      </c>
      <c r="G113">
        <v>29.99</v>
      </c>
      <c r="H113">
        <v>0</v>
      </c>
      <c r="I113">
        <v>27</v>
      </c>
    </row>
    <row r="114" spans="1:9">
      <c r="A114" t="s">
        <v>309</v>
      </c>
      <c r="B114" t="s">
        <v>849</v>
      </c>
      <c r="D114" t="s">
        <v>923</v>
      </c>
      <c r="E114" t="str">
        <f>"680487044256"</f>
        <v>680487044256</v>
      </c>
      <c r="F114" t="s">
        <v>851</v>
      </c>
      <c r="G114">
        <v>29.99</v>
      </c>
      <c r="H114">
        <v>0</v>
      </c>
      <c r="I114">
        <v>14</v>
      </c>
    </row>
    <row r="115" spans="1:9">
      <c r="A115" t="s">
        <v>311</v>
      </c>
      <c r="B115" t="s">
        <v>849</v>
      </c>
      <c r="D115" t="s">
        <v>923</v>
      </c>
      <c r="E115" t="str">
        <f>"680487044690"</f>
        <v>680487044690</v>
      </c>
      <c r="F115" t="s">
        <v>851</v>
      </c>
      <c r="G115">
        <v>29.99</v>
      </c>
      <c r="H115">
        <v>0</v>
      </c>
      <c r="I115">
        <v>28</v>
      </c>
    </row>
    <row r="116" spans="1:9">
      <c r="A116" t="s">
        <v>313</v>
      </c>
      <c r="B116" t="s">
        <v>849</v>
      </c>
      <c r="D116" t="s">
        <v>923</v>
      </c>
      <c r="E116" t="str">
        <f>"680487045703"</f>
        <v>680487045703</v>
      </c>
      <c r="F116" t="s">
        <v>851</v>
      </c>
      <c r="G116">
        <v>29.99</v>
      </c>
      <c r="H116">
        <v>0</v>
      </c>
      <c r="I116">
        <v>2</v>
      </c>
    </row>
    <row r="117" spans="1:9">
      <c r="A117" t="s">
        <v>314</v>
      </c>
      <c r="B117" t="s">
        <v>849</v>
      </c>
      <c r="D117" t="s">
        <v>923</v>
      </c>
      <c r="E117" t="str">
        <f>"680487135084"</f>
        <v>680487135084</v>
      </c>
      <c r="F117" t="s">
        <v>851</v>
      </c>
      <c r="G117">
        <v>29.99</v>
      </c>
      <c r="H117">
        <v>0</v>
      </c>
      <c r="I117">
        <v>8</v>
      </c>
    </row>
    <row r="118" spans="1:9">
      <c r="A118" t="s">
        <v>316</v>
      </c>
      <c r="B118" t="s">
        <v>849</v>
      </c>
      <c r="D118" t="s">
        <v>923</v>
      </c>
      <c r="E118" t="str">
        <f>"680487045529"</f>
        <v>680487045529</v>
      </c>
      <c r="F118" t="s">
        <v>851</v>
      </c>
      <c r="G118">
        <v>29.99</v>
      </c>
      <c r="H118">
        <v>0</v>
      </c>
      <c r="I118">
        <v>9</v>
      </c>
    </row>
    <row r="119" spans="1:9">
      <c r="A119" t="s">
        <v>318</v>
      </c>
      <c r="B119" t="s">
        <v>849</v>
      </c>
      <c r="D119" t="s">
        <v>923</v>
      </c>
      <c r="E119" t="str">
        <f>"680487044652"</f>
        <v>680487044652</v>
      </c>
      <c r="F119" t="s">
        <v>851</v>
      </c>
      <c r="G119">
        <v>29.99</v>
      </c>
      <c r="H119">
        <v>0</v>
      </c>
      <c r="I119">
        <v>17</v>
      </c>
    </row>
    <row r="120" spans="1:9">
      <c r="A120" t="s">
        <v>319</v>
      </c>
      <c r="B120" t="s">
        <v>849</v>
      </c>
      <c r="D120" t="s">
        <v>923</v>
      </c>
      <c r="E120" t="str">
        <f>"680487045666"</f>
        <v>680487045666</v>
      </c>
      <c r="F120" t="s">
        <v>851</v>
      </c>
      <c r="G120">
        <v>29.99</v>
      </c>
      <c r="H120">
        <v>0</v>
      </c>
      <c r="I120">
        <v>20</v>
      </c>
    </row>
    <row r="121" spans="1:9">
      <c r="A121" t="s">
        <v>323</v>
      </c>
      <c r="B121" t="s">
        <v>849</v>
      </c>
      <c r="D121" t="s">
        <v>923</v>
      </c>
      <c r="E121" t="str">
        <f>"680487045000"</f>
        <v>680487045000</v>
      </c>
      <c r="F121" t="s">
        <v>851</v>
      </c>
      <c r="G121">
        <v>29.99</v>
      </c>
      <c r="H121">
        <v>0</v>
      </c>
      <c r="I121">
        <v>6</v>
      </c>
    </row>
    <row r="122" spans="1:9">
      <c r="A122" t="s">
        <v>324</v>
      </c>
      <c r="B122" t="s">
        <v>849</v>
      </c>
      <c r="D122" t="s">
        <v>923</v>
      </c>
      <c r="E122" t="str">
        <f>"680487135268"</f>
        <v>680487135268</v>
      </c>
      <c r="F122" t="s">
        <v>851</v>
      </c>
      <c r="G122">
        <v>29.99</v>
      </c>
      <c r="H122">
        <v>0</v>
      </c>
      <c r="I122">
        <v>2</v>
      </c>
    </row>
    <row r="123" spans="1:9">
      <c r="A123" t="s">
        <v>325</v>
      </c>
      <c r="B123" t="s">
        <v>849</v>
      </c>
      <c r="D123" t="s">
        <v>923</v>
      </c>
      <c r="E123" t="str">
        <f>"680487135138"</f>
        <v>680487135138</v>
      </c>
      <c r="F123" t="s">
        <v>851</v>
      </c>
      <c r="G123">
        <v>29.99</v>
      </c>
      <c r="H123">
        <v>0</v>
      </c>
      <c r="I123">
        <v>16</v>
      </c>
    </row>
    <row r="124" spans="1:9">
      <c r="A124" t="s">
        <v>327</v>
      </c>
      <c r="B124" t="s">
        <v>849</v>
      </c>
      <c r="D124" t="s">
        <v>923</v>
      </c>
      <c r="E124" t="str">
        <f>"680487135114"</f>
        <v>680487135114</v>
      </c>
      <c r="F124" t="s">
        <v>851</v>
      </c>
      <c r="G124">
        <v>29.99</v>
      </c>
      <c r="H124">
        <v>0</v>
      </c>
      <c r="I124">
        <v>12</v>
      </c>
    </row>
    <row r="125" spans="1:9">
      <c r="A125" t="s">
        <v>328</v>
      </c>
      <c r="B125" t="s">
        <v>849</v>
      </c>
      <c r="D125" t="s">
        <v>923</v>
      </c>
      <c r="E125" t="str">
        <f>"680487045161"</f>
        <v>680487045161</v>
      </c>
      <c r="F125" t="s">
        <v>851</v>
      </c>
      <c r="G125">
        <v>29.99</v>
      </c>
      <c r="H125">
        <v>0</v>
      </c>
      <c r="I125">
        <v>49</v>
      </c>
    </row>
    <row r="126" spans="1:9">
      <c r="A126" t="s">
        <v>333</v>
      </c>
      <c r="B126" t="s">
        <v>849</v>
      </c>
      <c r="D126" t="s">
        <v>923</v>
      </c>
      <c r="E126" t="str">
        <f>"680487044591"</f>
        <v>680487044591</v>
      </c>
      <c r="F126" t="s">
        <v>851</v>
      </c>
      <c r="G126">
        <v>29.99</v>
      </c>
      <c r="H126">
        <v>0</v>
      </c>
      <c r="I126">
        <v>4</v>
      </c>
    </row>
    <row r="127" spans="1:9">
      <c r="A127" t="s">
        <v>337</v>
      </c>
      <c r="B127" t="s">
        <v>849</v>
      </c>
      <c r="D127" t="s">
        <v>923</v>
      </c>
      <c r="E127" t="str">
        <f>"680487135121"</f>
        <v>680487135121</v>
      </c>
      <c r="F127" t="s">
        <v>851</v>
      </c>
      <c r="G127">
        <v>29.99</v>
      </c>
      <c r="H127">
        <v>0</v>
      </c>
      <c r="I127">
        <v>28</v>
      </c>
    </row>
    <row r="128" spans="1:9">
      <c r="A128" t="s">
        <v>338</v>
      </c>
      <c r="B128" t="s">
        <v>849</v>
      </c>
      <c r="D128" t="s">
        <v>923</v>
      </c>
      <c r="E128" t="str">
        <f>"680487135053"</f>
        <v>680487135053</v>
      </c>
      <c r="F128" t="s">
        <v>851</v>
      </c>
      <c r="G128">
        <v>29.99</v>
      </c>
      <c r="H128">
        <v>0</v>
      </c>
      <c r="I128">
        <v>28</v>
      </c>
    </row>
    <row r="129" spans="1:9">
      <c r="A129" t="s">
        <v>342</v>
      </c>
      <c r="B129" t="s">
        <v>849</v>
      </c>
      <c r="D129" t="s">
        <v>923</v>
      </c>
      <c r="E129" t="str">
        <f>"680487043990"</f>
        <v>680487043990</v>
      </c>
      <c r="F129" t="s">
        <v>851</v>
      </c>
      <c r="G129">
        <v>29.99</v>
      </c>
      <c r="H129">
        <v>0</v>
      </c>
      <c r="I129">
        <v>13</v>
      </c>
    </row>
    <row r="130" spans="1:9">
      <c r="A130" t="s">
        <v>345</v>
      </c>
      <c r="B130" t="s">
        <v>849</v>
      </c>
      <c r="D130" t="s">
        <v>923</v>
      </c>
      <c r="E130" t="str">
        <f>"680487045864"</f>
        <v>680487045864</v>
      </c>
      <c r="F130" t="s">
        <v>851</v>
      </c>
      <c r="G130">
        <v>29.99</v>
      </c>
      <c r="H130">
        <v>0</v>
      </c>
      <c r="I130">
        <v>14</v>
      </c>
    </row>
    <row r="131" spans="1:9">
      <c r="A131" t="s">
        <v>346</v>
      </c>
      <c r="B131" t="s">
        <v>849</v>
      </c>
      <c r="D131" t="s">
        <v>923</v>
      </c>
      <c r="E131" t="str">
        <f>"680487044195"</f>
        <v>680487044195</v>
      </c>
      <c r="F131" t="s">
        <v>851</v>
      </c>
      <c r="G131">
        <v>29.99</v>
      </c>
      <c r="H131">
        <v>0</v>
      </c>
      <c r="I131">
        <v>22</v>
      </c>
    </row>
    <row r="132" spans="1:9">
      <c r="A132" t="s">
        <v>350</v>
      </c>
      <c r="B132" t="s">
        <v>849</v>
      </c>
      <c r="D132" t="s">
        <v>923</v>
      </c>
      <c r="E132" t="str">
        <f>"680487044393"</f>
        <v>680487044393</v>
      </c>
      <c r="F132" t="s">
        <v>851</v>
      </c>
      <c r="G132">
        <v>29.99</v>
      </c>
      <c r="H132">
        <v>0</v>
      </c>
      <c r="I132">
        <v>8</v>
      </c>
    </row>
    <row r="133" spans="1:9">
      <c r="A133" t="s">
        <v>351</v>
      </c>
      <c r="B133" t="s">
        <v>849</v>
      </c>
      <c r="D133" t="s">
        <v>923</v>
      </c>
      <c r="E133" t="str">
        <f>"680487045420"</f>
        <v>680487045420</v>
      </c>
      <c r="F133" t="s">
        <v>851</v>
      </c>
      <c r="G133">
        <v>29.99</v>
      </c>
      <c r="H133">
        <v>0</v>
      </c>
      <c r="I133">
        <v>21</v>
      </c>
    </row>
    <row r="134" spans="1:9">
      <c r="A134" t="s">
        <v>352</v>
      </c>
      <c r="B134" t="s">
        <v>849</v>
      </c>
      <c r="D134" t="s">
        <v>923</v>
      </c>
      <c r="E134" t="str">
        <f>"680487135176"</f>
        <v>680487135176</v>
      </c>
      <c r="F134" t="s">
        <v>851</v>
      </c>
      <c r="G134">
        <v>29.99</v>
      </c>
      <c r="H134">
        <v>0</v>
      </c>
      <c r="I134">
        <v>8</v>
      </c>
    </row>
    <row r="135" spans="1:9">
      <c r="A135" t="s">
        <v>354</v>
      </c>
      <c r="B135" t="s">
        <v>849</v>
      </c>
      <c r="D135" t="s">
        <v>923</v>
      </c>
      <c r="E135" t="str">
        <f>"680487045406"</f>
        <v>680487045406</v>
      </c>
      <c r="F135" t="s">
        <v>851</v>
      </c>
      <c r="G135">
        <v>29.99</v>
      </c>
      <c r="H135">
        <v>0</v>
      </c>
      <c r="I135">
        <v>10</v>
      </c>
    </row>
    <row r="136" spans="1:9">
      <c r="A136" t="s">
        <v>355</v>
      </c>
      <c r="B136" t="s">
        <v>849</v>
      </c>
      <c r="D136" t="s">
        <v>923</v>
      </c>
      <c r="E136" t="str">
        <f>"680487086096"</f>
        <v>680487086096</v>
      </c>
      <c r="F136" t="s">
        <v>851</v>
      </c>
      <c r="G136">
        <v>29.99</v>
      </c>
      <c r="H136">
        <v>0</v>
      </c>
      <c r="I136">
        <v>13</v>
      </c>
    </row>
    <row r="137" spans="1:9">
      <c r="A137" t="s">
        <v>356</v>
      </c>
      <c r="B137" t="s">
        <v>849</v>
      </c>
      <c r="D137" t="s">
        <v>923</v>
      </c>
      <c r="E137" t="str">
        <f>"680487044850"</f>
        <v>680487044850</v>
      </c>
      <c r="F137" t="s">
        <v>851</v>
      </c>
      <c r="G137">
        <v>29.99</v>
      </c>
      <c r="H137">
        <v>0</v>
      </c>
      <c r="I137">
        <v>2</v>
      </c>
    </row>
    <row r="138" spans="1:9">
      <c r="A138" t="s">
        <v>357</v>
      </c>
      <c r="B138" t="s">
        <v>849</v>
      </c>
      <c r="D138" t="s">
        <v>923</v>
      </c>
      <c r="E138" t="str">
        <f>"680487086119"</f>
        <v>680487086119</v>
      </c>
      <c r="F138" t="s">
        <v>851</v>
      </c>
      <c r="G138">
        <v>29.99</v>
      </c>
      <c r="H138">
        <v>0</v>
      </c>
      <c r="I138">
        <v>16</v>
      </c>
    </row>
    <row r="139" spans="1:9">
      <c r="A139" t="s">
        <v>361</v>
      </c>
      <c r="B139" t="s">
        <v>849</v>
      </c>
      <c r="D139" t="s">
        <v>923</v>
      </c>
      <c r="E139" t="str">
        <f>"680487135220"</f>
        <v>680487135220</v>
      </c>
      <c r="F139" t="s">
        <v>851</v>
      </c>
      <c r="G139">
        <v>29.99</v>
      </c>
      <c r="H139">
        <v>0</v>
      </c>
      <c r="I139">
        <v>2</v>
      </c>
    </row>
    <row r="140" spans="1:9">
      <c r="A140" t="s">
        <v>362</v>
      </c>
      <c r="B140" t="s">
        <v>849</v>
      </c>
      <c r="D140" t="s">
        <v>923</v>
      </c>
      <c r="E140" t="str">
        <f>"680487167108"</f>
        <v>680487167108</v>
      </c>
      <c r="F140" t="s">
        <v>851</v>
      </c>
      <c r="G140">
        <v>29.99</v>
      </c>
      <c r="H140">
        <v>0</v>
      </c>
      <c r="I140">
        <v>12</v>
      </c>
    </row>
    <row r="141" spans="1:9">
      <c r="A141" t="s">
        <v>363</v>
      </c>
      <c r="B141" t="s">
        <v>849</v>
      </c>
      <c r="D141" t="s">
        <v>923</v>
      </c>
      <c r="E141" t="str">
        <f>"680487135046"</f>
        <v>680487135046</v>
      </c>
      <c r="F141" t="s">
        <v>851</v>
      </c>
      <c r="G141">
        <v>29.99</v>
      </c>
      <c r="H141">
        <v>0</v>
      </c>
      <c r="I141">
        <v>5</v>
      </c>
    </row>
    <row r="142" spans="1:9">
      <c r="A142" t="s">
        <v>365</v>
      </c>
      <c r="B142" t="s">
        <v>849</v>
      </c>
      <c r="D142" t="s">
        <v>923</v>
      </c>
      <c r="E142" t="str">
        <f>"680487043877"</f>
        <v>680487043877</v>
      </c>
      <c r="F142" t="s">
        <v>851</v>
      </c>
      <c r="G142">
        <v>29.99</v>
      </c>
      <c r="H142">
        <v>0</v>
      </c>
      <c r="I142">
        <v>20</v>
      </c>
    </row>
    <row r="143" spans="1:9">
      <c r="A143" t="s">
        <v>372</v>
      </c>
      <c r="B143" t="s">
        <v>849</v>
      </c>
      <c r="D143" t="s">
        <v>923</v>
      </c>
      <c r="E143" t="str">
        <f>"680487044478"</f>
        <v>680487044478</v>
      </c>
      <c r="F143" t="s">
        <v>851</v>
      </c>
      <c r="G143">
        <v>29.99</v>
      </c>
      <c r="H143">
        <v>0</v>
      </c>
      <c r="I143">
        <v>18</v>
      </c>
    </row>
    <row r="144" spans="1:9">
      <c r="A144" t="s">
        <v>374</v>
      </c>
      <c r="B144" t="s">
        <v>849</v>
      </c>
      <c r="D144" t="s">
        <v>923</v>
      </c>
      <c r="E144" t="str">
        <f>"680487135213"</f>
        <v>680487135213</v>
      </c>
      <c r="F144" t="s">
        <v>851</v>
      </c>
      <c r="G144">
        <v>29.99</v>
      </c>
      <c r="H144">
        <v>0</v>
      </c>
      <c r="I144">
        <v>5</v>
      </c>
    </row>
    <row r="145" spans="1:9">
      <c r="A145" t="s">
        <v>385</v>
      </c>
      <c r="B145" t="s">
        <v>849</v>
      </c>
      <c r="D145" t="s">
        <v>923</v>
      </c>
      <c r="E145" t="str">
        <f>"680487044539"</f>
        <v>680487044539</v>
      </c>
      <c r="F145" t="s">
        <v>851</v>
      </c>
      <c r="G145">
        <v>29.99</v>
      </c>
      <c r="H145">
        <v>0</v>
      </c>
      <c r="I145">
        <v>27</v>
      </c>
    </row>
    <row r="146" spans="1:9">
      <c r="A146" t="s">
        <v>386</v>
      </c>
      <c r="B146" t="s">
        <v>849</v>
      </c>
      <c r="D146" t="s">
        <v>923</v>
      </c>
      <c r="E146" t="str">
        <f>"680487044676"</f>
        <v>680487044676</v>
      </c>
      <c r="F146" t="s">
        <v>851</v>
      </c>
      <c r="G146">
        <v>29.99</v>
      </c>
      <c r="H146">
        <v>0</v>
      </c>
      <c r="I146">
        <v>21</v>
      </c>
    </row>
    <row r="147" spans="1:9">
      <c r="A147" t="s">
        <v>388</v>
      </c>
      <c r="B147" t="s">
        <v>849</v>
      </c>
      <c r="D147" t="s">
        <v>923</v>
      </c>
      <c r="E147" t="str">
        <f>"680487044119"</f>
        <v>680487044119</v>
      </c>
      <c r="F147" t="s">
        <v>851</v>
      </c>
      <c r="G147">
        <v>29.99</v>
      </c>
      <c r="H147">
        <v>0</v>
      </c>
      <c r="I147">
        <v>22</v>
      </c>
    </row>
    <row r="148" spans="1:9">
      <c r="A148" t="s">
        <v>390</v>
      </c>
      <c r="B148" t="s">
        <v>849</v>
      </c>
      <c r="D148" t="s">
        <v>923</v>
      </c>
      <c r="E148" t="str">
        <f>"680487045048"</f>
        <v>680487045048</v>
      </c>
      <c r="F148" t="s">
        <v>851</v>
      </c>
      <c r="G148">
        <v>29.99</v>
      </c>
      <c r="H148">
        <v>0</v>
      </c>
      <c r="I148">
        <v>4</v>
      </c>
    </row>
    <row r="149" spans="1:9">
      <c r="A149" t="s">
        <v>555</v>
      </c>
      <c r="B149" t="s">
        <v>849</v>
      </c>
      <c r="D149" t="s">
        <v>935</v>
      </c>
      <c r="E149" t="str">
        <f>"680487182170"</f>
        <v>680487182170</v>
      </c>
      <c r="F149" t="s">
        <v>851</v>
      </c>
      <c r="G149">
        <v>19.989999999999998</v>
      </c>
      <c r="H149">
        <v>0</v>
      </c>
      <c r="I149">
        <v>1</v>
      </c>
    </row>
    <row r="150" spans="1:9">
      <c r="A150" t="s">
        <v>556</v>
      </c>
      <c r="B150" t="s">
        <v>849</v>
      </c>
      <c r="D150" t="s">
        <v>935</v>
      </c>
      <c r="E150" t="str">
        <f>"680487182187"</f>
        <v>680487182187</v>
      </c>
      <c r="F150" t="s">
        <v>851</v>
      </c>
      <c r="G150">
        <v>19.989999999999998</v>
      </c>
      <c r="H150">
        <v>0</v>
      </c>
      <c r="I150">
        <v>9</v>
      </c>
    </row>
    <row r="151" spans="1:9">
      <c r="A151" t="s">
        <v>557</v>
      </c>
      <c r="B151" t="s">
        <v>849</v>
      </c>
      <c r="D151" t="s">
        <v>935</v>
      </c>
      <c r="E151" t="str">
        <f>"680487182200"</f>
        <v>680487182200</v>
      </c>
      <c r="F151" t="s">
        <v>851</v>
      </c>
      <c r="G151">
        <v>19.989999999999998</v>
      </c>
      <c r="H151">
        <v>0</v>
      </c>
      <c r="I151">
        <v>17</v>
      </c>
    </row>
    <row r="152" spans="1:9">
      <c r="A152" t="s">
        <v>664</v>
      </c>
      <c r="B152" t="s">
        <v>849</v>
      </c>
      <c r="D152" t="s">
        <v>935</v>
      </c>
      <c r="E152" t="str">
        <f>"680487182217"</f>
        <v>680487182217</v>
      </c>
      <c r="F152" t="s">
        <v>851</v>
      </c>
      <c r="G152">
        <v>19.989999999999998</v>
      </c>
      <c r="H152">
        <v>0</v>
      </c>
      <c r="I152">
        <v>57</v>
      </c>
    </row>
    <row r="153" spans="1:9">
      <c r="A153" t="s">
        <v>559</v>
      </c>
      <c r="B153" t="s">
        <v>849</v>
      </c>
      <c r="D153" t="s">
        <v>935</v>
      </c>
      <c r="E153" t="str">
        <f>"680487182231"</f>
        <v>680487182231</v>
      </c>
      <c r="F153" t="s">
        <v>851</v>
      </c>
      <c r="G153">
        <v>19.989999999999998</v>
      </c>
      <c r="H153">
        <v>0</v>
      </c>
      <c r="I153">
        <v>5</v>
      </c>
    </row>
    <row r="154" spans="1:9">
      <c r="A154" t="s">
        <v>558</v>
      </c>
      <c r="B154" t="s">
        <v>849</v>
      </c>
      <c r="D154" t="s">
        <v>935</v>
      </c>
      <c r="E154" t="str">
        <f>"680487182224"</f>
        <v>680487182224</v>
      </c>
      <c r="F154" t="s">
        <v>851</v>
      </c>
      <c r="G154">
        <v>19.989999999999998</v>
      </c>
      <c r="H154">
        <v>0</v>
      </c>
      <c r="I154">
        <v>4</v>
      </c>
    </row>
    <row r="155" spans="1:9">
      <c r="A155" t="s">
        <v>560</v>
      </c>
      <c r="B155" t="s">
        <v>849</v>
      </c>
      <c r="D155" t="s">
        <v>935</v>
      </c>
      <c r="E155" t="str">
        <f>"680487182248"</f>
        <v>680487182248</v>
      </c>
      <c r="F155" t="s">
        <v>851</v>
      </c>
      <c r="G155">
        <v>19.989999999999998</v>
      </c>
      <c r="H155">
        <v>0</v>
      </c>
      <c r="I155">
        <v>1</v>
      </c>
    </row>
    <row r="156" spans="1:9">
      <c r="A156" t="s">
        <v>561</v>
      </c>
      <c r="B156" t="s">
        <v>849</v>
      </c>
      <c r="D156" t="s">
        <v>935</v>
      </c>
      <c r="E156" t="str">
        <f>"680487182255"</f>
        <v>680487182255</v>
      </c>
      <c r="F156" t="s">
        <v>851</v>
      </c>
      <c r="G156">
        <v>19.989999999999998</v>
      </c>
      <c r="H156">
        <v>0</v>
      </c>
      <c r="I156">
        <v>4</v>
      </c>
    </row>
    <row r="157" spans="1:9">
      <c r="A157" t="s">
        <v>565</v>
      </c>
      <c r="B157" t="s">
        <v>849</v>
      </c>
      <c r="D157" t="s">
        <v>935</v>
      </c>
      <c r="E157" t="str">
        <f>"680487182293"</f>
        <v>680487182293</v>
      </c>
      <c r="F157" t="s">
        <v>851</v>
      </c>
      <c r="G157">
        <v>19.989999999999998</v>
      </c>
      <c r="H157">
        <v>0</v>
      </c>
      <c r="I157">
        <v>5</v>
      </c>
    </row>
    <row r="158" spans="1:9">
      <c r="A158" t="s">
        <v>568</v>
      </c>
      <c r="B158" t="s">
        <v>849</v>
      </c>
      <c r="D158" t="s">
        <v>935</v>
      </c>
      <c r="E158" t="str">
        <f>"680487182330"</f>
        <v>680487182330</v>
      </c>
      <c r="F158" t="s">
        <v>851</v>
      </c>
      <c r="G158">
        <v>19.989999999999998</v>
      </c>
      <c r="H158">
        <v>0</v>
      </c>
      <c r="I158">
        <v>5</v>
      </c>
    </row>
    <row r="159" spans="1:9">
      <c r="A159" t="s">
        <v>681</v>
      </c>
      <c r="B159" t="s">
        <v>849</v>
      </c>
      <c r="D159" t="s">
        <v>935</v>
      </c>
      <c r="E159" t="str">
        <f>"680487182385"</f>
        <v>680487182385</v>
      </c>
      <c r="F159" t="s">
        <v>851</v>
      </c>
      <c r="G159">
        <v>19.989999999999998</v>
      </c>
      <c r="H159">
        <v>0</v>
      </c>
      <c r="I159">
        <v>3</v>
      </c>
    </row>
    <row r="160" spans="1:9">
      <c r="A160" t="s">
        <v>562</v>
      </c>
      <c r="B160" t="s">
        <v>849</v>
      </c>
      <c r="D160" t="s">
        <v>935</v>
      </c>
      <c r="E160" t="str">
        <f>"680487182262"</f>
        <v>680487182262</v>
      </c>
      <c r="F160" t="s">
        <v>851</v>
      </c>
      <c r="G160">
        <v>19.989999999999998</v>
      </c>
      <c r="H160">
        <v>0</v>
      </c>
      <c r="I160">
        <v>5</v>
      </c>
    </row>
    <row r="161" spans="1:9">
      <c r="A161" t="s">
        <v>572</v>
      </c>
      <c r="B161" t="s">
        <v>849</v>
      </c>
      <c r="D161" t="s">
        <v>935</v>
      </c>
      <c r="E161" t="str">
        <f>"680487182392"</f>
        <v>680487182392</v>
      </c>
      <c r="F161" t="s">
        <v>851</v>
      </c>
      <c r="G161">
        <v>19.989999999999998</v>
      </c>
      <c r="H161">
        <v>0</v>
      </c>
      <c r="I161">
        <v>4</v>
      </c>
    </row>
    <row r="162" spans="1:9">
      <c r="A162" t="s">
        <v>665</v>
      </c>
      <c r="B162" t="s">
        <v>849</v>
      </c>
      <c r="D162" t="s">
        <v>935</v>
      </c>
      <c r="E162" t="str">
        <f>"680487182309"</f>
        <v>680487182309</v>
      </c>
      <c r="F162" t="s">
        <v>851</v>
      </c>
      <c r="G162">
        <v>19.989999999999998</v>
      </c>
      <c r="H162">
        <v>0</v>
      </c>
      <c r="I162">
        <v>36</v>
      </c>
    </row>
    <row r="163" spans="1:9">
      <c r="A163" t="s">
        <v>569</v>
      </c>
      <c r="B163" t="s">
        <v>849</v>
      </c>
      <c r="D163" t="s">
        <v>935</v>
      </c>
      <c r="E163" t="str">
        <f>"680487182347"</f>
        <v>680487182347</v>
      </c>
      <c r="F163" t="s">
        <v>851</v>
      </c>
      <c r="G163">
        <v>19.989999999999998</v>
      </c>
      <c r="H163">
        <v>0</v>
      </c>
      <c r="I163">
        <v>8</v>
      </c>
    </row>
    <row r="164" spans="1:9">
      <c r="A164" t="s">
        <v>563</v>
      </c>
      <c r="B164" t="s">
        <v>849</v>
      </c>
      <c r="D164" t="s">
        <v>935</v>
      </c>
      <c r="E164" t="str">
        <f>"680487182279"</f>
        <v>680487182279</v>
      </c>
      <c r="F164" t="s">
        <v>851</v>
      </c>
      <c r="G164">
        <v>19.989999999999998</v>
      </c>
      <c r="H164">
        <v>0</v>
      </c>
      <c r="I164">
        <v>15</v>
      </c>
    </row>
    <row r="165" spans="1:9">
      <c r="A165" t="s">
        <v>573</v>
      </c>
      <c r="B165" t="s">
        <v>849</v>
      </c>
      <c r="D165" t="s">
        <v>935</v>
      </c>
      <c r="E165" t="str">
        <f>"680487182408"</f>
        <v>680487182408</v>
      </c>
      <c r="F165" t="s">
        <v>851</v>
      </c>
      <c r="G165">
        <v>19.989999999999998</v>
      </c>
      <c r="H165">
        <v>0</v>
      </c>
      <c r="I165">
        <v>1</v>
      </c>
    </row>
    <row r="166" spans="1:9">
      <c r="A166" t="s">
        <v>564</v>
      </c>
      <c r="B166" t="s">
        <v>849</v>
      </c>
      <c r="D166" t="s">
        <v>935</v>
      </c>
      <c r="E166" t="str">
        <f>"680487182286"</f>
        <v>680487182286</v>
      </c>
      <c r="F166" t="s">
        <v>851</v>
      </c>
      <c r="G166">
        <v>19.989999999999998</v>
      </c>
      <c r="H166">
        <v>0</v>
      </c>
      <c r="I166">
        <v>5</v>
      </c>
    </row>
    <row r="167" spans="1:9">
      <c r="A167" t="s">
        <v>666</v>
      </c>
      <c r="B167" t="s">
        <v>849</v>
      </c>
      <c r="D167" t="s">
        <v>935</v>
      </c>
      <c r="E167" t="str">
        <f>"680487182354"</f>
        <v>680487182354</v>
      </c>
      <c r="F167" t="s">
        <v>851</v>
      </c>
      <c r="G167">
        <v>19.989999999999998</v>
      </c>
      <c r="H167">
        <v>0</v>
      </c>
      <c r="I167">
        <v>51</v>
      </c>
    </row>
    <row r="168" spans="1:9">
      <c r="A168" t="s">
        <v>566</v>
      </c>
      <c r="B168" t="s">
        <v>849</v>
      </c>
      <c r="D168" t="s">
        <v>935</v>
      </c>
      <c r="E168" t="str">
        <f>"680487182316"</f>
        <v>680487182316</v>
      </c>
      <c r="F168" t="s">
        <v>851</v>
      </c>
      <c r="G168">
        <v>19.989999999999998</v>
      </c>
      <c r="H168">
        <v>0</v>
      </c>
      <c r="I168">
        <v>5</v>
      </c>
    </row>
    <row r="169" spans="1:9">
      <c r="A169" t="s">
        <v>570</v>
      </c>
      <c r="B169" t="s">
        <v>849</v>
      </c>
      <c r="D169" t="s">
        <v>935</v>
      </c>
      <c r="E169" t="str">
        <f>"680487182361"</f>
        <v>680487182361</v>
      </c>
      <c r="F169" t="s">
        <v>851</v>
      </c>
      <c r="G169">
        <v>19.989999999999998</v>
      </c>
      <c r="H169">
        <v>0</v>
      </c>
      <c r="I169">
        <v>7</v>
      </c>
    </row>
    <row r="170" spans="1:9">
      <c r="A170" t="s">
        <v>567</v>
      </c>
      <c r="B170" t="s">
        <v>849</v>
      </c>
      <c r="D170" t="s">
        <v>935</v>
      </c>
      <c r="E170" t="str">
        <f>"680487182323"</f>
        <v>680487182323</v>
      </c>
      <c r="F170" t="s">
        <v>851</v>
      </c>
      <c r="G170">
        <v>19.989999999999998</v>
      </c>
      <c r="H170">
        <v>0</v>
      </c>
      <c r="I170">
        <v>4</v>
      </c>
    </row>
    <row r="171" spans="1:9">
      <c r="A171" t="s">
        <v>574</v>
      </c>
      <c r="B171" t="s">
        <v>849</v>
      </c>
      <c r="D171" t="s">
        <v>935</v>
      </c>
      <c r="E171" t="str">
        <f>"680487182415"</f>
        <v>680487182415</v>
      </c>
      <c r="F171" t="s">
        <v>851</v>
      </c>
      <c r="G171">
        <v>19.989999999999998</v>
      </c>
      <c r="H171">
        <v>0</v>
      </c>
      <c r="I171">
        <v>23</v>
      </c>
    </row>
    <row r="172" spans="1:9">
      <c r="A172" t="s">
        <v>571</v>
      </c>
      <c r="B172" t="s">
        <v>849</v>
      </c>
      <c r="D172" t="s">
        <v>935</v>
      </c>
      <c r="E172" t="str">
        <f>"680487182378"</f>
        <v>680487182378</v>
      </c>
      <c r="F172" t="s">
        <v>851</v>
      </c>
      <c r="G172">
        <v>19.989999999999998</v>
      </c>
      <c r="H172">
        <v>0</v>
      </c>
      <c r="I172">
        <v>12</v>
      </c>
    </row>
    <row r="173" spans="1:9">
      <c r="A173" t="s">
        <v>680</v>
      </c>
      <c r="B173" t="s">
        <v>849</v>
      </c>
      <c r="D173" t="s">
        <v>935</v>
      </c>
      <c r="E173" t="str">
        <f>"680487182194"</f>
        <v>680487182194</v>
      </c>
      <c r="F173" t="s">
        <v>851</v>
      </c>
      <c r="G173">
        <v>19.989999999999998</v>
      </c>
      <c r="H173">
        <v>0</v>
      </c>
      <c r="I173">
        <v>5</v>
      </c>
    </row>
    <row r="174" spans="1:9">
      <c r="A174" t="s">
        <v>576</v>
      </c>
      <c r="B174" t="s">
        <v>849</v>
      </c>
      <c r="D174" t="s">
        <v>935</v>
      </c>
      <c r="E174" t="str">
        <f>"680487182439"</f>
        <v>680487182439</v>
      </c>
      <c r="F174" t="s">
        <v>851</v>
      </c>
      <c r="G174">
        <v>19.989999999999998</v>
      </c>
      <c r="H174">
        <v>0</v>
      </c>
      <c r="I174">
        <v>4</v>
      </c>
    </row>
    <row r="175" spans="1:9">
      <c r="A175" t="s">
        <v>577</v>
      </c>
      <c r="B175" t="s">
        <v>849</v>
      </c>
      <c r="D175" t="s">
        <v>935</v>
      </c>
      <c r="E175" t="str">
        <f>"680487182446"</f>
        <v>680487182446</v>
      </c>
      <c r="F175" t="s">
        <v>851</v>
      </c>
      <c r="G175">
        <v>19.989999999999998</v>
      </c>
      <c r="H175">
        <v>0</v>
      </c>
      <c r="I175">
        <v>4</v>
      </c>
    </row>
    <row r="176" spans="1:9">
      <c r="A176" t="s">
        <v>578</v>
      </c>
      <c r="B176" t="s">
        <v>849</v>
      </c>
      <c r="D176" t="s">
        <v>935</v>
      </c>
      <c r="E176" t="str">
        <f>"680487182453"</f>
        <v>680487182453</v>
      </c>
      <c r="F176" t="s">
        <v>851</v>
      </c>
      <c r="G176">
        <v>19.989999999999998</v>
      </c>
      <c r="H176">
        <v>0</v>
      </c>
      <c r="I176">
        <v>1</v>
      </c>
    </row>
    <row r="177" spans="1:9">
      <c r="A177" t="s">
        <v>667</v>
      </c>
      <c r="B177" t="s">
        <v>849</v>
      </c>
      <c r="D177" t="s">
        <v>935</v>
      </c>
      <c r="E177" t="str">
        <f>"680487182460"</f>
        <v>680487182460</v>
      </c>
      <c r="F177" t="s">
        <v>851</v>
      </c>
      <c r="G177">
        <v>19.989999999999998</v>
      </c>
      <c r="H177">
        <v>0</v>
      </c>
      <c r="I177">
        <v>16</v>
      </c>
    </row>
    <row r="178" spans="1:9">
      <c r="A178" t="s">
        <v>575</v>
      </c>
      <c r="B178" t="s">
        <v>849</v>
      </c>
      <c r="D178" t="s">
        <v>935</v>
      </c>
      <c r="E178" t="str">
        <f>"680487182422"</f>
        <v>680487182422</v>
      </c>
      <c r="F178" t="s">
        <v>851</v>
      </c>
      <c r="G178">
        <v>19.989999999999998</v>
      </c>
      <c r="H178">
        <v>0</v>
      </c>
      <c r="I178">
        <v>17</v>
      </c>
    </row>
    <row r="179" spans="1:9">
      <c r="A179" t="s">
        <v>689</v>
      </c>
      <c r="B179" t="s">
        <v>849</v>
      </c>
      <c r="D179" t="s">
        <v>936</v>
      </c>
      <c r="E179" t="str">
        <f>"680487182781"</f>
        <v>680487182781</v>
      </c>
      <c r="F179" t="s">
        <v>851</v>
      </c>
      <c r="G179">
        <v>29.99</v>
      </c>
      <c r="H179">
        <v>0</v>
      </c>
      <c r="I179">
        <v>1</v>
      </c>
    </row>
    <row r="180" spans="1:9">
      <c r="A180" t="s">
        <v>690</v>
      </c>
      <c r="B180" t="s">
        <v>849</v>
      </c>
      <c r="D180" t="s">
        <v>936</v>
      </c>
      <c r="E180" t="str">
        <f>"680487182798"</f>
        <v>680487182798</v>
      </c>
      <c r="F180" t="s">
        <v>851</v>
      </c>
      <c r="G180">
        <v>29.99</v>
      </c>
      <c r="H180">
        <v>0</v>
      </c>
      <c r="I180">
        <v>2</v>
      </c>
    </row>
    <row r="181" spans="1:9">
      <c r="A181" t="s">
        <v>591</v>
      </c>
      <c r="B181" t="s">
        <v>849</v>
      </c>
      <c r="D181" t="s">
        <v>936</v>
      </c>
      <c r="E181" t="str">
        <f>"680487182903"</f>
        <v>680487182903</v>
      </c>
      <c r="F181" t="s">
        <v>851</v>
      </c>
      <c r="G181">
        <v>29.99</v>
      </c>
      <c r="H181">
        <v>0</v>
      </c>
      <c r="I181">
        <v>4</v>
      </c>
    </row>
    <row r="182" spans="1:9">
      <c r="A182" t="s">
        <v>592</v>
      </c>
      <c r="B182" t="s">
        <v>849</v>
      </c>
      <c r="D182" t="s">
        <v>936</v>
      </c>
      <c r="E182" t="str">
        <f>"680487182910"</f>
        <v>680487182910</v>
      </c>
      <c r="F182" t="s">
        <v>851</v>
      </c>
      <c r="G182">
        <v>29.99</v>
      </c>
      <c r="H182">
        <v>0</v>
      </c>
      <c r="I182">
        <v>3</v>
      </c>
    </row>
    <row r="183" spans="1:9">
      <c r="A183" t="s">
        <v>585</v>
      </c>
      <c r="B183" t="s">
        <v>849</v>
      </c>
      <c r="D183" t="s">
        <v>936</v>
      </c>
      <c r="E183" t="str">
        <f>"680487182842"</f>
        <v>680487182842</v>
      </c>
      <c r="F183" t="s">
        <v>851</v>
      </c>
      <c r="G183">
        <v>29.99</v>
      </c>
      <c r="H183">
        <v>0</v>
      </c>
      <c r="I183">
        <v>0</v>
      </c>
    </row>
    <row r="184" spans="1:9">
      <c r="A184" t="s">
        <v>586</v>
      </c>
      <c r="B184" t="s">
        <v>849</v>
      </c>
      <c r="D184" t="s">
        <v>936</v>
      </c>
      <c r="E184" t="str">
        <f>"680487182859"</f>
        <v>680487182859</v>
      </c>
      <c r="F184" t="s">
        <v>851</v>
      </c>
      <c r="G184">
        <v>29.99</v>
      </c>
      <c r="H184">
        <v>0</v>
      </c>
      <c r="I184">
        <v>2</v>
      </c>
    </row>
    <row r="185" spans="1:9">
      <c r="A185" t="s">
        <v>589</v>
      </c>
      <c r="B185" t="s">
        <v>849</v>
      </c>
      <c r="D185" t="s">
        <v>936</v>
      </c>
      <c r="E185" t="str">
        <f>"680487182880"</f>
        <v>680487182880</v>
      </c>
      <c r="F185" t="s">
        <v>851</v>
      </c>
      <c r="G185">
        <v>29.99</v>
      </c>
      <c r="H185">
        <v>0</v>
      </c>
      <c r="I185">
        <v>2</v>
      </c>
    </row>
    <row r="186" spans="1:9">
      <c r="A186" t="s">
        <v>590</v>
      </c>
      <c r="B186" t="s">
        <v>849</v>
      </c>
      <c r="D186" t="s">
        <v>936</v>
      </c>
      <c r="E186" t="str">
        <f>"680487182897"</f>
        <v>680487182897</v>
      </c>
      <c r="F186" t="s">
        <v>851</v>
      </c>
      <c r="G186">
        <v>29.99</v>
      </c>
      <c r="H186">
        <v>0</v>
      </c>
      <c r="I186">
        <v>3</v>
      </c>
    </row>
    <row r="187" spans="1:9">
      <c r="A187" t="s">
        <v>601</v>
      </c>
      <c r="B187" t="s">
        <v>849</v>
      </c>
      <c r="D187" t="s">
        <v>936</v>
      </c>
      <c r="E187" t="str">
        <f>"680487183023"</f>
        <v>680487183023</v>
      </c>
      <c r="F187" t="s">
        <v>851</v>
      </c>
      <c r="G187">
        <v>29.99</v>
      </c>
      <c r="H187">
        <v>0</v>
      </c>
      <c r="I187">
        <v>2</v>
      </c>
    </row>
    <row r="188" spans="1:9">
      <c r="A188" t="s">
        <v>602</v>
      </c>
      <c r="B188" t="s">
        <v>849</v>
      </c>
      <c r="D188" t="s">
        <v>936</v>
      </c>
      <c r="E188" t="str">
        <f>"680487183030"</f>
        <v>680487183030</v>
      </c>
      <c r="F188" t="s">
        <v>851</v>
      </c>
      <c r="G188">
        <v>29.99</v>
      </c>
      <c r="H188">
        <v>0</v>
      </c>
      <c r="I188">
        <v>1</v>
      </c>
    </row>
    <row r="189" spans="1:9">
      <c r="A189" t="s">
        <v>609</v>
      </c>
      <c r="B189" t="s">
        <v>849</v>
      </c>
      <c r="D189" t="s">
        <v>936</v>
      </c>
      <c r="E189" t="str">
        <f>"680487183122"</f>
        <v>680487183122</v>
      </c>
      <c r="F189" t="s">
        <v>851</v>
      </c>
      <c r="G189">
        <v>29.99</v>
      </c>
      <c r="H189">
        <v>0</v>
      </c>
      <c r="I189">
        <v>2</v>
      </c>
    </row>
    <row r="190" spans="1:9">
      <c r="A190" t="s">
        <v>610</v>
      </c>
      <c r="B190" t="s">
        <v>849</v>
      </c>
      <c r="D190" t="s">
        <v>936</v>
      </c>
      <c r="E190" t="str">
        <f>"680487183139"</f>
        <v>680487183139</v>
      </c>
      <c r="F190" t="s">
        <v>851</v>
      </c>
      <c r="G190">
        <v>29.99</v>
      </c>
      <c r="H190">
        <v>0</v>
      </c>
      <c r="I190">
        <v>3</v>
      </c>
    </row>
    <row r="191" spans="1:9">
      <c r="A191" t="s">
        <v>611</v>
      </c>
      <c r="B191" t="s">
        <v>849</v>
      </c>
      <c r="D191" t="s">
        <v>936</v>
      </c>
      <c r="E191" t="str">
        <f>"680487183146"</f>
        <v>680487183146</v>
      </c>
      <c r="F191" t="s">
        <v>851</v>
      </c>
      <c r="G191">
        <v>29.99</v>
      </c>
      <c r="H191">
        <v>0</v>
      </c>
      <c r="I191">
        <v>2</v>
      </c>
    </row>
    <row r="192" spans="1:9">
      <c r="A192" t="s">
        <v>612</v>
      </c>
      <c r="B192" t="s">
        <v>849</v>
      </c>
      <c r="D192" t="s">
        <v>936</v>
      </c>
      <c r="E192" t="str">
        <f>"680487183153"</f>
        <v>680487183153</v>
      </c>
      <c r="F192" t="s">
        <v>851</v>
      </c>
      <c r="G192">
        <v>29.99</v>
      </c>
      <c r="H192">
        <v>0</v>
      </c>
      <c r="I192">
        <v>2</v>
      </c>
    </row>
    <row r="193" spans="1:9">
      <c r="A193" t="s">
        <v>676</v>
      </c>
      <c r="B193" t="s">
        <v>849</v>
      </c>
      <c r="D193" t="s">
        <v>936</v>
      </c>
      <c r="E193" t="str">
        <f>"680487183160"</f>
        <v>680487183160</v>
      </c>
      <c r="F193" t="s">
        <v>851</v>
      </c>
      <c r="G193">
        <v>29.99</v>
      </c>
      <c r="H193">
        <v>0</v>
      </c>
      <c r="I193">
        <v>2</v>
      </c>
    </row>
    <row r="194" spans="1:9">
      <c r="A194" t="s">
        <v>674</v>
      </c>
      <c r="B194" t="s">
        <v>849</v>
      </c>
      <c r="D194" t="s">
        <v>936</v>
      </c>
      <c r="E194" t="str">
        <f>"680487183177"</f>
        <v>680487183177</v>
      </c>
      <c r="F194" t="s">
        <v>851</v>
      </c>
      <c r="G194">
        <v>29.99</v>
      </c>
      <c r="H194">
        <v>0</v>
      </c>
      <c r="I194">
        <v>1</v>
      </c>
    </row>
    <row r="195" spans="1:9">
      <c r="A195" t="s">
        <v>619</v>
      </c>
      <c r="B195" t="s">
        <v>849</v>
      </c>
      <c r="D195" t="s">
        <v>936</v>
      </c>
      <c r="E195" t="str">
        <f>"680487183245"</f>
        <v>680487183245</v>
      </c>
      <c r="F195" t="s">
        <v>851</v>
      </c>
      <c r="G195">
        <v>29.99</v>
      </c>
      <c r="H195">
        <v>0</v>
      </c>
      <c r="I195">
        <v>5</v>
      </c>
    </row>
    <row r="196" spans="1:9">
      <c r="A196" t="s">
        <v>620</v>
      </c>
      <c r="B196" t="s">
        <v>849</v>
      </c>
      <c r="D196" t="s">
        <v>936</v>
      </c>
      <c r="E196" t="str">
        <f>"680487183252"</f>
        <v>680487183252</v>
      </c>
      <c r="F196" t="s">
        <v>851</v>
      </c>
      <c r="G196">
        <v>29.99</v>
      </c>
      <c r="H196">
        <v>0</v>
      </c>
      <c r="I196">
        <v>15</v>
      </c>
    </row>
    <row r="197" spans="1:9">
      <c r="A197" t="s">
        <v>617</v>
      </c>
      <c r="B197" t="s">
        <v>849</v>
      </c>
      <c r="D197" t="s">
        <v>936</v>
      </c>
      <c r="E197" t="str">
        <f>"680487183221"</f>
        <v>680487183221</v>
      </c>
      <c r="F197" t="s">
        <v>851</v>
      </c>
      <c r="G197">
        <v>29.99</v>
      </c>
      <c r="H197">
        <v>0</v>
      </c>
      <c r="I197">
        <v>16</v>
      </c>
    </row>
    <row r="198" spans="1:9">
      <c r="A198" t="s">
        <v>618</v>
      </c>
      <c r="B198" t="s">
        <v>849</v>
      </c>
      <c r="D198" t="s">
        <v>936</v>
      </c>
      <c r="E198" t="str">
        <f>"680487183238"</f>
        <v>680487183238</v>
      </c>
      <c r="F198" t="s">
        <v>851</v>
      </c>
      <c r="G198">
        <v>29.99</v>
      </c>
      <c r="H198">
        <v>0</v>
      </c>
      <c r="I198">
        <v>13</v>
      </c>
    </row>
    <row r="199" spans="1:9">
      <c r="A199" t="s">
        <v>691</v>
      </c>
      <c r="B199" t="s">
        <v>849</v>
      </c>
      <c r="D199" t="s">
        <v>936</v>
      </c>
      <c r="E199" t="str">
        <f>"680487183320"</f>
        <v>680487183320</v>
      </c>
      <c r="F199" t="s">
        <v>851</v>
      </c>
      <c r="G199">
        <v>29.99</v>
      </c>
      <c r="H199">
        <v>0</v>
      </c>
      <c r="I199">
        <v>2</v>
      </c>
    </row>
    <row r="200" spans="1:9">
      <c r="A200" t="s">
        <v>692</v>
      </c>
      <c r="B200" t="s">
        <v>849</v>
      </c>
      <c r="D200" t="s">
        <v>936</v>
      </c>
      <c r="E200" t="str">
        <f>"680487183337"</f>
        <v>680487183337</v>
      </c>
      <c r="F200" t="s">
        <v>851</v>
      </c>
      <c r="G200">
        <v>29.99</v>
      </c>
      <c r="H200">
        <v>0</v>
      </c>
      <c r="I200">
        <v>2</v>
      </c>
    </row>
    <row r="201" spans="1:9">
      <c r="A201" t="s">
        <v>579</v>
      </c>
      <c r="B201" t="s">
        <v>849</v>
      </c>
      <c r="D201" t="s">
        <v>936</v>
      </c>
      <c r="E201" t="str">
        <f>"680487182743"</f>
        <v>680487182743</v>
      </c>
      <c r="F201" t="s">
        <v>851</v>
      </c>
      <c r="G201">
        <v>29.99</v>
      </c>
      <c r="H201">
        <v>0</v>
      </c>
      <c r="I201">
        <v>1</v>
      </c>
    </row>
    <row r="202" spans="1:9">
      <c r="A202" t="s">
        <v>580</v>
      </c>
      <c r="B202" t="s">
        <v>849</v>
      </c>
      <c r="D202" t="s">
        <v>936</v>
      </c>
      <c r="E202" t="str">
        <f>"680487182750"</f>
        <v>680487182750</v>
      </c>
      <c r="F202" t="s">
        <v>851</v>
      </c>
      <c r="G202">
        <v>29.99</v>
      </c>
      <c r="H202">
        <v>0</v>
      </c>
      <c r="I202">
        <v>2</v>
      </c>
    </row>
    <row r="203" spans="1:9">
      <c r="A203" t="s">
        <v>581</v>
      </c>
      <c r="B203" t="s">
        <v>849</v>
      </c>
      <c r="D203" t="s">
        <v>936</v>
      </c>
      <c r="E203" t="str">
        <f>"680487182767"</f>
        <v>680487182767</v>
      </c>
      <c r="F203" t="s">
        <v>851</v>
      </c>
      <c r="G203">
        <v>29.99</v>
      </c>
      <c r="H203">
        <v>0</v>
      </c>
      <c r="I203">
        <v>15</v>
      </c>
    </row>
    <row r="204" spans="1:9">
      <c r="A204" t="s">
        <v>582</v>
      </c>
      <c r="B204" t="s">
        <v>849</v>
      </c>
      <c r="D204" t="s">
        <v>936</v>
      </c>
      <c r="E204" t="str">
        <f>"680487182774"</f>
        <v>680487182774</v>
      </c>
      <c r="F204" t="s">
        <v>851</v>
      </c>
      <c r="G204">
        <v>29.99</v>
      </c>
      <c r="H204">
        <v>0</v>
      </c>
      <c r="I204">
        <v>5</v>
      </c>
    </row>
    <row r="205" spans="1:9">
      <c r="A205" t="s">
        <v>583</v>
      </c>
      <c r="B205" t="s">
        <v>849</v>
      </c>
      <c r="D205" t="s">
        <v>936</v>
      </c>
      <c r="E205" t="str">
        <f>"680487182804"</f>
        <v>680487182804</v>
      </c>
      <c r="F205" t="s">
        <v>851</v>
      </c>
      <c r="G205">
        <v>29.99</v>
      </c>
      <c r="H205">
        <v>0</v>
      </c>
      <c r="I205">
        <v>8</v>
      </c>
    </row>
    <row r="206" spans="1:9">
      <c r="A206" t="s">
        <v>584</v>
      </c>
      <c r="B206" t="s">
        <v>849</v>
      </c>
      <c r="D206" t="s">
        <v>936</v>
      </c>
      <c r="E206" t="str">
        <f>"680487182811"</f>
        <v>680487182811</v>
      </c>
      <c r="F206" t="s">
        <v>851</v>
      </c>
      <c r="G206">
        <v>29.99</v>
      </c>
      <c r="H206">
        <v>0</v>
      </c>
      <c r="I206">
        <v>8</v>
      </c>
    </row>
    <row r="207" spans="1:9">
      <c r="A207" t="s">
        <v>668</v>
      </c>
      <c r="B207" t="s">
        <v>849</v>
      </c>
      <c r="D207" t="s">
        <v>936</v>
      </c>
      <c r="E207" t="str">
        <f>"680487182828"</f>
        <v>680487182828</v>
      </c>
      <c r="F207" t="s">
        <v>851</v>
      </c>
      <c r="G207">
        <v>29.99</v>
      </c>
      <c r="H207">
        <v>0</v>
      </c>
      <c r="I207">
        <v>13</v>
      </c>
    </row>
    <row r="208" spans="1:9">
      <c r="A208" t="s">
        <v>669</v>
      </c>
      <c r="B208" t="s">
        <v>849</v>
      </c>
      <c r="D208" t="s">
        <v>936</v>
      </c>
      <c r="E208" t="str">
        <f>"680487182835"</f>
        <v>680487182835</v>
      </c>
      <c r="F208" t="s">
        <v>851</v>
      </c>
      <c r="G208">
        <v>29.99</v>
      </c>
      <c r="H208">
        <v>0</v>
      </c>
      <c r="I208">
        <v>8</v>
      </c>
    </row>
    <row r="209" spans="1:9">
      <c r="A209" t="s">
        <v>587</v>
      </c>
      <c r="B209" t="s">
        <v>849</v>
      </c>
      <c r="D209" t="s">
        <v>936</v>
      </c>
      <c r="E209" t="str">
        <f>"680487182866"</f>
        <v>680487182866</v>
      </c>
      <c r="F209" t="s">
        <v>851</v>
      </c>
      <c r="G209">
        <v>29.99</v>
      </c>
      <c r="H209">
        <v>0</v>
      </c>
      <c r="I209">
        <v>2</v>
      </c>
    </row>
    <row r="210" spans="1:9">
      <c r="A210" t="s">
        <v>588</v>
      </c>
      <c r="B210" t="s">
        <v>849</v>
      </c>
      <c r="D210" t="s">
        <v>936</v>
      </c>
      <c r="E210" t="str">
        <f>"680487182873"</f>
        <v>680487182873</v>
      </c>
      <c r="F210" t="s">
        <v>851</v>
      </c>
      <c r="G210">
        <v>29.99</v>
      </c>
      <c r="H210">
        <v>0</v>
      </c>
      <c r="I210">
        <v>1</v>
      </c>
    </row>
    <row r="211" spans="1:9">
      <c r="A211" t="s">
        <v>593</v>
      </c>
      <c r="B211" t="s">
        <v>849</v>
      </c>
      <c r="D211" t="s">
        <v>936</v>
      </c>
      <c r="E211" t="str">
        <f>"680487182927"</f>
        <v>680487182927</v>
      </c>
      <c r="F211" t="s">
        <v>851</v>
      </c>
      <c r="G211">
        <v>29.99</v>
      </c>
      <c r="H211">
        <v>0</v>
      </c>
      <c r="I211">
        <v>3</v>
      </c>
    </row>
    <row r="212" spans="1:9">
      <c r="A212" t="s">
        <v>594</v>
      </c>
      <c r="B212" t="s">
        <v>849</v>
      </c>
      <c r="D212" t="s">
        <v>936</v>
      </c>
      <c r="E212" t="str">
        <f>"680487182934"</f>
        <v>680487182934</v>
      </c>
      <c r="F212" t="s">
        <v>851</v>
      </c>
      <c r="G212">
        <v>29.99</v>
      </c>
      <c r="H212">
        <v>0</v>
      </c>
      <c r="I212">
        <v>1</v>
      </c>
    </row>
    <row r="213" spans="1:9">
      <c r="A213" t="s">
        <v>595</v>
      </c>
      <c r="B213" t="s">
        <v>849</v>
      </c>
      <c r="D213" t="s">
        <v>936</v>
      </c>
      <c r="E213" t="str">
        <f>"680487182941"</f>
        <v>680487182941</v>
      </c>
      <c r="F213" t="s">
        <v>851</v>
      </c>
      <c r="G213">
        <v>29.99</v>
      </c>
      <c r="H213">
        <v>0</v>
      </c>
      <c r="I213">
        <v>30</v>
      </c>
    </row>
    <row r="214" spans="1:9">
      <c r="A214" t="s">
        <v>596</v>
      </c>
      <c r="B214" t="s">
        <v>849</v>
      </c>
      <c r="D214" t="s">
        <v>936</v>
      </c>
      <c r="E214" t="str">
        <f>"680487182958"</f>
        <v>680487182958</v>
      </c>
      <c r="F214" t="s">
        <v>851</v>
      </c>
      <c r="G214">
        <v>29.99</v>
      </c>
      <c r="H214">
        <v>0</v>
      </c>
      <c r="I214">
        <v>27</v>
      </c>
    </row>
    <row r="215" spans="1:9">
      <c r="A215" t="s">
        <v>597</v>
      </c>
      <c r="B215" t="s">
        <v>849</v>
      </c>
      <c r="D215" t="s">
        <v>936</v>
      </c>
      <c r="E215" t="str">
        <f>"680487182965"</f>
        <v>680487182965</v>
      </c>
      <c r="F215" t="s">
        <v>851</v>
      </c>
      <c r="G215">
        <v>29.99</v>
      </c>
      <c r="H215">
        <v>0</v>
      </c>
      <c r="I215">
        <v>1</v>
      </c>
    </row>
    <row r="216" spans="1:9">
      <c r="A216" t="s">
        <v>598</v>
      </c>
      <c r="B216" t="s">
        <v>849</v>
      </c>
      <c r="D216" t="s">
        <v>936</v>
      </c>
      <c r="E216" t="str">
        <f>"680487182972"</f>
        <v>680487182972</v>
      </c>
      <c r="F216" t="s">
        <v>851</v>
      </c>
      <c r="G216">
        <v>29.99</v>
      </c>
      <c r="H216">
        <v>0</v>
      </c>
      <c r="I216">
        <v>2</v>
      </c>
    </row>
    <row r="217" spans="1:9">
      <c r="A217" t="s">
        <v>599</v>
      </c>
      <c r="B217" t="s">
        <v>849</v>
      </c>
      <c r="D217" t="s">
        <v>936</v>
      </c>
      <c r="E217" t="str">
        <f>"680487182989"</f>
        <v>680487182989</v>
      </c>
      <c r="F217" t="s">
        <v>851</v>
      </c>
      <c r="G217">
        <v>29.99</v>
      </c>
      <c r="H217">
        <v>0</v>
      </c>
      <c r="I217">
        <v>2</v>
      </c>
    </row>
    <row r="218" spans="1:9">
      <c r="A218" t="s">
        <v>600</v>
      </c>
      <c r="B218" t="s">
        <v>849</v>
      </c>
      <c r="D218" t="s">
        <v>936</v>
      </c>
      <c r="E218" t="str">
        <f>"680487182996"</f>
        <v>680487182996</v>
      </c>
      <c r="F218" t="s">
        <v>851</v>
      </c>
      <c r="G218">
        <v>29.99</v>
      </c>
      <c r="H218">
        <v>0</v>
      </c>
      <c r="I218">
        <v>2</v>
      </c>
    </row>
    <row r="219" spans="1:9">
      <c r="A219" t="s">
        <v>670</v>
      </c>
      <c r="B219" t="s">
        <v>849</v>
      </c>
      <c r="D219" t="s">
        <v>936</v>
      </c>
      <c r="E219" t="str">
        <f>"680487183009"</f>
        <v>680487183009</v>
      </c>
      <c r="F219" t="s">
        <v>851</v>
      </c>
      <c r="G219">
        <v>29.99</v>
      </c>
      <c r="H219">
        <v>0</v>
      </c>
      <c r="I219">
        <v>9</v>
      </c>
    </row>
    <row r="220" spans="1:9">
      <c r="A220" t="s">
        <v>671</v>
      </c>
      <c r="B220" t="s">
        <v>849</v>
      </c>
      <c r="D220" t="s">
        <v>936</v>
      </c>
      <c r="E220" t="str">
        <f>"680487183016"</f>
        <v>680487183016</v>
      </c>
      <c r="F220" t="s">
        <v>851</v>
      </c>
      <c r="G220">
        <v>29.99</v>
      </c>
      <c r="H220">
        <v>0</v>
      </c>
      <c r="I220">
        <v>15</v>
      </c>
    </row>
    <row r="221" spans="1:9">
      <c r="A221" t="s">
        <v>603</v>
      </c>
      <c r="B221" t="s">
        <v>849</v>
      </c>
      <c r="D221" t="s">
        <v>936</v>
      </c>
      <c r="E221" t="str">
        <f>"680487183047"</f>
        <v>680487183047</v>
      </c>
      <c r="F221" t="s">
        <v>851</v>
      </c>
      <c r="G221">
        <v>29.99</v>
      </c>
      <c r="H221">
        <v>0</v>
      </c>
      <c r="I221">
        <v>1</v>
      </c>
    </row>
    <row r="222" spans="1:9">
      <c r="A222" t="s">
        <v>604</v>
      </c>
      <c r="B222" t="s">
        <v>849</v>
      </c>
      <c r="D222" t="s">
        <v>936</v>
      </c>
      <c r="E222" t="str">
        <f>"680487183054"</f>
        <v>680487183054</v>
      </c>
      <c r="F222" t="s">
        <v>851</v>
      </c>
      <c r="G222">
        <v>29.99</v>
      </c>
      <c r="H222">
        <v>0</v>
      </c>
      <c r="I222">
        <v>2</v>
      </c>
    </row>
    <row r="223" spans="1:9">
      <c r="A223" t="s">
        <v>605</v>
      </c>
      <c r="B223" t="s">
        <v>849</v>
      </c>
      <c r="D223" t="s">
        <v>936</v>
      </c>
      <c r="E223" t="str">
        <f>"680487183061"</f>
        <v>680487183061</v>
      </c>
      <c r="F223" t="s">
        <v>851</v>
      </c>
      <c r="G223">
        <v>29.99</v>
      </c>
      <c r="H223">
        <v>0</v>
      </c>
      <c r="I223">
        <v>2</v>
      </c>
    </row>
    <row r="224" spans="1:9">
      <c r="A224" t="s">
        <v>606</v>
      </c>
      <c r="B224" t="s">
        <v>849</v>
      </c>
      <c r="D224" t="s">
        <v>936</v>
      </c>
      <c r="E224" t="str">
        <f>"680487183078"</f>
        <v>680487183078</v>
      </c>
      <c r="F224" t="s">
        <v>851</v>
      </c>
      <c r="G224">
        <v>29.99</v>
      </c>
      <c r="H224">
        <v>0</v>
      </c>
      <c r="I224">
        <v>3</v>
      </c>
    </row>
    <row r="225" spans="1:9">
      <c r="A225" t="s">
        <v>607</v>
      </c>
      <c r="B225" t="s">
        <v>849</v>
      </c>
      <c r="D225" t="s">
        <v>936</v>
      </c>
      <c r="E225" t="str">
        <f>"680487183085"</f>
        <v>680487183085</v>
      </c>
      <c r="F225" t="s">
        <v>851</v>
      </c>
      <c r="G225">
        <v>29.99</v>
      </c>
      <c r="H225">
        <v>0</v>
      </c>
      <c r="I225">
        <v>3</v>
      </c>
    </row>
    <row r="226" spans="1:9">
      <c r="A226" t="s">
        <v>608</v>
      </c>
      <c r="B226" t="s">
        <v>849</v>
      </c>
      <c r="D226" t="s">
        <v>936</v>
      </c>
      <c r="E226" t="str">
        <f>"680487183092"</f>
        <v>680487183092</v>
      </c>
      <c r="F226" t="s">
        <v>851</v>
      </c>
      <c r="G226">
        <v>29.99</v>
      </c>
      <c r="H226">
        <v>0</v>
      </c>
      <c r="I226">
        <v>9</v>
      </c>
    </row>
    <row r="227" spans="1:9">
      <c r="A227" t="s">
        <v>672</v>
      </c>
      <c r="B227" t="s">
        <v>849</v>
      </c>
      <c r="D227" t="s">
        <v>936</v>
      </c>
      <c r="E227" t="str">
        <f>"680487183108"</f>
        <v>680487183108</v>
      </c>
      <c r="F227" t="s">
        <v>851</v>
      </c>
      <c r="G227">
        <v>29.99</v>
      </c>
      <c r="H227">
        <v>0</v>
      </c>
      <c r="I227">
        <v>22</v>
      </c>
    </row>
    <row r="228" spans="1:9">
      <c r="A228" t="s">
        <v>673</v>
      </c>
      <c r="B228" t="s">
        <v>849</v>
      </c>
      <c r="D228" t="s">
        <v>936</v>
      </c>
      <c r="E228" t="str">
        <f>"680487183115"</f>
        <v>680487183115</v>
      </c>
      <c r="F228" t="s">
        <v>851</v>
      </c>
      <c r="G228">
        <v>29.99</v>
      </c>
      <c r="H228">
        <v>0</v>
      </c>
      <c r="I228">
        <v>30</v>
      </c>
    </row>
    <row r="229" spans="1:9">
      <c r="A229" t="s">
        <v>613</v>
      </c>
      <c r="B229" t="s">
        <v>849</v>
      </c>
      <c r="D229" t="s">
        <v>936</v>
      </c>
      <c r="E229" t="str">
        <f>"680487183184"</f>
        <v>680487183184</v>
      </c>
      <c r="F229" t="s">
        <v>851</v>
      </c>
      <c r="G229">
        <v>29.99</v>
      </c>
      <c r="H229">
        <v>0</v>
      </c>
      <c r="I229">
        <v>4</v>
      </c>
    </row>
    <row r="230" spans="1:9">
      <c r="A230" t="s">
        <v>614</v>
      </c>
      <c r="B230" t="s">
        <v>849</v>
      </c>
      <c r="D230" t="s">
        <v>936</v>
      </c>
      <c r="E230" t="str">
        <f>"680487183191"</f>
        <v>680487183191</v>
      </c>
      <c r="F230" t="s">
        <v>851</v>
      </c>
      <c r="G230">
        <v>29.99</v>
      </c>
      <c r="H230">
        <v>0</v>
      </c>
      <c r="I230">
        <v>2</v>
      </c>
    </row>
    <row r="231" spans="1:9">
      <c r="A231" t="s">
        <v>615</v>
      </c>
      <c r="B231" t="s">
        <v>849</v>
      </c>
      <c r="D231" t="s">
        <v>936</v>
      </c>
      <c r="E231" t="str">
        <f>"680487183207"</f>
        <v>680487183207</v>
      </c>
      <c r="F231" t="s">
        <v>851</v>
      </c>
      <c r="G231">
        <v>29.99</v>
      </c>
      <c r="H231">
        <v>0</v>
      </c>
      <c r="I231">
        <v>2</v>
      </c>
    </row>
    <row r="232" spans="1:9">
      <c r="A232" t="s">
        <v>616</v>
      </c>
      <c r="B232" t="s">
        <v>849</v>
      </c>
      <c r="D232" t="s">
        <v>936</v>
      </c>
      <c r="E232" t="str">
        <f>"680487183214"</f>
        <v>680487183214</v>
      </c>
      <c r="F232" t="s">
        <v>851</v>
      </c>
      <c r="G232">
        <v>29.99</v>
      </c>
      <c r="H232">
        <v>0</v>
      </c>
      <c r="I232">
        <v>2</v>
      </c>
    </row>
    <row r="233" spans="1:9">
      <c r="A233" t="s">
        <v>621</v>
      </c>
      <c r="B233" t="s">
        <v>849</v>
      </c>
      <c r="D233" t="s">
        <v>936</v>
      </c>
      <c r="E233" t="str">
        <f>"680487183269"</f>
        <v>680487183269</v>
      </c>
      <c r="F233" t="s">
        <v>851</v>
      </c>
      <c r="G233">
        <v>29.99</v>
      </c>
      <c r="H233">
        <v>0</v>
      </c>
      <c r="I233">
        <v>1</v>
      </c>
    </row>
    <row r="234" spans="1:9">
      <c r="A234" t="s">
        <v>622</v>
      </c>
      <c r="B234" t="s">
        <v>849</v>
      </c>
      <c r="D234" t="s">
        <v>936</v>
      </c>
      <c r="E234" t="str">
        <f>"680487183276"</f>
        <v>680487183276</v>
      </c>
      <c r="F234" t="s">
        <v>851</v>
      </c>
      <c r="G234">
        <v>29.99</v>
      </c>
      <c r="H234">
        <v>0</v>
      </c>
      <c r="I234">
        <v>2</v>
      </c>
    </row>
    <row r="235" spans="1:9">
      <c r="A235" t="s">
        <v>623</v>
      </c>
      <c r="B235" t="s">
        <v>849</v>
      </c>
      <c r="D235" t="s">
        <v>936</v>
      </c>
      <c r="E235" t="str">
        <f>"680487183283"</f>
        <v>680487183283</v>
      </c>
      <c r="F235" t="s">
        <v>851</v>
      </c>
      <c r="G235">
        <v>29.99</v>
      </c>
      <c r="H235">
        <v>0</v>
      </c>
      <c r="I235">
        <v>2</v>
      </c>
    </row>
    <row r="236" spans="1:9">
      <c r="A236" t="s">
        <v>624</v>
      </c>
      <c r="B236" t="s">
        <v>849</v>
      </c>
      <c r="D236" t="s">
        <v>936</v>
      </c>
      <c r="E236" t="str">
        <f>"680487183290"</f>
        <v>680487183290</v>
      </c>
      <c r="F236" t="s">
        <v>851</v>
      </c>
      <c r="G236">
        <v>29.99</v>
      </c>
      <c r="H236">
        <v>0</v>
      </c>
      <c r="I236">
        <v>3</v>
      </c>
    </row>
    <row r="237" spans="1:9">
      <c r="A237" t="s">
        <v>625</v>
      </c>
      <c r="B237" t="s">
        <v>849</v>
      </c>
      <c r="D237" t="s">
        <v>936</v>
      </c>
      <c r="E237" t="str">
        <f>"680487183306"</f>
        <v>680487183306</v>
      </c>
      <c r="F237" t="s">
        <v>851</v>
      </c>
      <c r="G237">
        <v>29.99</v>
      </c>
      <c r="H237">
        <v>0</v>
      </c>
      <c r="I237">
        <v>1</v>
      </c>
    </row>
    <row r="238" spans="1:9">
      <c r="A238" t="s">
        <v>626</v>
      </c>
      <c r="B238" t="s">
        <v>849</v>
      </c>
      <c r="D238" t="s">
        <v>936</v>
      </c>
      <c r="E238" t="str">
        <f>"680487183313"</f>
        <v>680487183313</v>
      </c>
      <c r="F238" t="s">
        <v>851</v>
      </c>
      <c r="G238">
        <v>29.99</v>
      </c>
      <c r="H238">
        <v>0</v>
      </c>
      <c r="I238">
        <v>2</v>
      </c>
    </row>
    <row r="239" spans="1:9">
      <c r="A239" t="s">
        <v>392</v>
      </c>
      <c r="B239" t="s">
        <v>849</v>
      </c>
      <c r="D239" t="s">
        <v>1951</v>
      </c>
      <c r="E239" t="str">
        <f>"680487135275"</f>
        <v>680487135275</v>
      </c>
      <c r="F239" t="s">
        <v>851</v>
      </c>
      <c r="G239">
        <v>29.99</v>
      </c>
      <c r="H239">
        <v>0</v>
      </c>
      <c r="I239">
        <v>1</v>
      </c>
    </row>
    <row r="240" spans="1:9">
      <c r="A240" t="s">
        <v>393</v>
      </c>
      <c r="B240" t="s">
        <v>849</v>
      </c>
      <c r="D240" t="s">
        <v>1951</v>
      </c>
      <c r="E240" t="str">
        <f>"680487135305"</f>
        <v>680487135305</v>
      </c>
      <c r="F240" t="s">
        <v>851</v>
      </c>
      <c r="G240">
        <v>29.99</v>
      </c>
      <c r="H240">
        <v>0</v>
      </c>
      <c r="I240">
        <v>44</v>
      </c>
    </row>
    <row r="241" spans="1:9">
      <c r="A241" t="s">
        <v>394</v>
      </c>
      <c r="B241" t="s">
        <v>849</v>
      </c>
      <c r="D241" t="s">
        <v>1951</v>
      </c>
      <c r="E241" t="str">
        <f>"680487135329"</f>
        <v>680487135329</v>
      </c>
      <c r="F241" t="s">
        <v>851</v>
      </c>
      <c r="G241">
        <v>29.99</v>
      </c>
      <c r="H241">
        <v>0</v>
      </c>
      <c r="I241">
        <v>2</v>
      </c>
    </row>
    <row r="242" spans="1:9">
      <c r="A242" t="s">
        <v>395</v>
      </c>
      <c r="B242" t="s">
        <v>849</v>
      </c>
      <c r="D242" t="s">
        <v>1951</v>
      </c>
      <c r="E242" t="str">
        <f>"680487135336"</f>
        <v>680487135336</v>
      </c>
      <c r="F242" t="s">
        <v>851</v>
      </c>
      <c r="G242">
        <v>29.99</v>
      </c>
      <c r="H242">
        <v>0</v>
      </c>
      <c r="I242">
        <v>12</v>
      </c>
    </row>
    <row r="243" spans="1:9">
      <c r="A243" t="s">
        <v>396</v>
      </c>
      <c r="B243" t="s">
        <v>849</v>
      </c>
      <c r="D243" t="s">
        <v>1951</v>
      </c>
      <c r="E243" t="str">
        <f>"680487135350"</f>
        <v>680487135350</v>
      </c>
      <c r="F243" t="s">
        <v>851</v>
      </c>
      <c r="G243">
        <v>29.99</v>
      </c>
      <c r="H243">
        <v>0</v>
      </c>
      <c r="I243">
        <v>2</v>
      </c>
    </row>
    <row r="244" spans="1:9">
      <c r="A244" t="s">
        <v>397</v>
      </c>
      <c r="B244" t="s">
        <v>849</v>
      </c>
      <c r="D244" t="s">
        <v>1951</v>
      </c>
      <c r="E244" t="str">
        <f>"680487135374"</f>
        <v>680487135374</v>
      </c>
      <c r="F244" t="s">
        <v>851</v>
      </c>
      <c r="G244">
        <v>29.99</v>
      </c>
      <c r="H244">
        <v>0</v>
      </c>
      <c r="I244">
        <v>26</v>
      </c>
    </row>
    <row r="245" spans="1:9">
      <c r="A245" t="s">
        <v>398</v>
      </c>
      <c r="B245" t="s">
        <v>849</v>
      </c>
      <c r="D245" t="s">
        <v>1951</v>
      </c>
      <c r="E245" t="str">
        <f>"680487135398"</f>
        <v>680487135398</v>
      </c>
      <c r="F245" t="s">
        <v>851</v>
      </c>
      <c r="G245">
        <v>29.99</v>
      </c>
      <c r="H245">
        <v>0</v>
      </c>
      <c r="I245">
        <v>2</v>
      </c>
    </row>
    <row r="246" spans="1:9">
      <c r="A246" t="s">
        <v>399</v>
      </c>
      <c r="B246" t="s">
        <v>849</v>
      </c>
      <c r="D246" t="s">
        <v>1951</v>
      </c>
      <c r="E246" t="str">
        <f>"680487135411"</f>
        <v>680487135411</v>
      </c>
      <c r="F246" t="s">
        <v>851</v>
      </c>
      <c r="G246">
        <v>29.99</v>
      </c>
      <c r="H246">
        <v>0</v>
      </c>
      <c r="I246">
        <v>23</v>
      </c>
    </row>
    <row r="247" spans="1:9">
      <c r="A247" t="s">
        <v>400</v>
      </c>
      <c r="B247" t="s">
        <v>849</v>
      </c>
      <c r="D247" t="s">
        <v>1951</v>
      </c>
      <c r="E247" t="str">
        <f>"680487135435"</f>
        <v>680487135435</v>
      </c>
      <c r="F247" t="s">
        <v>851</v>
      </c>
      <c r="G247">
        <v>29.99</v>
      </c>
      <c r="H247">
        <v>0</v>
      </c>
      <c r="I247">
        <v>4</v>
      </c>
    </row>
    <row r="248" spans="1:9">
      <c r="A248" t="s">
        <v>401</v>
      </c>
      <c r="B248" t="s">
        <v>849</v>
      </c>
      <c r="D248" t="s">
        <v>1951</v>
      </c>
      <c r="E248" t="str">
        <f>"680487165807"</f>
        <v>680487165807</v>
      </c>
      <c r="F248" t="s">
        <v>851</v>
      </c>
      <c r="G248">
        <v>29.99</v>
      </c>
      <c r="H248">
        <v>0</v>
      </c>
      <c r="I248">
        <v>45</v>
      </c>
    </row>
    <row r="249" spans="1:9">
      <c r="A249" t="s">
        <v>402</v>
      </c>
      <c r="B249" t="s">
        <v>849</v>
      </c>
      <c r="D249" t="s">
        <v>1951</v>
      </c>
      <c r="E249" t="str">
        <f>"680487135459"</f>
        <v>680487135459</v>
      </c>
      <c r="F249" t="s">
        <v>851</v>
      </c>
      <c r="G249">
        <v>29.99</v>
      </c>
      <c r="H249">
        <v>0</v>
      </c>
      <c r="I249">
        <v>56</v>
      </c>
    </row>
    <row r="250" spans="1:9">
      <c r="A250" t="s">
        <v>403</v>
      </c>
      <c r="B250" t="s">
        <v>849</v>
      </c>
      <c r="D250" t="s">
        <v>1951</v>
      </c>
      <c r="E250" t="str">
        <f>"680487135473"</f>
        <v>680487135473</v>
      </c>
      <c r="F250" t="s">
        <v>851</v>
      </c>
      <c r="G250">
        <v>29.99</v>
      </c>
      <c r="H250">
        <v>0</v>
      </c>
      <c r="I250">
        <v>1</v>
      </c>
    </row>
    <row r="251" spans="1:9">
      <c r="A251" t="s">
        <v>404</v>
      </c>
      <c r="B251" t="s">
        <v>849</v>
      </c>
      <c r="D251" t="s">
        <v>1951</v>
      </c>
      <c r="E251" t="str">
        <f>"680487135497"</f>
        <v>680487135497</v>
      </c>
      <c r="F251" t="s">
        <v>851</v>
      </c>
      <c r="G251">
        <v>29.99</v>
      </c>
      <c r="H251">
        <v>0</v>
      </c>
      <c r="I251">
        <v>5</v>
      </c>
    </row>
    <row r="252" spans="1:9">
      <c r="A252" t="s">
        <v>405</v>
      </c>
      <c r="B252" t="s">
        <v>849</v>
      </c>
      <c r="D252" t="s">
        <v>1951</v>
      </c>
      <c r="E252" t="str">
        <f>"680487135510"</f>
        <v>680487135510</v>
      </c>
      <c r="F252" t="s">
        <v>851</v>
      </c>
      <c r="G252">
        <v>29.99</v>
      </c>
      <c r="H252">
        <v>0</v>
      </c>
      <c r="I252">
        <v>21</v>
      </c>
    </row>
    <row r="253" spans="1:9">
      <c r="A253" t="s">
        <v>406</v>
      </c>
      <c r="B253" t="s">
        <v>849</v>
      </c>
      <c r="D253" t="s">
        <v>1951</v>
      </c>
      <c r="E253" t="str">
        <f>"680487135534"</f>
        <v>680487135534</v>
      </c>
      <c r="F253" t="s">
        <v>851</v>
      </c>
      <c r="G253">
        <v>29.99</v>
      </c>
      <c r="H253">
        <v>0</v>
      </c>
      <c r="I253">
        <v>2</v>
      </c>
    </row>
    <row r="254" spans="1:9">
      <c r="A254" t="s">
        <v>407</v>
      </c>
      <c r="B254" t="s">
        <v>849</v>
      </c>
      <c r="D254" t="s">
        <v>1951</v>
      </c>
      <c r="E254" t="str">
        <f>"680487135558"</f>
        <v>680487135558</v>
      </c>
      <c r="F254" t="s">
        <v>851</v>
      </c>
      <c r="G254">
        <v>29.99</v>
      </c>
      <c r="H254">
        <v>0</v>
      </c>
      <c r="I254">
        <v>29</v>
      </c>
    </row>
    <row r="255" spans="1:9">
      <c r="A255" t="s">
        <v>408</v>
      </c>
      <c r="B255" t="s">
        <v>849</v>
      </c>
      <c r="D255" t="s">
        <v>1951</v>
      </c>
      <c r="E255" t="str">
        <f>"680487135572"</f>
        <v>680487135572</v>
      </c>
      <c r="F255" t="s">
        <v>851</v>
      </c>
      <c r="G255">
        <v>29.99</v>
      </c>
      <c r="H255">
        <v>0</v>
      </c>
      <c r="I255">
        <v>2</v>
      </c>
    </row>
    <row r="256" spans="1:9">
      <c r="A256" t="s">
        <v>694</v>
      </c>
      <c r="B256" t="s">
        <v>849</v>
      </c>
      <c r="D256" t="s">
        <v>1951</v>
      </c>
      <c r="E256" t="str">
        <f>"680487167450"</f>
        <v>680487167450</v>
      </c>
      <c r="F256" t="s">
        <v>851</v>
      </c>
      <c r="G256">
        <v>29.99</v>
      </c>
      <c r="H256">
        <v>0</v>
      </c>
      <c r="I256">
        <v>3</v>
      </c>
    </row>
    <row r="257" spans="1:9">
      <c r="A257" t="s">
        <v>533</v>
      </c>
      <c r="B257" t="s">
        <v>849</v>
      </c>
      <c r="D257" t="s">
        <v>1951</v>
      </c>
      <c r="E257" t="str">
        <f>"680487135596"</f>
        <v>680487135596</v>
      </c>
      <c r="F257" t="s">
        <v>851</v>
      </c>
      <c r="G257">
        <v>29.99</v>
      </c>
      <c r="H257">
        <v>0</v>
      </c>
      <c r="I257">
        <v>0</v>
      </c>
    </row>
    <row r="258" spans="1:9">
      <c r="A258" t="s">
        <v>534</v>
      </c>
      <c r="B258" t="s">
        <v>849</v>
      </c>
      <c r="D258" t="s">
        <v>1951</v>
      </c>
      <c r="E258" t="str">
        <f>"680487135619"</f>
        <v>680487135619</v>
      </c>
      <c r="F258" t="s">
        <v>851</v>
      </c>
      <c r="G258">
        <v>29.99</v>
      </c>
      <c r="H258">
        <v>0</v>
      </c>
      <c r="I258">
        <v>2</v>
      </c>
    </row>
    <row r="259" spans="1:9">
      <c r="A259" t="s">
        <v>409</v>
      </c>
      <c r="B259" t="s">
        <v>849</v>
      </c>
      <c r="D259" t="s">
        <v>1951</v>
      </c>
      <c r="E259" t="str">
        <f>"680487135633"</f>
        <v>680487135633</v>
      </c>
      <c r="F259" t="s">
        <v>851</v>
      </c>
      <c r="G259">
        <v>29.99</v>
      </c>
      <c r="H259">
        <v>0</v>
      </c>
      <c r="I259">
        <v>29</v>
      </c>
    </row>
    <row r="260" spans="1:9">
      <c r="A260" t="s">
        <v>410</v>
      </c>
      <c r="B260" t="s">
        <v>849</v>
      </c>
      <c r="D260" t="s">
        <v>1951</v>
      </c>
      <c r="E260" t="str">
        <f>"680487135657"</f>
        <v>680487135657</v>
      </c>
      <c r="F260" t="s">
        <v>851</v>
      </c>
      <c r="G260">
        <v>29.99</v>
      </c>
      <c r="H260">
        <v>0</v>
      </c>
      <c r="I260">
        <v>46</v>
      </c>
    </row>
    <row r="261" spans="1:9">
      <c r="A261" t="s">
        <v>687</v>
      </c>
      <c r="B261" t="s">
        <v>849</v>
      </c>
      <c r="D261" t="s">
        <v>1951</v>
      </c>
      <c r="E261" t="str">
        <f>"680487167436"</f>
        <v>680487167436</v>
      </c>
      <c r="F261" t="s">
        <v>851</v>
      </c>
      <c r="G261">
        <v>29.99</v>
      </c>
      <c r="H261">
        <v>0</v>
      </c>
      <c r="I261">
        <v>3</v>
      </c>
    </row>
    <row r="262" spans="1:9">
      <c r="A262" t="s">
        <v>411</v>
      </c>
      <c r="B262" t="s">
        <v>849</v>
      </c>
      <c r="D262" t="s">
        <v>1951</v>
      </c>
      <c r="E262" t="str">
        <f>"680487135671"</f>
        <v>680487135671</v>
      </c>
      <c r="F262" t="s">
        <v>851</v>
      </c>
      <c r="G262">
        <v>29.99</v>
      </c>
      <c r="H262">
        <v>0</v>
      </c>
      <c r="I262">
        <v>71</v>
      </c>
    </row>
    <row r="263" spans="1:9">
      <c r="A263" t="s">
        <v>412</v>
      </c>
      <c r="B263" t="s">
        <v>849</v>
      </c>
      <c r="D263" t="s">
        <v>1951</v>
      </c>
      <c r="E263" t="str">
        <f>"680487165821"</f>
        <v>680487165821</v>
      </c>
      <c r="F263" t="s">
        <v>851</v>
      </c>
      <c r="G263">
        <v>29.99</v>
      </c>
      <c r="H263">
        <v>0</v>
      </c>
      <c r="I263">
        <v>36</v>
      </c>
    </row>
    <row r="264" spans="1:9">
      <c r="A264" t="s">
        <v>413</v>
      </c>
      <c r="B264" t="s">
        <v>849</v>
      </c>
      <c r="D264" t="s">
        <v>1951</v>
      </c>
      <c r="E264" t="str">
        <f>"680487135695"</f>
        <v>680487135695</v>
      </c>
      <c r="F264" t="s">
        <v>851</v>
      </c>
      <c r="G264">
        <v>29.99</v>
      </c>
      <c r="H264">
        <v>0</v>
      </c>
      <c r="I264">
        <v>6</v>
      </c>
    </row>
    <row r="265" spans="1:9">
      <c r="A265" t="s">
        <v>686</v>
      </c>
      <c r="B265" t="s">
        <v>849</v>
      </c>
      <c r="D265" t="s">
        <v>1951</v>
      </c>
      <c r="E265" t="str">
        <f>"680487167474"</f>
        <v>680487167474</v>
      </c>
      <c r="F265" t="s">
        <v>851</v>
      </c>
      <c r="G265">
        <v>29.99</v>
      </c>
      <c r="H265">
        <v>0</v>
      </c>
      <c r="I265">
        <v>2</v>
      </c>
    </row>
    <row r="266" spans="1:9">
      <c r="A266" t="s">
        <v>414</v>
      </c>
      <c r="B266" t="s">
        <v>849</v>
      </c>
      <c r="D266" t="s">
        <v>1951</v>
      </c>
      <c r="E266" t="str">
        <f>"680487135718"</f>
        <v>680487135718</v>
      </c>
      <c r="F266" t="s">
        <v>851</v>
      </c>
      <c r="G266">
        <v>29.99</v>
      </c>
      <c r="H266">
        <v>0</v>
      </c>
      <c r="I266">
        <v>17</v>
      </c>
    </row>
    <row r="267" spans="1:9">
      <c r="A267" t="s">
        <v>415</v>
      </c>
      <c r="B267" t="s">
        <v>849</v>
      </c>
      <c r="D267" t="s">
        <v>1951</v>
      </c>
      <c r="E267" t="str">
        <f>"680487135732"</f>
        <v>680487135732</v>
      </c>
      <c r="F267" t="s">
        <v>851</v>
      </c>
      <c r="G267">
        <v>29.99</v>
      </c>
      <c r="H267">
        <v>0</v>
      </c>
      <c r="I267">
        <v>2</v>
      </c>
    </row>
    <row r="268" spans="1:9">
      <c r="A268" t="s">
        <v>416</v>
      </c>
      <c r="B268" t="s">
        <v>849</v>
      </c>
      <c r="D268" t="s">
        <v>1951</v>
      </c>
      <c r="E268" t="str">
        <f>"680487135756"</f>
        <v>680487135756</v>
      </c>
      <c r="F268" t="s">
        <v>851</v>
      </c>
      <c r="G268">
        <v>29.99</v>
      </c>
      <c r="H268">
        <v>0</v>
      </c>
      <c r="I268">
        <v>43</v>
      </c>
    </row>
    <row r="269" spans="1:9">
      <c r="A269" t="s">
        <v>417</v>
      </c>
      <c r="B269" t="s">
        <v>849</v>
      </c>
      <c r="D269" t="s">
        <v>1951</v>
      </c>
      <c r="E269" t="str">
        <f>"680487135770"</f>
        <v>680487135770</v>
      </c>
      <c r="F269" t="s">
        <v>851</v>
      </c>
      <c r="G269">
        <v>29.99</v>
      </c>
      <c r="H269">
        <v>0</v>
      </c>
      <c r="I269">
        <v>41</v>
      </c>
    </row>
    <row r="270" spans="1:9">
      <c r="A270" t="s">
        <v>688</v>
      </c>
      <c r="B270" t="s">
        <v>849</v>
      </c>
      <c r="D270" t="s">
        <v>1951</v>
      </c>
      <c r="E270" t="str">
        <f>"680487183344"</f>
        <v>680487183344</v>
      </c>
      <c r="F270" t="s">
        <v>851</v>
      </c>
      <c r="G270">
        <v>29.99</v>
      </c>
      <c r="H270">
        <v>0</v>
      </c>
      <c r="I270">
        <v>26</v>
      </c>
    </row>
    <row r="271" spans="1:9">
      <c r="A271" t="s">
        <v>418</v>
      </c>
      <c r="B271" t="s">
        <v>849</v>
      </c>
      <c r="D271" t="s">
        <v>1951</v>
      </c>
      <c r="E271" t="str">
        <f>"680487135794"</f>
        <v>680487135794</v>
      </c>
      <c r="F271" t="s">
        <v>851</v>
      </c>
      <c r="G271">
        <v>29.99</v>
      </c>
      <c r="H271">
        <v>0</v>
      </c>
      <c r="I271">
        <v>63</v>
      </c>
    </row>
    <row r="272" spans="1:9">
      <c r="A272" t="s">
        <v>684</v>
      </c>
      <c r="B272" t="s">
        <v>849</v>
      </c>
      <c r="D272" t="s">
        <v>1951</v>
      </c>
      <c r="E272" t="str">
        <f>"680487183368"</f>
        <v>680487183368</v>
      </c>
      <c r="F272" t="s">
        <v>851</v>
      </c>
      <c r="G272">
        <v>29.99</v>
      </c>
      <c r="H272">
        <v>0</v>
      </c>
      <c r="I272">
        <v>4</v>
      </c>
    </row>
    <row r="273" spans="1:9">
      <c r="A273" t="s">
        <v>419</v>
      </c>
      <c r="B273" t="s">
        <v>849</v>
      </c>
      <c r="D273" t="s">
        <v>1951</v>
      </c>
      <c r="E273" t="str">
        <f>"680487135817"</f>
        <v>680487135817</v>
      </c>
      <c r="F273" t="s">
        <v>851</v>
      </c>
      <c r="G273">
        <v>29.99</v>
      </c>
      <c r="H273">
        <v>0</v>
      </c>
      <c r="I273">
        <v>6</v>
      </c>
    </row>
    <row r="274" spans="1:9">
      <c r="A274" t="s">
        <v>420</v>
      </c>
      <c r="B274" t="s">
        <v>849</v>
      </c>
      <c r="D274" t="s">
        <v>1951</v>
      </c>
      <c r="E274" t="str">
        <f>"680487135831"</f>
        <v>680487135831</v>
      </c>
      <c r="F274" t="s">
        <v>851</v>
      </c>
      <c r="G274">
        <v>29.99</v>
      </c>
      <c r="H274">
        <v>0</v>
      </c>
      <c r="I274">
        <v>25</v>
      </c>
    </row>
    <row r="275" spans="1:9">
      <c r="A275" t="s">
        <v>535</v>
      </c>
      <c r="B275" t="s">
        <v>849</v>
      </c>
      <c r="D275" t="s">
        <v>1951</v>
      </c>
      <c r="E275" t="str">
        <f>"680487135855"</f>
        <v>680487135855</v>
      </c>
      <c r="F275" t="s">
        <v>851</v>
      </c>
      <c r="G275">
        <v>29.99</v>
      </c>
      <c r="H275">
        <v>0</v>
      </c>
      <c r="I275">
        <v>2</v>
      </c>
    </row>
    <row r="276" spans="1:9">
      <c r="A276" t="s">
        <v>421</v>
      </c>
      <c r="B276" t="s">
        <v>849</v>
      </c>
      <c r="D276" t="s">
        <v>1951</v>
      </c>
      <c r="E276" t="str">
        <f>"680487135879"</f>
        <v>680487135879</v>
      </c>
      <c r="F276" t="s">
        <v>851</v>
      </c>
      <c r="G276">
        <v>29.99</v>
      </c>
      <c r="H276">
        <v>0</v>
      </c>
      <c r="I276">
        <v>2</v>
      </c>
    </row>
    <row r="277" spans="1:9">
      <c r="A277" t="s">
        <v>423</v>
      </c>
      <c r="B277" t="s">
        <v>849</v>
      </c>
      <c r="D277" t="s">
        <v>1951</v>
      </c>
      <c r="E277" t="str">
        <f>"680487135282"</f>
        <v>680487135282</v>
      </c>
      <c r="F277" t="s">
        <v>851</v>
      </c>
      <c r="G277">
        <v>29.99</v>
      </c>
      <c r="H277">
        <v>0</v>
      </c>
      <c r="I277">
        <v>2</v>
      </c>
    </row>
    <row r="278" spans="1:9">
      <c r="A278" t="s">
        <v>424</v>
      </c>
      <c r="B278" t="s">
        <v>849</v>
      </c>
      <c r="D278" t="s">
        <v>1951</v>
      </c>
      <c r="E278" t="str">
        <f>"680487135299"</f>
        <v>680487135299</v>
      </c>
      <c r="F278" t="s">
        <v>851</v>
      </c>
      <c r="G278">
        <v>29.99</v>
      </c>
      <c r="H278">
        <v>0</v>
      </c>
      <c r="I278">
        <v>22</v>
      </c>
    </row>
    <row r="279" spans="1:9">
      <c r="A279" t="s">
        <v>425</v>
      </c>
      <c r="B279" t="s">
        <v>849</v>
      </c>
      <c r="D279" t="s">
        <v>1951</v>
      </c>
      <c r="E279" t="str">
        <f>"680487135312"</f>
        <v>680487135312</v>
      </c>
      <c r="F279" t="s">
        <v>851</v>
      </c>
      <c r="G279">
        <v>29.99</v>
      </c>
      <c r="H279">
        <v>0</v>
      </c>
      <c r="I279">
        <v>2</v>
      </c>
    </row>
    <row r="280" spans="1:9">
      <c r="A280" t="s">
        <v>426</v>
      </c>
      <c r="B280" t="s">
        <v>849</v>
      </c>
      <c r="D280" t="s">
        <v>1951</v>
      </c>
      <c r="E280" t="str">
        <f>"680487135343"</f>
        <v>680487135343</v>
      </c>
      <c r="F280" t="s">
        <v>851</v>
      </c>
      <c r="G280">
        <v>29.99</v>
      </c>
      <c r="H280">
        <v>0</v>
      </c>
      <c r="I280">
        <v>21</v>
      </c>
    </row>
    <row r="281" spans="1:9">
      <c r="A281" t="s">
        <v>427</v>
      </c>
      <c r="B281" t="s">
        <v>849</v>
      </c>
      <c r="D281" t="s">
        <v>1951</v>
      </c>
      <c r="E281" t="str">
        <f>"680487135367"</f>
        <v>680487135367</v>
      </c>
      <c r="F281" t="s">
        <v>851</v>
      </c>
      <c r="G281">
        <v>29.99</v>
      </c>
      <c r="H281">
        <v>0</v>
      </c>
      <c r="I281">
        <v>3</v>
      </c>
    </row>
    <row r="282" spans="1:9">
      <c r="A282" t="s">
        <v>428</v>
      </c>
      <c r="B282" t="s">
        <v>849</v>
      </c>
      <c r="D282" t="s">
        <v>1951</v>
      </c>
      <c r="E282" t="str">
        <f>"680487135381"</f>
        <v>680487135381</v>
      </c>
      <c r="F282" t="s">
        <v>851</v>
      </c>
      <c r="G282">
        <v>29.99</v>
      </c>
      <c r="H282">
        <v>0</v>
      </c>
      <c r="I282">
        <v>20</v>
      </c>
    </row>
    <row r="283" spans="1:9">
      <c r="A283" t="s">
        <v>429</v>
      </c>
      <c r="B283" t="s">
        <v>849</v>
      </c>
      <c r="D283" t="s">
        <v>1951</v>
      </c>
      <c r="E283" t="str">
        <f>"680487135404"</f>
        <v>680487135404</v>
      </c>
      <c r="F283" t="s">
        <v>851</v>
      </c>
      <c r="G283">
        <v>29.99</v>
      </c>
      <c r="H283">
        <v>0</v>
      </c>
      <c r="I283">
        <v>2</v>
      </c>
    </row>
    <row r="284" spans="1:9">
      <c r="A284" t="s">
        <v>430</v>
      </c>
      <c r="B284" t="s">
        <v>849</v>
      </c>
      <c r="D284" t="s">
        <v>1951</v>
      </c>
      <c r="E284" t="str">
        <f>"680487135428"</f>
        <v>680487135428</v>
      </c>
      <c r="F284" t="s">
        <v>851</v>
      </c>
      <c r="G284">
        <v>29.99</v>
      </c>
      <c r="H284">
        <v>0</v>
      </c>
      <c r="I284">
        <v>38</v>
      </c>
    </row>
    <row r="285" spans="1:9">
      <c r="A285" t="s">
        <v>431</v>
      </c>
      <c r="B285" t="s">
        <v>849</v>
      </c>
      <c r="D285" t="s">
        <v>1951</v>
      </c>
      <c r="E285" t="str">
        <f>"680487135442"</f>
        <v>680487135442</v>
      </c>
      <c r="F285" t="s">
        <v>851</v>
      </c>
      <c r="G285">
        <v>29.99</v>
      </c>
      <c r="H285">
        <v>0</v>
      </c>
      <c r="I285">
        <v>1</v>
      </c>
    </row>
    <row r="286" spans="1:9">
      <c r="A286" t="s">
        <v>432</v>
      </c>
      <c r="B286" t="s">
        <v>849</v>
      </c>
      <c r="D286" t="s">
        <v>1951</v>
      </c>
      <c r="E286" t="str">
        <f>"680487165814"</f>
        <v>680487165814</v>
      </c>
      <c r="F286" t="s">
        <v>851</v>
      </c>
      <c r="G286">
        <v>29.99</v>
      </c>
      <c r="H286">
        <v>0</v>
      </c>
      <c r="I286">
        <v>15</v>
      </c>
    </row>
    <row r="287" spans="1:9">
      <c r="A287" t="s">
        <v>433</v>
      </c>
      <c r="B287" t="s">
        <v>849</v>
      </c>
      <c r="D287" t="s">
        <v>1951</v>
      </c>
      <c r="E287" t="str">
        <f>"680487135466"</f>
        <v>680487135466</v>
      </c>
      <c r="F287" t="s">
        <v>851</v>
      </c>
      <c r="G287">
        <v>29.99</v>
      </c>
      <c r="H287">
        <v>0</v>
      </c>
      <c r="I287">
        <v>24</v>
      </c>
    </row>
    <row r="288" spans="1:9">
      <c r="A288" t="s">
        <v>675</v>
      </c>
      <c r="B288" t="s">
        <v>849</v>
      </c>
      <c r="D288" t="s">
        <v>1951</v>
      </c>
      <c r="E288" t="str">
        <f>"680487135480"</f>
        <v>680487135480</v>
      </c>
      <c r="F288" t="s">
        <v>851</v>
      </c>
      <c r="G288">
        <v>29.99</v>
      </c>
      <c r="H288">
        <v>0</v>
      </c>
      <c r="I288">
        <v>1</v>
      </c>
    </row>
    <row r="289" spans="1:9">
      <c r="A289" t="s">
        <v>434</v>
      </c>
      <c r="B289" t="s">
        <v>849</v>
      </c>
      <c r="D289" t="s">
        <v>1951</v>
      </c>
      <c r="E289" t="str">
        <f>"680487135503"</f>
        <v>680487135503</v>
      </c>
      <c r="F289" t="s">
        <v>851</v>
      </c>
      <c r="G289">
        <v>29.99</v>
      </c>
      <c r="H289">
        <v>0</v>
      </c>
      <c r="I289">
        <v>6</v>
      </c>
    </row>
    <row r="290" spans="1:9">
      <c r="A290" t="s">
        <v>435</v>
      </c>
      <c r="B290" t="s">
        <v>849</v>
      </c>
      <c r="D290" t="s">
        <v>1951</v>
      </c>
      <c r="E290" t="str">
        <f>"680487135527"</f>
        <v>680487135527</v>
      </c>
      <c r="F290" t="s">
        <v>851</v>
      </c>
      <c r="G290">
        <v>29.99</v>
      </c>
      <c r="H290">
        <v>0</v>
      </c>
      <c r="I290">
        <v>24</v>
      </c>
    </row>
    <row r="291" spans="1:9">
      <c r="A291" t="s">
        <v>436</v>
      </c>
      <c r="B291" t="s">
        <v>849</v>
      </c>
      <c r="D291" t="s">
        <v>1951</v>
      </c>
      <c r="E291" t="str">
        <f>"680487135541"</f>
        <v>680487135541</v>
      </c>
      <c r="F291" t="s">
        <v>851</v>
      </c>
      <c r="G291">
        <v>29.99</v>
      </c>
      <c r="H291">
        <v>0</v>
      </c>
      <c r="I291">
        <v>2</v>
      </c>
    </row>
    <row r="292" spans="1:9">
      <c r="A292" t="s">
        <v>437</v>
      </c>
      <c r="B292" t="s">
        <v>849</v>
      </c>
      <c r="D292" t="s">
        <v>1951</v>
      </c>
      <c r="E292" t="str">
        <f>"680487135565"</f>
        <v>680487135565</v>
      </c>
      <c r="F292" t="s">
        <v>851</v>
      </c>
      <c r="G292">
        <v>29.99</v>
      </c>
      <c r="H292">
        <v>0</v>
      </c>
      <c r="I292">
        <v>25</v>
      </c>
    </row>
    <row r="293" spans="1:9">
      <c r="A293" t="s">
        <v>438</v>
      </c>
      <c r="B293" t="s">
        <v>849</v>
      </c>
      <c r="D293" t="s">
        <v>1951</v>
      </c>
      <c r="E293" t="str">
        <f>"680487135589"</f>
        <v>680487135589</v>
      </c>
      <c r="F293" t="s">
        <v>851</v>
      </c>
      <c r="G293">
        <v>29.99</v>
      </c>
      <c r="H293">
        <v>0</v>
      </c>
      <c r="I293">
        <v>4</v>
      </c>
    </row>
    <row r="294" spans="1:9">
      <c r="A294" t="s">
        <v>536</v>
      </c>
      <c r="B294" t="s">
        <v>849</v>
      </c>
      <c r="D294" t="s">
        <v>1951</v>
      </c>
      <c r="E294" t="str">
        <f>"680487167467"</f>
        <v>680487167467</v>
      </c>
      <c r="F294" t="s">
        <v>851</v>
      </c>
      <c r="G294">
        <v>29.99</v>
      </c>
      <c r="H294">
        <v>0</v>
      </c>
      <c r="I294">
        <v>4</v>
      </c>
    </row>
    <row r="295" spans="1:9">
      <c r="A295" t="s">
        <v>439</v>
      </c>
      <c r="B295" t="s">
        <v>849</v>
      </c>
      <c r="D295" t="s">
        <v>1951</v>
      </c>
      <c r="E295" t="str">
        <f>"680487135602"</f>
        <v>680487135602</v>
      </c>
      <c r="F295" t="s">
        <v>851</v>
      </c>
      <c r="G295">
        <v>29.99</v>
      </c>
      <c r="H295">
        <v>0</v>
      </c>
      <c r="I295">
        <v>0</v>
      </c>
    </row>
    <row r="296" spans="1:9">
      <c r="A296" t="s">
        <v>440</v>
      </c>
      <c r="B296" t="s">
        <v>849</v>
      </c>
      <c r="D296" t="s">
        <v>1951</v>
      </c>
      <c r="E296" t="str">
        <f>"680487135626"</f>
        <v>680487135626</v>
      </c>
      <c r="F296" t="s">
        <v>851</v>
      </c>
      <c r="G296">
        <v>29.99</v>
      </c>
      <c r="H296">
        <v>0</v>
      </c>
      <c r="I296">
        <v>2</v>
      </c>
    </row>
    <row r="297" spans="1:9">
      <c r="A297" t="s">
        <v>441</v>
      </c>
      <c r="B297" t="s">
        <v>849</v>
      </c>
      <c r="D297" t="s">
        <v>1951</v>
      </c>
      <c r="E297" t="str">
        <f>"680487135640"</f>
        <v>680487135640</v>
      </c>
      <c r="F297" t="s">
        <v>851</v>
      </c>
      <c r="G297">
        <v>29.99</v>
      </c>
      <c r="H297">
        <v>0</v>
      </c>
      <c r="I297">
        <v>24</v>
      </c>
    </row>
    <row r="298" spans="1:9">
      <c r="A298" t="s">
        <v>442</v>
      </c>
      <c r="B298" t="s">
        <v>849</v>
      </c>
      <c r="D298" t="s">
        <v>1951</v>
      </c>
      <c r="E298" t="str">
        <f>"680487135664"</f>
        <v>680487135664</v>
      </c>
      <c r="F298" t="s">
        <v>851</v>
      </c>
      <c r="G298">
        <v>29.99</v>
      </c>
      <c r="H298">
        <v>0</v>
      </c>
      <c r="I298">
        <v>6</v>
      </c>
    </row>
    <row r="299" spans="1:9">
      <c r="A299" t="s">
        <v>537</v>
      </c>
      <c r="B299" t="s">
        <v>849</v>
      </c>
      <c r="D299" t="s">
        <v>1951</v>
      </c>
      <c r="E299" t="str">
        <f>"680487167443"</f>
        <v>680487167443</v>
      </c>
      <c r="F299" t="s">
        <v>851</v>
      </c>
      <c r="G299">
        <v>29.99</v>
      </c>
      <c r="H299">
        <v>0</v>
      </c>
      <c r="I299">
        <v>3</v>
      </c>
    </row>
    <row r="300" spans="1:9">
      <c r="A300" t="s">
        <v>443</v>
      </c>
      <c r="B300" t="s">
        <v>849</v>
      </c>
      <c r="D300" t="s">
        <v>1951</v>
      </c>
      <c r="E300" t="str">
        <f>"680487135688"</f>
        <v>680487135688</v>
      </c>
      <c r="F300" t="s">
        <v>851</v>
      </c>
      <c r="G300">
        <v>29.99</v>
      </c>
      <c r="H300">
        <v>0</v>
      </c>
      <c r="I300">
        <v>9</v>
      </c>
    </row>
    <row r="301" spans="1:9">
      <c r="A301" t="s">
        <v>444</v>
      </c>
      <c r="B301" t="s">
        <v>849</v>
      </c>
      <c r="D301" t="s">
        <v>1951</v>
      </c>
      <c r="E301" t="str">
        <f>"680487165838"</f>
        <v>680487165838</v>
      </c>
      <c r="F301" t="s">
        <v>851</v>
      </c>
      <c r="G301">
        <v>29.99</v>
      </c>
      <c r="H301">
        <v>0</v>
      </c>
      <c r="I301">
        <v>57</v>
      </c>
    </row>
    <row r="302" spans="1:9">
      <c r="A302" t="s">
        <v>445</v>
      </c>
      <c r="B302" t="s">
        <v>849</v>
      </c>
      <c r="D302" t="s">
        <v>1951</v>
      </c>
      <c r="E302" t="str">
        <f>"680487135701"</f>
        <v>680487135701</v>
      </c>
      <c r="F302" t="s">
        <v>851</v>
      </c>
      <c r="G302">
        <v>29.99</v>
      </c>
      <c r="H302">
        <v>0</v>
      </c>
      <c r="I302">
        <v>6</v>
      </c>
    </row>
    <row r="303" spans="1:9">
      <c r="A303" t="s">
        <v>693</v>
      </c>
      <c r="B303" t="s">
        <v>849</v>
      </c>
      <c r="D303" t="s">
        <v>1951</v>
      </c>
      <c r="E303" t="str">
        <f>"680487167481"</f>
        <v>680487167481</v>
      </c>
      <c r="F303" t="s">
        <v>851</v>
      </c>
      <c r="G303">
        <v>29.99</v>
      </c>
      <c r="H303">
        <v>0</v>
      </c>
      <c r="I303">
        <v>1</v>
      </c>
    </row>
    <row r="304" spans="1:9">
      <c r="A304" t="s">
        <v>446</v>
      </c>
      <c r="B304" t="s">
        <v>849</v>
      </c>
      <c r="D304" t="s">
        <v>1951</v>
      </c>
      <c r="E304" t="str">
        <f>"680487135725"</f>
        <v>680487135725</v>
      </c>
      <c r="F304" t="s">
        <v>851</v>
      </c>
      <c r="G304">
        <v>29.99</v>
      </c>
      <c r="H304">
        <v>0</v>
      </c>
      <c r="I304">
        <v>26</v>
      </c>
    </row>
    <row r="305" spans="1:9">
      <c r="A305" t="s">
        <v>447</v>
      </c>
      <c r="B305" t="s">
        <v>849</v>
      </c>
      <c r="D305" t="s">
        <v>1951</v>
      </c>
      <c r="E305" t="str">
        <f>"680487135749"</f>
        <v>680487135749</v>
      </c>
      <c r="F305" t="s">
        <v>851</v>
      </c>
      <c r="G305">
        <v>29.99</v>
      </c>
      <c r="H305">
        <v>0</v>
      </c>
      <c r="I305">
        <v>4</v>
      </c>
    </row>
    <row r="306" spans="1:9">
      <c r="A306" t="s">
        <v>448</v>
      </c>
      <c r="B306" t="s">
        <v>849</v>
      </c>
      <c r="D306" t="s">
        <v>1951</v>
      </c>
      <c r="E306" t="str">
        <f>"680487135763"</f>
        <v>680487135763</v>
      </c>
      <c r="F306" t="s">
        <v>851</v>
      </c>
      <c r="G306">
        <v>29.99</v>
      </c>
      <c r="H306">
        <v>0</v>
      </c>
      <c r="I306">
        <v>8</v>
      </c>
    </row>
    <row r="307" spans="1:9">
      <c r="A307" t="s">
        <v>449</v>
      </c>
      <c r="B307" t="s">
        <v>849</v>
      </c>
      <c r="D307" t="s">
        <v>1951</v>
      </c>
      <c r="E307" t="str">
        <f>"680487135787"</f>
        <v>680487135787</v>
      </c>
      <c r="F307" t="s">
        <v>851</v>
      </c>
      <c r="G307">
        <v>29.99</v>
      </c>
      <c r="H307">
        <v>0</v>
      </c>
      <c r="I307">
        <v>13</v>
      </c>
    </row>
    <row r="308" spans="1:9">
      <c r="A308" t="s">
        <v>682</v>
      </c>
      <c r="B308" t="s">
        <v>849</v>
      </c>
      <c r="D308" t="s">
        <v>1951</v>
      </c>
      <c r="E308" t="str">
        <f>"680487183351"</f>
        <v>680487183351</v>
      </c>
      <c r="F308" t="s">
        <v>851</v>
      </c>
      <c r="G308">
        <v>29.99</v>
      </c>
      <c r="H308">
        <v>0</v>
      </c>
      <c r="I308">
        <v>8</v>
      </c>
    </row>
    <row r="309" spans="1:9">
      <c r="A309" t="s">
        <v>450</v>
      </c>
      <c r="B309" t="s">
        <v>849</v>
      </c>
      <c r="D309" t="s">
        <v>1951</v>
      </c>
      <c r="E309" t="str">
        <f>"680487135800"</f>
        <v>680487135800</v>
      </c>
      <c r="F309" t="s">
        <v>851</v>
      </c>
      <c r="G309">
        <v>29.99</v>
      </c>
      <c r="H309">
        <v>0</v>
      </c>
      <c r="I309">
        <v>15</v>
      </c>
    </row>
    <row r="310" spans="1:9">
      <c r="A310" t="s">
        <v>683</v>
      </c>
      <c r="B310" t="s">
        <v>849</v>
      </c>
      <c r="D310" t="s">
        <v>1951</v>
      </c>
      <c r="E310" t="str">
        <f>"680487183375"</f>
        <v>680487183375</v>
      </c>
      <c r="F310" t="s">
        <v>851</v>
      </c>
      <c r="G310">
        <v>29.99</v>
      </c>
      <c r="H310">
        <v>0</v>
      </c>
      <c r="I310">
        <v>5</v>
      </c>
    </row>
    <row r="311" spans="1:9">
      <c r="A311" t="s">
        <v>451</v>
      </c>
      <c r="B311" t="s">
        <v>849</v>
      </c>
      <c r="D311" t="s">
        <v>1951</v>
      </c>
      <c r="E311" t="str">
        <f>"680487135824"</f>
        <v>680487135824</v>
      </c>
      <c r="F311" t="s">
        <v>851</v>
      </c>
      <c r="G311">
        <v>29.99</v>
      </c>
      <c r="H311">
        <v>0</v>
      </c>
      <c r="I311">
        <v>12</v>
      </c>
    </row>
    <row r="312" spans="1:9">
      <c r="A312" t="s">
        <v>452</v>
      </c>
      <c r="B312" t="s">
        <v>849</v>
      </c>
      <c r="D312" t="s">
        <v>1951</v>
      </c>
      <c r="E312" t="str">
        <f>"680487135848"</f>
        <v>680487135848</v>
      </c>
      <c r="F312" t="s">
        <v>851</v>
      </c>
      <c r="G312">
        <v>29.99</v>
      </c>
      <c r="H312">
        <v>0</v>
      </c>
      <c r="I312">
        <v>5</v>
      </c>
    </row>
    <row r="313" spans="1:9">
      <c r="A313" t="s">
        <v>453</v>
      </c>
      <c r="B313" t="s">
        <v>849</v>
      </c>
      <c r="D313" t="s">
        <v>1951</v>
      </c>
      <c r="E313" t="str">
        <f>"680487135862"</f>
        <v>680487135862</v>
      </c>
      <c r="F313" t="s">
        <v>851</v>
      </c>
      <c r="G313">
        <v>29.99</v>
      </c>
      <c r="H313">
        <v>0</v>
      </c>
      <c r="I313">
        <v>0</v>
      </c>
    </row>
    <row r="314" spans="1:9">
      <c r="A314" t="s">
        <v>454</v>
      </c>
      <c r="B314" t="s">
        <v>849</v>
      </c>
      <c r="D314" t="s">
        <v>1951</v>
      </c>
      <c r="E314" t="str">
        <f>"680487135886"</f>
        <v>680487135886</v>
      </c>
      <c r="F314" t="s">
        <v>851</v>
      </c>
      <c r="G314">
        <v>29.99</v>
      </c>
      <c r="H314">
        <v>0</v>
      </c>
      <c r="I314">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IV459"/>
  <sheetViews>
    <sheetView workbookViewId="0">
      <selection activeCell="G17" sqref="G17"/>
    </sheetView>
  </sheetViews>
  <sheetFormatPr baseColWidth="10" defaultColWidth="11" defaultRowHeight="16"/>
  <cols>
    <col min="2" max="2" width="13.1640625" style="27" bestFit="1" customWidth="1"/>
    <col min="4" max="4" width="34" bestFit="1" customWidth="1"/>
    <col min="8" max="8" width="19.1640625" bestFit="1" customWidth="1"/>
    <col min="9" max="23" width="11" customWidth="1"/>
    <col min="25" max="25" width="15.1640625" style="45" bestFit="1" customWidth="1"/>
  </cols>
  <sheetData>
    <row r="1" spans="1:45">
      <c r="A1" s="5" t="s">
        <v>853</v>
      </c>
      <c r="B1" s="27" t="s">
        <v>854</v>
      </c>
      <c r="C1" s="5" t="s">
        <v>855</v>
      </c>
      <c r="D1" s="85" t="s">
        <v>856</v>
      </c>
      <c r="E1" s="5" t="s">
        <v>857</v>
      </c>
      <c r="F1" s="5" t="s">
        <v>858</v>
      </c>
      <c r="G1" s="5" t="s">
        <v>859</v>
      </c>
      <c r="H1" s="5" t="s">
        <v>860</v>
      </c>
      <c r="I1" s="5" t="s">
        <v>861</v>
      </c>
      <c r="J1" s="6" t="s">
        <v>862</v>
      </c>
      <c r="K1" s="7" t="s">
        <v>863</v>
      </c>
      <c r="L1" s="7" t="s">
        <v>864</v>
      </c>
      <c r="M1" s="7" t="s">
        <v>865</v>
      </c>
      <c r="N1" s="5" t="s">
        <v>866</v>
      </c>
      <c r="O1" s="8" t="s">
        <v>867</v>
      </c>
      <c r="P1" s="9" t="s">
        <v>868</v>
      </c>
      <c r="Q1" s="9" t="s">
        <v>869</v>
      </c>
      <c r="R1" s="9" t="s">
        <v>870</v>
      </c>
      <c r="S1" s="9" t="s">
        <v>871</v>
      </c>
      <c r="T1" s="9" t="s">
        <v>872</v>
      </c>
      <c r="U1" s="5" t="s">
        <v>873</v>
      </c>
      <c r="V1" s="5" t="s">
        <v>874</v>
      </c>
      <c r="W1" s="5" t="s">
        <v>875</v>
      </c>
      <c r="X1" s="10" t="s">
        <v>876</v>
      </c>
      <c r="Y1" s="44" t="s">
        <v>877</v>
      </c>
      <c r="Z1" s="11" t="s">
        <v>878</v>
      </c>
      <c r="AA1" s="11" t="s">
        <v>879</v>
      </c>
      <c r="AB1" s="11" t="s">
        <v>880</v>
      </c>
      <c r="AC1" s="11" t="s">
        <v>881</v>
      </c>
      <c r="AD1" s="11" t="s">
        <v>882</v>
      </c>
      <c r="AE1" s="11" t="s">
        <v>883</v>
      </c>
      <c r="AF1" s="11" t="s">
        <v>884</v>
      </c>
      <c r="AG1" s="11" t="s">
        <v>885</v>
      </c>
      <c r="AH1" s="11" t="s">
        <v>886</v>
      </c>
      <c r="AI1" s="11" t="s">
        <v>887</v>
      </c>
      <c r="AJ1" s="11" t="s">
        <v>888</v>
      </c>
      <c r="AK1" s="11" t="s">
        <v>889</v>
      </c>
      <c r="AL1" s="11" t="s">
        <v>890</v>
      </c>
      <c r="AM1" s="11" t="s">
        <v>891</v>
      </c>
      <c r="AN1" s="11" t="s">
        <v>892</v>
      </c>
      <c r="AO1" s="11" t="s">
        <v>893</v>
      </c>
      <c r="AP1" s="11" t="s">
        <v>894</v>
      </c>
      <c r="AQ1" s="11" t="s">
        <v>895</v>
      </c>
      <c r="AR1" s="11" t="s">
        <v>896</v>
      </c>
      <c r="AS1" s="11" t="s">
        <v>897</v>
      </c>
    </row>
    <row r="2" spans="1:45" ht="49">
      <c r="A2" s="12" t="s">
        <v>898</v>
      </c>
      <c r="B2" s="27" t="s">
        <v>899</v>
      </c>
      <c r="C2" s="12" t="s">
        <v>900</v>
      </c>
      <c r="D2" s="13">
        <v>0</v>
      </c>
      <c r="E2" s="14" t="s">
        <v>901</v>
      </c>
      <c r="F2" s="14" t="s">
        <v>902</v>
      </c>
      <c r="G2" s="12" t="s">
        <v>903</v>
      </c>
      <c r="H2" s="13" t="s">
        <v>904</v>
      </c>
      <c r="I2" s="12" t="s">
        <v>905</v>
      </c>
      <c r="J2" s="15" t="s">
        <v>906</v>
      </c>
      <c r="K2" s="16" t="s">
        <v>907</v>
      </c>
      <c r="L2" s="16" t="s">
        <v>908</v>
      </c>
      <c r="M2" s="16" t="s">
        <v>908</v>
      </c>
      <c r="N2" s="12" t="s">
        <v>909</v>
      </c>
      <c r="O2" s="17" t="s">
        <v>902</v>
      </c>
      <c r="P2" s="18" t="s">
        <v>902</v>
      </c>
      <c r="Q2" s="18" t="s">
        <v>902</v>
      </c>
      <c r="R2" s="18" t="s">
        <v>870</v>
      </c>
      <c r="S2" s="18" t="s">
        <v>871</v>
      </c>
      <c r="T2" s="18" t="s">
        <v>910</v>
      </c>
      <c r="U2" s="14" t="s">
        <v>911</v>
      </c>
      <c r="V2" s="12" t="s">
        <v>912</v>
      </c>
      <c r="W2" s="13" t="s">
        <v>913</v>
      </c>
      <c r="X2" s="19" t="s">
        <v>914</v>
      </c>
      <c r="Y2" s="20" t="s">
        <v>915</v>
      </c>
      <c r="Z2" s="21" t="s">
        <v>916</v>
      </c>
      <c r="AA2" s="21" t="s">
        <v>917</v>
      </c>
      <c r="AB2" s="22" t="s">
        <v>901</v>
      </c>
      <c r="AC2" s="22" t="s">
        <v>902</v>
      </c>
      <c r="AD2" s="21" t="s">
        <v>916</v>
      </c>
      <c r="AE2" s="21" t="s">
        <v>918</v>
      </c>
      <c r="AF2" s="22" t="s">
        <v>901</v>
      </c>
      <c r="AG2" s="22" t="s">
        <v>902</v>
      </c>
      <c r="AH2" s="21" t="s">
        <v>916</v>
      </c>
      <c r="AI2" s="21" t="s">
        <v>918</v>
      </c>
      <c r="AJ2" s="22" t="s">
        <v>901</v>
      </c>
      <c r="AK2" s="22" t="s">
        <v>902</v>
      </c>
      <c r="AL2" s="21" t="s">
        <v>916</v>
      </c>
      <c r="AM2" s="21" t="s">
        <v>918</v>
      </c>
      <c r="AN2" s="22" t="s">
        <v>901</v>
      </c>
      <c r="AO2" s="22" t="s">
        <v>902</v>
      </c>
      <c r="AP2" s="21" t="s">
        <v>916</v>
      </c>
      <c r="AQ2" s="21" t="s">
        <v>918</v>
      </c>
      <c r="AR2" s="22" t="s">
        <v>901</v>
      </c>
      <c r="AS2" s="22" t="s">
        <v>902</v>
      </c>
    </row>
    <row r="3" spans="1:45" s="40" customFormat="1">
      <c r="A3" s="26" t="s">
        <v>919</v>
      </c>
      <c r="B3" s="27" t="s">
        <v>42</v>
      </c>
      <c r="C3" s="28" t="s">
        <v>920</v>
      </c>
      <c r="D3" s="29">
        <v>1</v>
      </c>
      <c r="E3" s="30"/>
      <c r="F3" s="31"/>
      <c r="G3" s="31"/>
      <c r="H3" s="27" t="s">
        <v>42</v>
      </c>
      <c r="I3" s="32"/>
      <c r="J3" s="33"/>
      <c r="K3" s="34"/>
      <c r="L3" s="34"/>
      <c r="M3" s="34"/>
      <c r="N3" s="31"/>
      <c r="O3" s="31"/>
      <c r="P3" s="31"/>
      <c r="Q3" s="31"/>
      <c r="R3" s="31"/>
      <c r="S3" s="31"/>
      <c r="T3" s="31"/>
      <c r="U3" s="42"/>
      <c r="V3" s="43"/>
      <c r="W3" s="37"/>
      <c r="X3" s="38" t="s">
        <v>921</v>
      </c>
      <c r="Y3" s="39">
        <v>754603685262</v>
      </c>
      <c r="Z3" s="31"/>
      <c r="AA3" s="31"/>
      <c r="AB3" s="31"/>
      <c r="AC3" s="31"/>
      <c r="AD3" s="31"/>
      <c r="AE3" s="31"/>
      <c r="AF3" s="31"/>
      <c r="AG3" s="31"/>
      <c r="AH3" s="31"/>
      <c r="AI3" s="31"/>
      <c r="AJ3" s="31"/>
      <c r="AK3" s="31"/>
      <c r="AL3" s="31"/>
      <c r="AM3" s="31"/>
      <c r="AN3" s="31"/>
      <c r="AO3" s="31"/>
      <c r="AP3" s="31"/>
      <c r="AQ3" s="31"/>
      <c r="AR3" s="31"/>
      <c r="AS3" s="31"/>
    </row>
    <row r="4" spans="1:45" s="40" customFormat="1">
      <c r="A4" s="26" t="s">
        <v>919</v>
      </c>
      <c r="B4" s="27" t="s">
        <v>43</v>
      </c>
      <c r="C4" s="28" t="s">
        <v>920</v>
      </c>
      <c r="D4" s="29">
        <v>52</v>
      </c>
      <c r="E4" s="30"/>
      <c r="F4" s="31"/>
      <c r="G4" s="31"/>
      <c r="H4" s="27" t="s">
        <v>43</v>
      </c>
      <c r="I4" s="32"/>
      <c r="J4" s="33"/>
      <c r="K4" s="34"/>
      <c r="L4" s="34"/>
      <c r="M4" s="34"/>
      <c r="N4" s="31"/>
      <c r="O4" s="31"/>
      <c r="P4" s="31"/>
      <c r="Q4" s="31"/>
      <c r="R4" s="31"/>
      <c r="S4" s="31"/>
      <c r="T4" s="31"/>
      <c r="U4" s="42"/>
      <c r="V4" s="43"/>
      <c r="W4" s="37"/>
      <c r="X4" s="38" t="s">
        <v>921</v>
      </c>
      <c r="Y4" s="39">
        <v>754603685071</v>
      </c>
      <c r="Z4" s="31"/>
      <c r="AA4" s="31"/>
      <c r="AB4" s="31"/>
      <c r="AC4" s="31"/>
      <c r="AD4" s="31"/>
      <c r="AE4" s="31"/>
      <c r="AF4" s="31"/>
      <c r="AG4" s="31"/>
      <c r="AH4" s="31"/>
      <c r="AI4" s="31"/>
      <c r="AJ4" s="31"/>
      <c r="AK4" s="31"/>
      <c r="AL4" s="31"/>
      <c r="AM4" s="31"/>
      <c r="AN4" s="31"/>
      <c r="AO4" s="31"/>
      <c r="AP4" s="31"/>
      <c r="AQ4" s="31"/>
      <c r="AR4" s="31"/>
      <c r="AS4" s="31"/>
    </row>
    <row r="5" spans="1:45" s="40" customFormat="1">
      <c r="A5" s="26" t="s">
        <v>919</v>
      </c>
      <c r="B5" s="27" t="s">
        <v>24</v>
      </c>
      <c r="C5" s="28" t="s">
        <v>920</v>
      </c>
      <c r="D5" s="29">
        <v>27</v>
      </c>
      <c r="E5" s="30"/>
      <c r="F5" s="31"/>
      <c r="G5" s="31"/>
      <c r="H5" s="27" t="s">
        <v>24</v>
      </c>
      <c r="I5" s="32"/>
      <c r="J5" s="33"/>
      <c r="K5" s="34"/>
      <c r="L5" s="34"/>
      <c r="M5" s="34"/>
      <c r="N5" s="31"/>
      <c r="O5" s="31"/>
      <c r="P5" s="31"/>
      <c r="Q5" s="31"/>
      <c r="R5" s="31"/>
      <c r="S5" s="31"/>
      <c r="T5" s="31"/>
      <c r="U5" s="42"/>
      <c r="V5" s="43"/>
      <c r="W5" s="37"/>
      <c r="X5" s="38" t="s">
        <v>921</v>
      </c>
      <c r="Y5" s="39">
        <v>754603789267</v>
      </c>
      <c r="Z5" s="31"/>
      <c r="AA5" s="31"/>
      <c r="AB5" s="31"/>
      <c r="AC5" s="31"/>
      <c r="AD5" s="31"/>
      <c r="AE5" s="31"/>
      <c r="AF5" s="31"/>
      <c r="AG5" s="31"/>
      <c r="AH5" s="31"/>
      <c r="AI5" s="31"/>
      <c r="AJ5" s="31"/>
      <c r="AK5" s="31"/>
      <c r="AL5" s="31"/>
      <c r="AM5" s="31"/>
      <c r="AN5" s="31"/>
      <c r="AO5" s="31"/>
      <c r="AP5" s="31"/>
      <c r="AQ5" s="31"/>
      <c r="AR5" s="31"/>
      <c r="AS5" s="31"/>
    </row>
    <row r="6" spans="1:45" s="40" customFormat="1">
      <c r="A6" s="26" t="s">
        <v>919</v>
      </c>
      <c r="B6" s="27" t="s">
        <v>4</v>
      </c>
      <c r="C6" s="28" t="s">
        <v>920</v>
      </c>
      <c r="D6" s="29">
        <v>7</v>
      </c>
      <c r="E6" s="30"/>
      <c r="F6" s="31"/>
      <c r="G6" s="31"/>
      <c r="H6" s="27" t="s">
        <v>4</v>
      </c>
      <c r="I6" s="32"/>
      <c r="J6" s="33"/>
      <c r="K6" s="34"/>
      <c r="L6" s="34"/>
      <c r="M6" s="34"/>
      <c r="N6" s="31"/>
      <c r="O6" s="31"/>
      <c r="P6" s="31"/>
      <c r="Q6" s="31"/>
      <c r="R6" s="31"/>
      <c r="S6" s="31"/>
      <c r="T6" s="31"/>
      <c r="U6" s="42"/>
      <c r="V6" s="43"/>
      <c r="W6" s="37"/>
      <c r="X6" s="38" t="s">
        <v>921</v>
      </c>
      <c r="Y6" s="39">
        <v>754603789052</v>
      </c>
      <c r="Z6" s="31"/>
      <c r="AA6" s="31"/>
      <c r="AB6" s="31"/>
      <c r="AC6" s="31"/>
      <c r="AD6" s="31"/>
      <c r="AE6" s="31"/>
      <c r="AF6" s="31"/>
      <c r="AG6" s="31"/>
      <c r="AH6" s="31"/>
      <c r="AI6" s="31"/>
      <c r="AJ6" s="31"/>
      <c r="AK6" s="31"/>
      <c r="AL6" s="31"/>
      <c r="AM6" s="31"/>
      <c r="AN6" s="31"/>
      <c r="AO6" s="31"/>
      <c r="AP6" s="31"/>
      <c r="AQ6" s="31"/>
      <c r="AR6" s="31"/>
      <c r="AS6" s="31"/>
    </row>
    <row r="7" spans="1:45" s="40" customFormat="1">
      <c r="A7" s="26" t="s">
        <v>919</v>
      </c>
      <c r="B7" s="27" t="s">
        <v>58</v>
      </c>
      <c r="C7" s="28" t="s">
        <v>920</v>
      </c>
      <c r="D7" s="29">
        <v>18</v>
      </c>
      <c r="E7" s="30"/>
      <c r="F7" s="31"/>
      <c r="G7" s="31"/>
      <c r="H7" s="27" t="s">
        <v>58</v>
      </c>
      <c r="I7" s="32"/>
      <c r="J7" s="33"/>
      <c r="K7" s="34"/>
      <c r="L7" s="34"/>
      <c r="M7" s="34"/>
      <c r="N7" s="31"/>
      <c r="O7" s="31"/>
      <c r="P7" s="31"/>
      <c r="Q7" s="31"/>
      <c r="R7" s="31"/>
      <c r="S7" s="31"/>
      <c r="T7" s="31"/>
      <c r="U7" s="42"/>
      <c r="V7" s="43"/>
      <c r="W7" s="37"/>
      <c r="X7" s="38" t="s">
        <v>921</v>
      </c>
      <c r="Y7" s="39">
        <v>754603789915</v>
      </c>
      <c r="Z7" s="31"/>
      <c r="AA7" s="31"/>
      <c r="AB7" s="31"/>
      <c r="AC7" s="31"/>
      <c r="AD7" s="31"/>
      <c r="AE7" s="31"/>
      <c r="AF7" s="31"/>
      <c r="AG7" s="31"/>
      <c r="AH7" s="31"/>
      <c r="AI7" s="31"/>
      <c r="AJ7" s="31"/>
      <c r="AK7" s="31"/>
      <c r="AL7" s="31"/>
      <c r="AM7" s="31"/>
      <c r="AN7" s="31"/>
      <c r="AO7" s="31"/>
      <c r="AP7" s="31"/>
      <c r="AQ7" s="31"/>
      <c r="AR7" s="31"/>
      <c r="AS7" s="31"/>
    </row>
    <row r="8" spans="1:45" s="40" customFormat="1">
      <c r="A8" s="26" t="s">
        <v>919</v>
      </c>
      <c r="B8" s="27" t="s">
        <v>59</v>
      </c>
      <c r="C8" s="28" t="s">
        <v>920</v>
      </c>
      <c r="D8" s="29">
        <v>21</v>
      </c>
      <c r="E8" s="30"/>
      <c r="F8" s="31"/>
      <c r="G8" s="31"/>
      <c r="H8" s="27" t="s">
        <v>59</v>
      </c>
      <c r="I8" s="32"/>
      <c r="J8" s="33"/>
      <c r="K8" s="34"/>
      <c r="L8" s="34"/>
      <c r="M8" s="34"/>
      <c r="N8" s="31"/>
      <c r="O8" s="31"/>
      <c r="P8" s="31"/>
      <c r="Q8" s="31"/>
      <c r="R8" s="31"/>
      <c r="S8" s="31"/>
      <c r="T8" s="31"/>
      <c r="U8" s="42"/>
      <c r="V8" s="43"/>
      <c r="W8" s="37"/>
      <c r="X8" s="38" t="s">
        <v>921</v>
      </c>
      <c r="Y8" s="39">
        <v>754603789878</v>
      </c>
      <c r="Z8" s="31"/>
      <c r="AA8" s="31"/>
      <c r="AB8" s="31"/>
      <c r="AC8" s="31"/>
      <c r="AD8" s="31"/>
      <c r="AE8" s="31"/>
      <c r="AF8" s="31"/>
      <c r="AG8" s="31"/>
      <c r="AH8" s="31"/>
      <c r="AI8" s="31"/>
      <c r="AJ8" s="31"/>
      <c r="AK8" s="31"/>
      <c r="AL8" s="31"/>
      <c r="AM8" s="31"/>
      <c r="AN8" s="31"/>
      <c r="AO8" s="31"/>
      <c r="AP8" s="31"/>
      <c r="AQ8" s="31"/>
      <c r="AR8" s="31"/>
      <c r="AS8" s="31"/>
    </row>
    <row r="9" spans="1:45" s="40" customFormat="1">
      <c r="A9" s="26" t="s">
        <v>919</v>
      </c>
      <c r="B9" s="27" t="s">
        <v>23</v>
      </c>
      <c r="C9" s="28" t="s">
        <v>920</v>
      </c>
      <c r="D9" s="29">
        <v>23</v>
      </c>
      <c r="E9" s="30"/>
      <c r="F9" s="31"/>
      <c r="G9" s="31"/>
      <c r="H9" s="27" t="s">
        <v>23</v>
      </c>
      <c r="I9" s="32"/>
      <c r="J9" s="33"/>
      <c r="K9" s="34"/>
      <c r="L9" s="34"/>
      <c r="M9" s="34"/>
      <c r="N9" s="31"/>
      <c r="O9" s="31"/>
      <c r="P9" s="31"/>
      <c r="Q9" s="31"/>
      <c r="R9" s="31"/>
      <c r="S9" s="31"/>
      <c r="T9" s="31"/>
      <c r="U9" s="42"/>
      <c r="V9" s="43"/>
      <c r="W9" s="37"/>
      <c r="X9" s="38" t="s">
        <v>921</v>
      </c>
      <c r="Y9" s="39">
        <v>754603789885</v>
      </c>
      <c r="Z9" s="31"/>
      <c r="AA9" s="31"/>
      <c r="AB9" s="31"/>
      <c r="AC9" s="31"/>
      <c r="AD9" s="31"/>
      <c r="AE9" s="31"/>
      <c r="AF9" s="31"/>
      <c r="AG9" s="31"/>
      <c r="AH9" s="31"/>
      <c r="AI9" s="31"/>
      <c r="AJ9" s="31"/>
      <c r="AK9" s="31"/>
      <c r="AL9" s="31"/>
      <c r="AM9" s="31"/>
      <c r="AN9" s="31"/>
      <c r="AO9" s="31"/>
      <c r="AP9" s="31"/>
      <c r="AQ9" s="31"/>
      <c r="AR9" s="31"/>
      <c r="AS9" s="31"/>
    </row>
    <row r="10" spans="1:45" s="40" customFormat="1">
      <c r="A10" s="26" t="s">
        <v>919</v>
      </c>
      <c r="B10" s="27" t="s">
        <v>924</v>
      </c>
      <c r="C10" s="28" t="s">
        <v>920</v>
      </c>
      <c r="D10" s="29">
        <v>0</v>
      </c>
      <c r="E10" s="30"/>
      <c r="F10" s="31"/>
      <c r="G10" s="31"/>
      <c r="H10" s="27" t="s">
        <v>924</v>
      </c>
      <c r="I10" s="32"/>
      <c r="J10" s="33"/>
      <c r="K10" s="34"/>
      <c r="L10" s="34"/>
      <c r="M10" s="34"/>
      <c r="N10" s="31"/>
      <c r="O10" s="31"/>
      <c r="P10" s="31"/>
      <c r="Q10" s="31"/>
      <c r="R10" s="31"/>
      <c r="S10" s="31"/>
      <c r="T10" s="31"/>
      <c r="U10" s="42"/>
      <c r="V10" s="43"/>
      <c r="W10" s="37"/>
      <c r="X10" s="38" t="s">
        <v>921</v>
      </c>
      <c r="Y10" s="39">
        <v>754603789816</v>
      </c>
      <c r="Z10" s="31"/>
      <c r="AA10" s="31"/>
      <c r="AB10" s="31"/>
      <c r="AC10" s="31"/>
      <c r="AD10" s="31"/>
      <c r="AE10" s="31"/>
      <c r="AF10" s="31"/>
      <c r="AG10" s="31"/>
      <c r="AH10" s="31"/>
      <c r="AI10" s="31"/>
      <c r="AJ10" s="31"/>
      <c r="AK10" s="31"/>
      <c r="AL10" s="31"/>
      <c r="AM10" s="31"/>
      <c r="AN10" s="31"/>
      <c r="AO10" s="31"/>
      <c r="AP10" s="31"/>
      <c r="AQ10" s="31"/>
      <c r="AR10" s="31"/>
      <c r="AS10" s="31"/>
    </row>
    <row r="11" spans="1:45" s="40" customFormat="1">
      <c r="A11" s="26" t="s">
        <v>919</v>
      </c>
      <c r="B11" s="27" t="s">
        <v>60</v>
      </c>
      <c r="C11" s="28" t="s">
        <v>920</v>
      </c>
      <c r="D11" s="29">
        <v>32</v>
      </c>
      <c r="E11" s="30"/>
      <c r="F11" s="31"/>
      <c r="G11" s="31"/>
      <c r="H11" s="27" t="s">
        <v>60</v>
      </c>
      <c r="I11" s="32"/>
      <c r="J11" s="33"/>
      <c r="K11" s="34"/>
      <c r="L11" s="34"/>
      <c r="M11" s="34"/>
      <c r="N11" s="31"/>
      <c r="O11" s="31"/>
      <c r="P11" s="31"/>
      <c r="Q11" s="31"/>
      <c r="R11" s="31"/>
      <c r="S11" s="31"/>
      <c r="T11" s="31"/>
      <c r="U11" s="42"/>
      <c r="V11" s="43"/>
      <c r="W11" s="37"/>
      <c r="X11" s="38" t="s">
        <v>921</v>
      </c>
      <c r="Y11" s="39">
        <v>754603789656</v>
      </c>
      <c r="Z11" s="31"/>
      <c r="AA11" s="31"/>
      <c r="AB11" s="31"/>
      <c r="AC11" s="31"/>
      <c r="AD11" s="31"/>
      <c r="AE11" s="31"/>
      <c r="AF11" s="31"/>
      <c r="AG11" s="31"/>
      <c r="AH11" s="31"/>
      <c r="AI11" s="31"/>
      <c r="AJ11" s="31"/>
      <c r="AK11" s="31"/>
      <c r="AL11" s="31"/>
      <c r="AM11" s="31"/>
      <c r="AN11" s="31"/>
      <c r="AO11" s="31"/>
      <c r="AP11" s="31"/>
      <c r="AQ11" s="31"/>
      <c r="AR11" s="31"/>
      <c r="AS11" s="31"/>
    </row>
    <row r="12" spans="1:45" s="40" customFormat="1">
      <c r="A12" s="26" t="s">
        <v>919</v>
      </c>
      <c r="B12" s="27" t="s">
        <v>61</v>
      </c>
      <c r="C12" s="28" t="s">
        <v>920</v>
      </c>
      <c r="D12" s="29">
        <v>16</v>
      </c>
      <c r="E12" s="30"/>
      <c r="F12" s="31"/>
      <c r="G12" s="31"/>
      <c r="H12" s="27" t="s">
        <v>61</v>
      </c>
      <c r="I12" s="32"/>
      <c r="J12" s="33"/>
      <c r="K12" s="34"/>
      <c r="L12" s="34"/>
      <c r="M12" s="34"/>
      <c r="N12" s="31"/>
      <c r="O12" s="31"/>
      <c r="P12" s="31"/>
      <c r="Q12" s="31"/>
      <c r="R12" s="31"/>
      <c r="S12" s="31"/>
      <c r="T12" s="31"/>
      <c r="U12" s="42"/>
      <c r="V12" s="43"/>
      <c r="W12" s="37"/>
      <c r="X12" s="38" t="s">
        <v>921</v>
      </c>
      <c r="Y12" s="39">
        <v>754603789458</v>
      </c>
      <c r="Z12" s="31"/>
      <c r="AA12" s="31"/>
      <c r="AB12" s="31"/>
      <c r="AC12" s="31"/>
      <c r="AD12" s="31"/>
      <c r="AE12" s="31"/>
      <c r="AF12" s="31"/>
      <c r="AG12" s="31"/>
      <c r="AH12" s="31"/>
      <c r="AI12" s="31"/>
      <c r="AJ12" s="31"/>
      <c r="AK12" s="31"/>
      <c r="AL12" s="31"/>
      <c r="AM12" s="31"/>
      <c r="AN12" s="31"/>
      <c r="AO12" s="31"/>
      <c r="AP12" s="31"/>
      <c r="AQ12" s="31"/>
      <c r="AR12" s="31"/>
      <c r="AS12" s="31"/>
    </row>
    <row r="13" spans="1:45" s="40" customFormat="1">
      <c r="A13" s="26" t="s">
        <v>919</v>
      </c>
      <c r="B13" s="27" t="s">
        <v>925</v>
      </c>
      <c r="C13" s="28" t="s">
        <v>920</v>
      </c>
      <c r="D13" s="29">
        <v>0</v>
      </c>
      <c r="E13" s="30"/>
      <c r="F13" s="31"/>
      <c r="G13" s="31"/>
      <c r="H13" s="27" t="s">
        <v>925</v>
      </c>
      <c r="I13" s="32"/>
      <c r="J13" s="33"/>
      <c r="K13" s="34"/>
      <c r="L13" s="34"/>
      <c r="M13" s="34"/>
      <c r="N13" s="31"/>
      <c r="O13" s="31"/>
      <c r="P13" s="31"/>
      <c r="Q13" s="31"/>
      <c r="R13" s="31"/>
      <c r="S13" s="31"/>
      <c r="T13" s="31"/>
      <c r="U13" s="42"/>
      <c r="V13" s="43"/>
      <c r="W13" s="37"/>
      <c r="X13" s="38" t="s">
        <v>921</v>
      </c>
      <c r="Y13" s="39">
        <v>754603789540</v>
      </c>
      <c r="Z13" s="31"/>
      <c r="AA13" s="31"/>
      <c r="AB13" s="31"/>
      <c r="AC13" s="31"/>
      <c r="AD13" s="31"/>
      <c r="AE13" s="31"/>
      <c r="AF13" s="31"/>
      <c r="AG13" s="31"/>
      <c r="AH13" s="31"/>
      <c r="AI13" s="31"/>
      <c r="AJ13" s="31"/>
      <c r="AK13" s="31"/>
      <c r="AL13" s="31"/>
      <c r="AM13" s="31"/>
      <c r="AN13" s="31"/>
      <c r="AO13" s="31"/>
      <c r="AP13" s="31"/>
      <c r="AQ13" s="31"/>
      <c r="AR13" s="31"/>
      <c r="AS13" s="31"/>
    </row>
    <row r="14" spans="1:45" s="40" customFormat="1">
      <c r="A14" s="26" t="s">
        <v>919</v>
      </c>
      <c r="B14" s="27" t="s">
        <v>62</v>
      </c>
      <c r="C14" s="28" t="s">
        <v>920</v>
      </c>
      <c r="D14" s="29">
        <v>0</v>
      </c>
      <c r="E14" s="30"/>
      <c r="F14" s="31"/>
      <c r="G14" s="31"/>
      <c r="H14" s="27" t="s">
        <v>62</v>
      </c>
      <c r="I14" s="32"/>
      <c r="J14" s="33"/>
      <c r="K14" s="34"/>
      <c r="L14" s="34"/>
      <c r="M14" s="34"/>
      <c r="N14" s="31"/>
      <c r="O14" s="31"/>
      <c r="P14" s="31"/>
      <c r="Q14" s="31"/>
      <c r="R14" s="31"/>
      <c r="S14" s="31"/>
      <c r="T14" s="31"/>
      <c r="U14" s="42"/>
      <c r="V14" s="43"/>
      <c r="W14" s="37"/>
      <c r="X14" s="38" t="s">
        <v>921</v>
      </c>
      <c r="Y14" s="39">
        <v>754603789755</v>
      </c>
      <c r="Z14" s="31"/>
      <c r="AA14" s="31"/>
      <c r="AB14" s="31"/>
      <c r="AC14" s="31"/>
      <c r="AD14" s="31"/>
      <c r="AE14" s="31"/>
      <c r="AF14" s="31"/>
      <c r="AG14" s="31"/>
      <c r="AH14" s="31"/>
      <c r="AI14" s="31"/>
      <c r="AJ14" s="31"/>
      <c r="AK14" s="31"/>
      <c r="AL14" s="31"/>
      <c r="AM14" s="31"/>
      <c r="AN14" s="31"/>
      <c r="AO14" s="31"/>
      <c r="AP14" s="31"/>
      <c r="AQ14" s="31"/>
      <c r="AR14" s="31"/>
      <c r="AS14" s="31"/>
    </row>
    <row r="15" spans="1:45" s="40" customFormat="1">
      <c r="A15" s="26" t="s">
        <v>919</v>
      </c>
      <c r="B15" s="27" t="s">
        <v>63</v>
      </c>
      <c r="C15" s="28" t="s">
        <v>920</v>
      </c>
      <c r="D15" s="29">
        <v>20</v>
      </c>
      <c r="E15" s="30"/>
      <c r="F15" s="31"/>
      <c r="G15" s="31"/>
      <c r="H15" s="27" t="s">
        <v>63</v>
      </c>
      <c r="I15" s="32"/>
      <c r="J15" s="33"/>
      <c r="K15" s="34"/>
      <c r="L15" s="34"/>
      <c r="M15" s="34"/>
      <c r="N15" s="31"/>
      <c r="O15" s="31"/>
      <c r="P15" s="31"/>
      <c r="Q15" s="31"/>
      <c r="R15" s="31"/>
      <c r="S15" s="31"/>
      <c r="T15" s="31"/>
      <c r="U15" s="42"/>
      <c r="V15" s="43"/>
      <c r="W15" s="37"/>
      <c r="X15" s="38" t="s">
        <v>921</v>
      </c>
      <c r="Y15" s="39">
        <v>754603789298</v>
      </c>
      <c r="Z15" s="31"/>
      <c r="AA15" s="31"/>
      <c r="AB15" s="31"/>
      <c r="AC15" s="31"/>
      <c r="AD15" s="31"/>
      <c r="AE15" s="31"/>
      <c r="AF15" s="31"/>
      <c r="AG15" s="31"/>
      <c r="AH15" s="31"/>
      <c r="AI15" s="31"/>
      <c r="AJ15" s="31"/>
      <c r="AK15" s="31"/>
      <c r="AL15" s="31"/>
      <c r="AM15" s="31"/>
      <c r="AN15" s="31"/>
      <c r="AO15" s="31"/>
      <c r="AP15" s="31"/>
      <c r="AQ15" s="31"/>
      <c r="AR15" s="31"/>
      <c r="AS15" s="31"/>
    </row>
    <row r="16" spans="1:45" s="40" customFormat="1">
      <c r="A16" s="26" t="s">
        <v>919</v>
      </c>
      <c r="B16" s="27" t="s">
        <v>926</v>
      </c>
      <c r="C16" s="28" t="s">
        <v>920</v>
      </c>
      <c r="D16" s="29">
        <v>0</v>
      </c>
      <c r="E16" s="30"/>
      <c r="F16" s="31"/>
      <c r="G16" s="31"/>
      <c r="H16" s="27" t="s">
        <v>926</v>
      </c>
      <c r="I16" s="32"/>
      <c r="J16" s="33"/>
      <c r="K16" s="34"/>
      <c r="L16" s="34"/>
      <c r="M16" s="34"/>
      <c r="N16" s="31"/>
      <c r="O16" s="31"/>
      <c r="P16" s="31"/>
      <c r="Q16" s="31"/>
      <c r="R16" s="31"/>
      <c r="S16" s="31"/>
      <c r="T16" s="31"/>
      <c r="U16" s="42"/>
      <c r="V16" s="43"/>
      <c r="W16" s="37"/>
      <c r="X16" s="38" t="s">
        <v>921</v>
      </c>
      <c r="Y16" s="39">
        <v>754603789533</v>
      </c>
      <c r="Z16" s="31"/>
      <c r="AA16" s="31"/>
      <c r="AB16" s="31"/>
      <c r="AC16" s="31"/>
      <c r="AD16" s="31"/>
      <c r="AE16" s="31"/>
      <c r="AF16" s="31"/>
      <c r="AG16" s="31"/>
      <c r="AH16" s="31"/>
      <c r="AI16" s="31"/>
      <c r="AJ16" s="31"/>
      <c r="AK16" s="31"/>
      <c r="AL16" s="31"/>
      <c r="AM16" s="31"/>
      <c r="AN16" s="31"/>
      <c r="AO16" s="31"/>
      <c r="AP16" s="31"/>
      <c r="AQ16" s="31"/>
      <c r="AR16" s="31"/>
      <c r="AS16" s="31"/>
    </row>
    <row r="17" spans="1:45" s="40" customFormat="1">
      <c r="A17" s="26" t="s">
        <v>919</v>
      </c>
      <c r="B17" s="27" t="s">
        <v>64</v>
      </c>
      <c r="C17" s="28" t="s">
        <v>920</v>
      </c>
      <c r="D17" s="29">
        <v>44</v>
      </c>
      <c r="E17" s="30"/>
      <c r="F17" s="31"/>
      <c r="G17" s="31"/>
      <c r="H17" s="27" t="s">
        <v>64</v>
      </c>
      <c r="I17" s="32"/>
      <c r="J17" s="33"/>
      <c r="K17" s="34"/>
      <c r="L17" s="34"/>
      <c r="M17" s="34"/>
      <c r="N17" s="31"/>
      <c r="O17" s="31"/>
      <c r="P17" s="31"/>
      <c r="Q17" s="31"/>
      <c r="R17" s="31"/>
      <c r="S17" s="31"/>
      <c r="T17" s="31"/>
      <c r="U17" s="42"/>
      <c r="V17" s="43"/>
      <c r="W17" s="37"/>
      <c r="X17" s="38" t="s">
        <v>921</v>
      </c>
      <c r="Y17" s="39">
        <v>754603789120</v>
      </c>
      <c r="Z17" s="31"/>
      <c r="AA17" s="31"/>
      <c r="AB17" s="31"/>
      <c r="AC17" s="31"/>
      <c r="AD17" s="31"/>
      <c r="AE17" s="31"/>
      <c r="AF17" s="31"/>
      <c r="AG17" s="31"/>
      <c r="AH17" s="31"/>
      <c r="AI17" s="31"/>
      <c r="AJ17" s="31"/>
      <c r="AK17" s="31"/>
      <c r="AL17" s="31"/>
      <c r="AM17" s="31"/>
      <c r="AN17" s="31"/>
      <c r="AO17" s="31"/>
      <c r="AP17" s="31"/>
      <c r="AQ17" s="31"/>
      <c r="AR17" s="31"/>
      <c r="AS17" s="31"/>
    </row>
    <row r="18" spans="1:45" s="40" customFormat="1">
      <c r="A18" s="26" t="s">
        <v>919</v>
      </c>
      <c r="B18" s="27" t="s">
        <v>65</v>
      </c>
      <c r="C18" s="28" t="s">
        <v>920</v>
      </c>
      <c r="D18" s="29">
        <v>26</v>
      </c>
      <c r="E18" s="30"/>
      <c r="F18" s="31"/>
      <c r="G18" s="31"/>
      <c r="H18" s="27" t="s">
        <v>65</v>
      </c>
      <c r="I18" s="32"/>
      <c r="J18" s="33"/>
      <c r="K18" s="34"/>
      <c r="L18" s="34"/>
      <c r="M18" s="34"/>
      <c r="N18" s="31"/>
      <c r="O18" s="31"/>
      <c r="P18" s="31"/>
      <c r="Q18" s="31"/>
      <c r="R18" s="31"/>
      <c r="S18" s="31"/>
      <c r="T18" s="31"/>
      <c r="U18" s="42"/>
      <c r="V18" s="43"/>
      <c r="W18" s="37"/>
      <c r="X18" s="38" t="s">
        <v>921</v>
      </c>
      <c r="Y18" s="39">
        <v>754603789489</v>
      </c>
      <c r="Z18" s="31"/>
      <c r="AA18" s="31"/>
      <c r="AB18" s="31"/>
      <c r="AC18" s="31"/>
      <c r="AD18" s="31"/>
      <c r="AE18" s="31"/>
      <c r="AF18" s="31"/>
      <c r="AG18" s="31"/>
      <c r="AH18" s="31"/>
      <c r="AI18" s="31"/>
      <c r="AJ18" s="31"/>
      <c r="AK18" s="31"/>
      <c r="AL18" s="31"/>
      <c r="AM18" s="31"/>
      <c r="AN18" s="31"/>
      <c r="AO18" s="31"/>
      <c r="AP18" s="31"/>
      <c r="AQ18" s="31"/>
      <c r="AR18" s="31"/>
      <c r="AS18" s="31"/>
    </row>
    <row r="19" spans="1:45" s="40" customFormat="1">
      <c r="A19" s="26" t="s">
        <v>919</v>
      </c>
      <c r="B19" s="27" t="s">
        <v>66</v>
      </c>
      <c r="C19" s="28" t="s">
        <v>920</v>
      </c>
      <c r="D19" s="29">
        <v>41</v>
      </c>
      <c r="E19" s="30"/>
      <c r="F19" s="31"/>
      <c r="G19" s="31"/>
      <c r="H19" s="27" t="s">
        <v>66</v>
      </c>
      <c r="I19" s="32"/>
      <c r="J19" s="33"/>
      <c r="K19" s="34"/>
      <c r="L19" s="34"/>
      <c r="M19" s="34"/>
      <c r="N19" s="31"/>
      <c r="O19" s="31"/>
      <c r="P19" s="31"/>
      <c r="Q19" s="31"/>
      <c r="R19" s="31"/>
      <c r="S19" s="31"/>
      <c r="T19" s="31"/>
      <c r="U19" s="42"/>
      <c r="V19" s="43"/>
      <c r="W19" s="37"/>
      <c r="X19" s="38" t="s">
        <v>921</v>
      </c>
      <c r="Y19" s="39">
        <v>754603789762</v>
      </c>
      <c r="Z19" s="31"/>
      <c r="AA19" s="31"/>
      <c r="AB19" s="31"/>
      <c r="AC19" s="31"/>
      <c r="AD19" s="31"/>
      <c r="AE19" s="31"/>
      <c r="AF19" s="31"/>
      <c r="AG19" s="31"/>
      <c r="AH19" s="31"/>
      <c r="AI19" s="31"/>
      <c r="AJ19" s="31"/>
      <c r="AK19" s="31"/>
      <c r="AL19" s="31"/>
      <c r="AM19" s="31"/>
      <c r="AN19" s="31"/>
      <c r="AO19" s="31"/>
      <c r="AP19" s="31"/>
      <c r="AQ19" s="31"/>
      <c r="AR19" s="31"/>
      <c r="AS19" s="31"/>
    </row>
    <row r="20" spans="1:45" s="40" customFormat="1">
      <c r="A20" s="26" t="s">
        <v>919</v>
      </c>
      <c r="B20" s="27" t="s">
        <v>67</v>
      </c>
      <c r="C20" s="28" t="s">
        <v>920</v>
      </c>
      <c r="D20" s="29">
        <v>13</v>
      </c>
      <c r="E20" s="30"/>
      <c r="F20" s="31"/>
      <c r="G20" s="31"/>
      <c r="H20" s="27" t="s">
        <v>67</v>
      </c>
      <c r="I20" s="32"/>
      <c r="J20" s="33"/>
      <c r="K20" s="34"/>
      <c r="L20" s="34"/>
      <c r="M20" s="34"/>
      <c r="N20" s="31"/>
      <c r="O20" s="31"/>
      <c r="P20" s="31"/>
      <c r="Q20" s="31"/>
      <c r="R20" s="31"/>
      <c r="S20" s="31"/>
      <c r="T20" s="31"/>
      <c r="U20" s="42"/>
      <c r="V20" s="43"/>
      <c r="W20" s="37"/>
      <c r="X20" s="38" t="s">
        <v>921</v>
      </c>
      <c r="Y20" s="39">
        <v>754603789328</v>
      </c>
      <c r="Z20" s="31"/>
      <c r="AA20" s="31"/>
      <c r="AB20" s="31"/>
      <c r="AC20" s="31"/>
      <c r="AD20" s="31"/>
      <c r="AE20" s="31"/>
      <c r="AF20" s="31"/>
      <c r="AG20" s="31"/>
      <c r="AH20" s="31"/>
      <c r="AI20" s="31"/>
      <c r="AJ20" s="31"/>
      <c r="AK20" s="31"/>
      <c r="AL20" s="31"/>
      <c r="AM20" s="31"/>
      <c r="AN20" s="31"/>
      <c r="AO20" s="31"/>
      <c r="AP20" s="31"/>
      <c r="AQ20" s="31"/>
      <c r="AR20" s="31"/>
      <c r="AS20" s="31"/>
    </row>
    <row r="21" spans="1:45" s="40" customFormat="1">
      <c r="A21" s="26" t="s">
        <v>919</v>
      </c>
      <c r="B21" s="27" t="s">
        <v>68</v>
      </c>
      <c r="C21" s="28" t="s">
        <v>920</v>
      </c>
      <c r="D21" s="29">
        <v>23</v>
      </c>
      <c r="E21" s="30"/>
      <c r="F21" s="31"/>
      <c r="G21" s="31"/>
      <c r="H21" s="27" t="s">
        <v>68</v>
      </c>
      <c r="I21" s="32"/>
      <c r="J21" s="33"/>
      <c r="K21" s="34"/>
      <c r="L21" s="34"/>
      <c r="M21" s="34"/>
      <c r="N21" s="31"/>
      <c r="O21" s="31"/>
      <c r="P21" s="31"/>
      <c r="Q21" s="31"/>
      <c r="R21" s="31"/>
      <c r="S21" s="31"/>
      <c r="T21" s="31"/>
      <c r="U21" s="42"/>
      <c r="V21" s="43"/>
      <c r="W21" s="37"/>
      <c r="X21" s="38" t="s">
        <v>921</v>
      </c>
      <c r="Y21" s="39">
        <v>754603789793</v>
      </c>
      <c r="Z21" s="31"/>
      <c r="AA21" s="31"/>
      <c r="AB21" s="31"/>
      <c r="AC21" s="31"/>
      <c r="AD21" s="31"/>
      <c r="AE21" s="31"/>
      <c r="AF21" s="31"/>
      <c r="AG21" s="31"/>
      <c r="AH21" s="31"/>
      <c r="AI21" s="31"/>
      <c r="AJ21" s="31"/>
      <c r="AK21" s="31"/>
      <c r="AL21" s="31"/>
      <c r="AM21" s="31"/>
      <c r="AN21" s="31"/>
      <c r="AO21" s="31"/>
      <c r="AP21" s="31"/>
      <c r="AQ21" s="31"/>
      <c r="AR21" s="31"/>
      <c r="AS21" s="31"/>
    </row>
    <row r="22" spans="1:45" s="40" customFormat="1">
      <c r="A22" s="26" t="s">
        <v>919</v>
      </c>
      <c r="B22" s="27" t="s">
        <v>69</v>
      </c>
      <c r="C22" s="28" t="s">
        <v>920</v>
      </c>
      <c r="D22" s="29">
        <v>35</v>
      </c>
      <c r="E22" s="30"/>
      <c r="F22" s="31"/>
      <c r="G22" s="31"/>
      <c r="H22" s="27" t="s">
        <v>69</v>
      </c>
      <c r="I22" s="32"/>
      <c r="J22" s="33"/>
      <c r="K22" s="34"/>
      <c r="L22" s="34"/>
      <c r="M22" s="34"/>
      <c r="N22" s="31"/>
      <c r="O22" s="31"/>
      <c r="P22" s="31"/>
      <c r="Q22" s="31"/>
      <c r="R22" s="31"/>
      <c r="S22" s="31"/>
      <c r="T22" s="31"/>
      <c r="U22" s="42"/>
      <c r="V22" s="43"/>
      <c r="W22" s="37"/>
      <c r="X22" s="38" t="s">
        <v>921</v>
      </c>
      <c r="Y22" s="39">
        <v>754603789960</v>
      </c>
      <c r="Z22" s="31"/>
      <c r="AA22" s="31"/>
      <c r="AB22" s="31"/>
      <c r="AC22" s="31"/>
      <c r="AD22" s="31"/>
      <c r="AE22" s="31"/>
      <c r="AF22" s="31"/>
      <c r="AG22" s="31"/>
      <c r="AH22" s="31"/>
      <c r="AI22" s="31"/>
      <c r="AJ22" s="31"/>
      <c r="AK22" s="31"/>
      <c r="AL22" s="31"/>
      <c r="AM22" s="31"/>
      <c r="AN22" s="31"/>
      <c r="AO22" s="31"/>
      <c r="AP22" s="31"/>
      <c r="AQ22" s="31"/>
      <c r="AR22" s="31"/>
      <c r="AS22" s="31"/>
    </row>
    <row r="23" spans="1:45" s="40" customFormat="1">
      <c r="A23" s="26" t="s">
        <v>919</v>
      </c>
      <c r="B23" s="27" t="s">
        <v>70</v>
      </c>
      <c r="C23" s="28" t="s">
        <v>920</v>
      </c>
      <c r="D23" s="29">
        <v>46</v>
      </c>
      <c r="E23" s="30"/>
      <c r="F23" s="31"/>
      <c r="G23" s="31"/>
      <c r="H23" s="27" t="s">
        <v>70</v>
      </c>
      <c r="I23" s="32"/>
      <c r="J23" s="33"/>
      <c r="K23" s="34"/>
      <c r="L23" s="34"/>
      <c r="M23" s="34"/>
      <c r="N23" s="31"/>
      <c r="O23" s="31"/>
      <c r="P23" s="31"/>
      <c r="Q23" s="31"/>
      <c r="R23" s="31"/>
      <c r="S23" s="31"/>
      <c r="T23" s="31"/>
      <c r="U23" s="42"/>
      <c r="V23" s="43"/>
      <c r="W23" s="37"/>
      <c r="X23" s="38" t="s">
        <v>921</v>
      </c>
      <c r="Y23" s="39">
        <v>754603789526</v>
      </c>
      <c r="Z23" s="31"/>
      <c r="AA23" s="31"/>
      <c r="AB23" s="31"/>
      <c r="AC23" s="31"/>
      <c r="AD23" s="31"/>
      <c r="AE23" s="31"/>
      <c r="AF23" s="31"/>
      <c r="AG23" s="31"/>
      <c r="AH23" s="31"/>
      <c r="AI23" s="31"/>
      <c r="AJ23" s="31"/>
      <c r="AK23" s="31"/>
      <c r="AL23" s="31"/>
      <c r="AM23" s="31"/>
      <c r="AN23" s="31"/>
      <c r="AO23" s="31"/>
      <c r="AP23" s="31"/>
      <c r="AQ23" s="31"/>
      <c r="AR23" s="31"/>
      <c r="AS23" s="31"/>
    </row>
    <row r="24" spans="1:45" s="40" customFormat="1">
      <c r="A24" s="26" t="s">
        <v>919</v>
      </c>
      <c r="B24" s="27" t="s">
        <v>71</v>
      </c>
      <c r="C24" s="28" t="s">
        <v>920</v>
      </c>
      <c r="D24" s="29">
        <v>45</v>
      </c>
      <c r="E24" s="30"/>
      <c r="F24" s="31"/>
      <c r="G24" s="31"/>
      <c r="H24" s="27" t="s">
        <v>71</v>
      </c>
      <c r="I24" s="32"/>
      <c r="J24" s="33"/>
      <c r="K24" s="34"/>
      <c r="L24" s="34"/>
      <c r="M24" s="34"/>
      <c r="N24" s="31"/>
      <c r="O24" s="31"/>
      <c r="P24" s="31"/>
      <c r="Q24" s="31"/>
      <c r="R24" s="31"/>
      <c r="S24" s="31"/>
      <c r="T24" s="31"/>
      <c r="U24" s="42"/>
      <c r="V24" s="43"/>
      <c r="W24" s="37"/>
      <c r="X24" s="38" t="s">
        <v>921</v>
      </c>
      <c r="Y24" s="39">
        <v>754603789847</v>
      </c>
      <c r="Z24" s="31"/>
      <c r="AA24" s="31"/>
      <c r="AB24" s="31"/>
      <c r="AC24" s="31"/>
      <c r="AD24" s="31"/>
      <c r="AE24" s="31"/>
      <c r="AF24" s="31"/>
      <c r="AG24" s="31"/>
      <c r="AH24" s="31"/>
      <c r="AI24" s="31"/>
      <c r="AJ24" s="31"/>
      <c r="AK24" s="31"/>
      <c r="AL24" s="31"/>
      <c r="AM24" s="31"/>
      <c r="AN24" s="31"/>
      <c r="AO24" s="31"/>
      <c r="AP24" s="31"/>
      <c r="AQ24" s="31"/>
      <c r="AR24" s="31"/>
      <c r="AS24" s="31"/>
    </row>
    <row r="25" spans="1:45" s="40" customFormat="1">
      <c r="A25" s="26" t="s">
        <v>919</v>
      </c>
      <c r="B25" s="27" t="s">
        <v>15</v>
      </c>
      <c r="C25" s="28" t="s">
        <v>920</v>
      </c>
      <c r="D25" s="29">
        <v>21</v>
      </c>
      <c r="E25" s="30"/>
      <c r="F25" s="31"/>
      <c r="G25" s="31"/>
      <c r="H25" s="27" t="s">
        <v>15</v>
      </c>
      <c r="I25" s="32"/>
      <c r="J25" s="33"/>
      <c r="K25" s="34"/>
      <c r="L25" s="34"/>
      <c r="M25" s="34"/>
      <c r="N25" s="31"/>
      <c r="O25" s="31"/>
      <c r="P25" s="31"/>
      <c r="Q25" s="31"/>
      <c r="R25" s="31"/>
      <c r="S25" s="31"/>
      <c r="T25" s="31"/>
      <c r="U25" s="42"/>
      <c r="V25" s="43"/>
      <c r="W25" s="37"/>
      <c r="X25" s="38" t="s">
        <v>921</v>
      </c>
      <c r="Y25" s="39">
        <v>754603789212</v>
      </c>
      <c r="Z25" s="31"/>
      <c r="AA25" s="31"/>
      <c r="AB25" s="31"/>
      <c r="AC25" s="31"/>
      <c r="AD25" s="31"/>
      <c r="AE25" s="31"/>
      <c r="AF25" s="31"/>
      <c r="AG25" s="31"/>
      <c r="AH25" s="31"/>
      <c r="AI25" s="31"/>
      <c r="AJ25" s="31"/>
      <c r="AK25" s="31"/>
      <c r="AL25" s="31"/>
      <c r="AM25" s="31"/>
      <c r="AN25" s="31"/>
      <c r="AO25" s="31"/>
      <c r="AP25" s="31"/>
      <c r="AQ25" s="31"/>
      <c r="AR25" s="31"/>
      <c r="AS25" s="31"/>
    </row>
    <row r="26" spans="1:45" s="40" customFormat="1">
      <c r="A26" s="26" t="s">
        <v>919</v>
      </c>
      <c r="B26" s="27" t="s">
        <v>72</v>
      </c>
      <c r="C26" s="28" t="s">
        <v>920</v>
      </c>
      <c r="D26" s="29">
        <v>28</v>
      </c>
      <c r="E26" s="30"/>
      <c r="F26" s="31"/>
      <c r="G26" s="31"/>
      <c r="H26" s="27" t="s">
        <v>72</v>
      </c>
      <c r="I26" s="32"/>
      <c r="J26" s="33"/>
      <c r="K26" s="34"/>
      <c r="L26" s="34"/>
      <c r="M26" s="34"/>
      <c r="N26" s="31"/>
      <c r="O26" s="31"/>
      <c r="P26" s="31"/>
      <c r="Q26" s="31"/>
      <c r="R26" s="31"/>
      <c r="S26" s="31"/>
      <c r="T26" s="31"/>
      <c r="U26" s="42"/>
      <c r="V26" s="43"/>
      <c r="W26" s="37"/>
      <c r="X26" s="38" t="s">
        <v>921</v>
      </c>
      <c r="Y26" s="39">
        <v>754603789304</v>
      </c>
      <c r="Z26" s="31"/>
      <c r="AA26" s="31"/>
      <c r="AB26" s="31"/>
      <c r="AC26" s="31"/>
      <c r="AD26" s="31"/>
      <c r="AE26" s="31"/>
      <c r="AF26" s="31"/>
      <c r="AG26" s="31"/>
      <c r="AH26" s="31"/>
      <c r="AI26" s="31"/>
      <c r="AJ26" s="31"/>
      <c r="AK26" s="31"/>
      <c r="AL26" s="31"/>
      <c r="AM26" s="31"/>
      <c r="AN26" s="31"/>
      <c r="AO26" s="31"/>
      <c r="AP26" s="31"/>
      <c r="AQ26" s="31"/>
      <c r="AR26" s="31"/>
      <c r="AS26" s="31"/>
    </row>
    <row r="27" spans="1:45" s="40" customFormat="1">
      <c r="A27" s="26" t="s">
        <v>919</v>
      </c>
      <c r="B27" s="27" t="s">
        <v>17</v>
      </c>
      <c r="C27" s="28" t="s">
        <v>920</v>
      </c>
      <c r="D27" s="29">
        <v>28</v>
      </c>
      <c r="E27" s="30"/>
      <c r="F27" s="31"/>
      <c r="G27" s="31"/>
      <c r="H27" s="27" t="s">
        <v>17</v>
      </c>
      <c r="I27" s="32"/>
      <c r="J27" s="33"/>
      <c r="K27" s="34"/>
      <c r="L27" s="34"/>
      <c r="M27" s="34"/>
      <c r="N27" s="31"/>
      <c r="O27" s="31"/>
      <c r="P27" s="31"/>
      <c r="Q27" s="31"/>
      <c r="R27" s="31"/>
      <c r="S27" s="31"/>
      <c r="T27" s="31"/>
      <c r="U27" s="42"/>
      <c r="V27" s="43"/>
      <c r="W27" s="37"/>
      <c r="X27" s="38" t="s">
        <v>921</v>
      </c>
      <c r="Y27" s="39">
        <v>754603789649</v>
      </c>
      <c r="Z27" s="31"/>
      <c r="AA27" s="31"/>
      <c r="AB27" s="31"/>
      <c r="AC27" s="31"/>
      <c r="AD27" s="31"/>
      <c r="AE27" s="31"/>
      <c r="AF27" s="31"/>
      <c r="AG27" s="31"/>
      <c r="AH27" s="31"/>
      <c r="AI27" s="31"/>
      <c r="AJ27" s="31"/>
      <c r="AK27" s="31"/>
      <c r="AL27" s="31"/>
      <c r="AM27" s="31"/>
      <c r="AN27" s="31"/>
      <c r="AO27" s="31"/>
      <c r="AP27" s="31"/>
      <c r="AQ27" s="31"/>
      <c r="AR27" s="31"/>
      <c r="AS27" s="31"/>
    </row>
    <row r="28" spans="1:45" s="40" customFormat="1">
      <c r="A28" s="26" t="s">
        <v>919</v>
      </c>
      <c r="B28" s="27" t="s">
        <v>73</v>
      </c>
      <c r="C28" s="28" t="s">
        <v>920</v>
      </c>
      <c r="D28" s="29">
        <v>41</v>
      </c>
      <c r="E28" s="30"/>
      <c r="F28" s="31"/>
      <c r="G28" s="31"/>
      <c r="H28" s="27" t="s">
        <v>73</v>
      </c>
      <c r="I28" s="32"/>
      <c r="J28" s="33"/>
      <c r="K28" s="34"/>
      <c r="L28" s="34"/>
      <c r="M28" s="34"/>
      <c r="N28" s="31"/>
      <c r="O28" s="31"/>
      <c r="P28" s="31"/>
      <c r="Q28" s="31"/>
      <c r="R28" s="31"/>
      <c r="S28" s="31"/>
      <c r="T28" s="31"/>
      <c r="U28" s="42"/>
      <c r="V28" s="43"/>
      <c r="W28" s="37"/>
      <c r="X28" s="38" t="s">
        <v>921</v>
      </c>
      <c r="Y28" s="39">
        <v>754603791277</v>
      </c>
      <c r="Z28" s="31"/>
      <c r="AA28" s="31"/>
      <c r="AB28" s="31"/>
      <c r="AC28" s="31"/>
      <c r="AD28" s="31"/>
      <c r="AE28" s="31"/>
      <c r="AF28" s="31"/>
      <c r="AG28" s="31"/>
      <c r="AH28" s="31"/>
      <c r="AI28" s="31"/>
      <c r="AJ28" s="31"/>
      <c r="AK28" s="31"/>
      <c r="AL28" s="31"/>
      <c r="AM28" s="31"/>
      <c r="AN28" s="31"/>
      <c r="AO28" s="31"/>
      <c r="AP28" s="31"/>
      <c r="AQ28" s="31"/>
      <c r="AR28" s="31"/>
      <c r="AS28" s="31"/>
    </row>
    <row r="29" spans="1:45" s="40" customFormat="1">
      <c r="A29" s="26" t="s">
        <v>919</v>
      </c>
      <c r="B29" s="27" t="s">
        <v>5</v>
      </c>
      <c r="C29" s="28" t="s">
        <v>920</v>
      </c>
      <c r="D29" s="29">
        <v>7</v>
      </c>
      <c r="E29" s="30"/>
      <c r="F29" s="31"/>
      <c r="G29" s="31"/>
      <c r="H29" s="27" t="s">
        <v>5</v>
      </c>
      <c r="I29" s="32"/>
      <c r="J29" s="33"/>
      <c r="K29" s="34"/>
      <c r="L29" s="34"/>
      <c r="M29" s="34"/>
      <c r="N29" s="31"/>
      <c r="O29" s="31"/>
      <c r="P29" s="31"/>
      <c r="Q29" s="31"/>
      <c r="R29" s="31"/>
      <c r="S29" s="31"/>
      <c r="T29" s="31"/>
      <c r="U29" s="42"/>
      <c r="V29" s="43"/>
      <c r="W29" s="37"/>
      <c r="X29" s="38" t="s">
        <v>921</v>
      </c>
      <c r="Y29" s="39">
        <v>754603791031</v>
      </c>
      <c r="Z29" s="31"/>
      <c r="AA29" s="31"/>
      <c r="AB29" s="31"/>
      <c r="AC29" s="31"/>
      <c r="AD29" s="31"/>
      <c r="AE29" s="31"/>
      <c r="AF29" s="31"/>
      <c r="AG29" s="31"/>
      <c r="AH29" s="31"/>
      <c r="AI29" s="31"/>
      <c r="AJ29" s="31"/>
      <c r="AK29" s="31"/>
      <c r="AL29" s="31"/>
      <c r="AM29" s="31"/>
      <c r="AN29" s="31"/>
      <c r="AO29" s="31"/>
      <c r="AP29" s="31"/>
      <c r="AQ29" s="31"/>
      <c r="AR29" s="31"/>
      <c r="AS29" s="31"/>
    </row>
    <row r="30" spans="1:45" s="40" customFormat="1">
      <c r="A30" s="26" t="s">
        <v>919</v>
      </c>
      <c r="B30" s="27" t="s">
        <v>74</v>
      </c>
      <c r="C30" s="28" t="s">
        <v>920</v>
      </c>
      <c r="D30" s="29">
        <v>18</v>
      </c>
      <c r="E30" s="30"/>
      <c r="F30" s="31"/>
      <c r="G30" s="31"/>
      <c r="H30" s="27" t="s">
        <v>74</v>
      </c>
      <c r="I30" s="32"/>
      <c r="J30" s="33"/>
      <c r="K30" s="34"/>
      <c r="L30" s="34"/>
      <c r="M30" s="34"/>
      <c r="N30" s="31"/>
      <c r="O30" s="31"/>
      <c r="P30" s="31"/>
      <c r="Q30" s="31"/>
      <c r="R30" s="31"/>
      <c r="S30" s="31"/>
      <c r="T30" s="31"/>
      <c r="U30" s="42"/>
      <c r="V30" s="43"/>
      <c r="W30" s="37"/>
      <c r="X30" s="38" t="s">
        <v>921</v>
      </c>
      <c r="Y30" s="39">
        <v>754603792014</v>
      </c>
      <c r="Z30" s="31"/>
      <c r="AA30" s="31"/>
      <c r="AB30" s="31"/>
      <c r="AC30" s="31"/>
      <c r="AD30" s="31"/>
      <c r="AE30" s="31"/>
      <c r="AF30" s="31"/>
      <c r="AG30" s="31"/>
      <c r="AH30" s="31"/>
      <c r="AI30" s="31"/>
      <c r="AJ30" s="31"/>
      <c r="AK30" s="31"/>
      <c r="AL30" s="31"/>
      <c r="AM30" s="31"/>
      <c r="AN30" s="31"/>
      <c r="AO30" s="31"/>
      <c r="AP30" s="31"/>
      <c r="AQ30" s="31"/>
      <c r="AR30" s="31"/>
      <c r="AS30" s="31"/>
    </row>
    <row r="31" spans="1:45" s="40" customFormat="1">
      <c r="A31" s="26" t="s">
        <v>919</v>
      </c>
      <c r="B31" s="27" t="s">
        <v>75</v>
      </c>
      <c r="C31" s="28" t="s">
        <v>920</v>
      </c>
      <c r="D31" s="29">
        <v>16</v>
      </c>
      <c r="E31" s="30"/>
      <c r="F31" s="31"/>
      <c r="G31" s="31"/>
      <c r="H31" s="27" t="s">
        <v>75</v>
      </c>
      <c r="I31" s="32"/>
      <c r="J31" s="33"/>
      <c r="K31" s="34"/>
      <c r="L31" s="34"/>
      <c r="M31" s="34"/>
      <c r="N31" s="31"/>
      <c r="O31" s="31"/>
      <c r="P31" s="31"/>
      <c r="Q31" s="31"/>
      <c r="R31" s="31"/>
      <c r="S31" s="31"/>
      <c r="T31" s="31"/>
      <c r="U31" s="42"/>
      <c r="V31" s="43"/>
      <c r="W31" s="37"/>
      <c r="X31" s="38" t="s">
        <v>921</v>
      </c>
      <c r="Y31" s="39">
        <v>754603791970</v>
      </c>
      <c r="Z31" s="31"/>
      <c r="AA31" s="31"/>
      <c r="AB31" s="31"/>
      <c r="AC31" s="31"/>
      <c r="AD31" s="31"/>
      <c r="AE31" s="31"/>
      <c r="AF31" s="31"/>
      <c r="AG31" s="31"/>
      <c r="AH31" s="31"/>
      <c r="AI31" s="31"/>
      <c r="AJ31" s="31"/>
      <c r="AK31" s="31"/>
      <c r="AL31" s="31"/>
      <c r="AM31" s="31"/>
      <c r="AN31" s="31"/>
      <c r="AO31" s="31"/>
      <c r="AP31" s="31"/>
      <c r="AQ31" s="31"/>
      <c r="AR31" s="31"/>
      <c r="AS31" s="31"/>
    </row>
    <row r="32" spans="1:45" s="40" customFormat="1">
      <c r="A32" s="26" t="s">
        <v>919</v>
      </c>
      <c r="B32" s="27" t="s">
        <v>76</v>
      </c>
      <c r="C32" s="28" t="s">
        <v>920</v>
      </c>
      <c r="D32" s="29">
        <v>42</v>
      </c>
      <c r="E32" s="30"/>
      <c r="F32" s="31"/>
      <c r="G32" s="31"/>
      <c r="H32" s="27" t="s">
        <v>76</v>
      </c>
      <c r="I32" s="32"/>
      <c r="J32" s="33"/>
      <c r="K32" s="34"/>
      <c r="L32" s="34"/>
      <c r="M32" s="34"/>
      <c r="N32" s="31"/>
      <c r="O32" s="31"/>
      <c r="P32" s="31"/>
      <c r="Q32" s="31"/>
      <c r="R32" s="31"/>
      <c r="S32" s="31"/>
      <c r="T32" s="31"/>
      <c r="U32" s="42"/>
      <c r="V32" s="43"/>
      <c r="W32" s="37"/>
      <c r="X32" s="38" t="s">
        <v>921</v>
      </c>
      <c r="Y32" s="39">
        <v>754603791987</v>
      </c>
      <c r="Z32" s="31"/>
      <c r="AA32" s="31"/>
      <c r="AB32" s="31"/>
      <c r="AC32" s="31"/>
      <c r="AD32" s="31"/>
      <c r="AE32" s="31"/>
      <c r="AF32" s="31"/>
      <c r="AG32" s="31"/>
      <c r="AH32" s="31"/>
      <c r="AI32" s="31"/>
      <c r="AJ32" s="31"/>
      <c r="AK32" s="31"/>
      <c r="AL32" s="31"/>
      <c r="AM32" s="31"/>
      <c r="AN32" s="31"/>
      <c r="AO32" s="31"/>
      <c r="AP32" s="31"/>
      <c r="AQ32" s="31"/>
      <c r="AR32" s="31"/>
      <c r="AS32" s="31"/>
    </row>
    <row r="33" spans="1:45" s="40" customFormat="1">
      <c r="A33" s="26" t="s">
        <v>919</v>
      </c>
      <c r="B33" s="27" t="s">
        <v>927</v>
      </c>
      <c r="C33" s="28" t="s">
        <v>920</v>
      </c>
      <c r="D33" s="29">
        <v>0</v>
      </c>
      <c r="E33" s="30"/>
      <c r="F33" s="31"/>
      <c r="G33" s="31"/>
      <c r="H33" s="27" t="s">
        <v>927</v>
      </c>
      <c r="I33" s="32"/>
      <c r="J33" s="33"/>
      <c r="K33" s="34"/>
      <c r="L33" s="34"/>
      <c r="M33" s="34"/>
      <c r="N33" s="31"/>
      <c r="O33" s="31"/>
      <c r="P33" s="31"/>
      <c r="Q33" s="31"/>
      <c r="R33" s="31"/>
      <c r="S33" s="31"/>
      <c r="T33" s="31"/>
      <c r="U33" s="42"/>
      <c r="V33" s="43"/>
      <c r="W33" s="37"/>
      <c r="X33" s="38" t="s">
        <v>921</v>
      </c>
      <c r="Y33" s="39">
        <v>754603791918</v>
      </c>
      <c r="Z33" s="31"/>
      <c r="AA33" s="31"/>
      <c r="AB33" s="31"/>
      <c r="AC33" s="31"/>
      <c r="AD33" s="31"/>
      <c r="AE33" s="31"/>
      <c r="AF33" s="31"/>
      <c r="AG33" s="31"/>
      <c r="AH33" s="31"/>
      <c r="AI33" s="31"/>
      <c r="AJ33" s="31"/>
      <c r="AK33" s="31"/>
      <c r="AL33" s="31"/>
      <c r="AM33" s="31"/>
      <c r="AN33" s="31"/>
      <c r="AO33" s="31"/>
      <c r="AP33" s="31"/>
      <c r="AQ33" s="31"/>
      <c r="AR33" s="31"/>
      <c r="AS33" s="31"/>
    </row>
    <row r="34" spans="1:45" s="40" customFormat="1">
      <c r="A34" s="26" t="s">
        <v>919</v>
      </c>
      <c r="B34" s="27" t="s">
        <v>77</v>
      </c>
      <c r="C34" s="28" t="s">
        <v>920</v>
      </c>
      <c r="D34" s="29">
        <v>28</v>
      </c>
      <c r="E34" s="30"/>
      <c r="F34" s="31"/>
      <c r="G34" s="31"/>
      <c r="H34" s="27" t="s">
        <v>77</v>
      </c>
      <c r="I34" s="32"/>
      <c r="J34" s="33"/>
      <c r="K34" s="34"/>
      <c r="L34" s="34"/>
      <c r="M34" s="34"/>
      <c r="N34" s="31"/>
      <c r="O34" s="31"/>
      <c r="P34" s="31"/>
      <c r="Q34" s="31"/>
      <c r="R34" s="31"/>
      <c r="S34" s="31"/>
      <c r="T34" s="31"/>
      <c r="U34" s="42"/>
      <c r="V34" s="43"/>
      <c r="W34" s="37"/>
      <c r="X34" s="38" t="s">
        <v>921</v>
      </c>
      <c r="Y34" s="39">
        <v>754603791727</v>
      </c>
      <c r="Z34" s="31"/>
      <c r="AA34" s="31"/>
      <c r="AB34" s="31"/>
      <c r="AC34" s="31"/>
      <c r="AD34" s="31"/>
      <c r="AE34" s="31"/>
      <c r="AF34" s="31"/>
      <c r="AG34" s="31"/>
      <c r="AH34" s="31"/>
      <c r="AI34" s="31"/>
      <c r="AJ34" s="31"/>
      <c r="AK34" s="31"/>
      <c r="AL34" s="31"/>
      <c r="AM34" s="31"/>
      <c r="AN34" s="31"/>
      <c r="AO34" s="31"/>
      <c r="AP34" s="31"/>
      <c r="AQ34" s="31"/>
      <c r="AR34" s="31"/>
      <c r="AS34" s="31"/>
    </row>
    <row r="35" spans="1:45" s="40" customFormat="1">
      <c r="A35" s="26" t="s">
        <v>919</v>
      </c>
      <c r="B35" s="27" t="s">
        <v>78</v>
      </c>
      <c r="C35" s="28" t="s">
        <v>920</v>
      </c>
      <c r="D35" s="29">
        <v>17</v>
      </c>
      <c r="E35" s="30"/>
      <c r="F35" s="31"/>
      <c r="G35" s="31"/>
      <c r="H35" s="27" t="s">
        <v>78</v>
      </c>
      <c r="I35" s="32"/>
      <c r="J35" s="33"/>
      <c r="K35" s="34"/>
      <c r="L35" s="34"/>
      <c r="M35" s="34"/>
      <c r="N35" s="31"/>
      <c r="O35" s="31"/>
      <c r="P35" s="31"/>
      <c r="Q35" s="31"/>
      <c r="R35" s="31"/>
      <c r="S35" s="31"/>
      <c r="T35" s="31"/>
      <c r="U35" s="42"/>
      <c r="V35" s="43"/>
      <c r="W35" s="37"/>
      <c r="X35" s="38" t="s">
        <v>921</v>
      </c>
      <c r="Y35" s="39">
        <v>754603791482</v>
      </c>
      <c r="Z35" s="31"/>
      <c r="AA35" s="31"/>
      <c r="AB35" s="31"/>
      <c r="AC35" s="31"/>
      <c r="AD35" s="31"/>
      <c r="AE35" s="31"/>
      <c r="AF35" s="31"/>
      <c r="AG35" s="31"/>
      <c r="AH35" s="31"/>
      <c r="AI35" s="31"/>
      <c r="AJ35" s="31"/>
      <c r="AK35" s="31"/>
      <c r="AL35" s="31"/>
      <c r="AM35" s="31"/>
      <c r="AN35" s="31"/>
      <c r="AO35" s="31"/>
      <c r="AP35" s="31"/>
      <c r="AQ35" s="31"/>
      <c r="AR35" s="31"/>
      <c r="AS35" s="31"/>
    </row>
    <row r="36" spans="1:45" s="40" customFormat="1">
      <c r="A36" s="26" t="s">
        <v>919</v>
      </c>
      <c r="B36" s="27" t="s">
        <v>928</v>
      </c>
      <c r="C36" s="28" t="s">
        <v>920</v>
      </c>
      <c r="D36" s="29">
        <v>1</v>
      </c>
      <c r="E36" s="30"/>
      <c r="F36" s="31"/>
      <c r="G36" s="31"/>
      <c r="H36" s="27" t="s">
        <v>928</v>
      </c>
      <c r="I36" s="32"/>
      <c r="J36" s="33"/>
      <c r="K36" s="34"/>
      <c r="L36" s="34"/>
      <c r="M36" s="34"/>
      <c r="N36" s="31"/>
      <c r="O36" s="31"/>
      <c r="P36" s="31"/>
      <c r="Q36" s="31"/>
      <c r="R36" s="31"/>
      <c r="S36" s="31"/>
      <c r="T36" s="31"/>
      <c r="U36" s="42"/>
      <c r="V36" s="43"/>
      <c r="W36" s="37"/>
      <c r="X36" s="38" t="s">
        <v>921</v>
      </c>
      <c r="Y36" s="39">
        <v>754603791581</v>
      </c>
      <c r="Z36" s="31"/>
      <c r="AA36" s="31"/>
      <c r="AB36" s="31"/>
      <c r="AC36" s="31"/>
      <c r="AD36" s="31"/>
      <c r="AE36" s="31"/>
      <c r="AF36" s="31"/>
      <c r="AG36" s="31"/>
      <c r="AH36" s="31"/>
      <c r="AI36" s="31"/>
      <c r="AJ36" s="31"/>
      <c r="AK36" s="31"/>
      <c r="AL36" s="31"/>
      <c r="AM36" s="31"/>
      <c r="AN36" s="31"/>
      <c r="AO36" s="31"/>
      <c r="AP36" s="31"/>
      <c r="AQ36" s="31"/>
      <c r="AR36" s="31"/>
      <c r="AS36" s="31"/>
    </row>
    <row r="37" spans="1:45" s="40" customFormat="1">
      <c r="A37" s="26" t="s">
        <v>919</v>
      </c>
      <c r="B37" s="27" t="s">
        <v>929</v>
      </c>
      <c r="C37" s="28" t="s">
        <v>920</v>
      </c>
      <c r="D37" s="29">
        <v>0</v>
      </c>
      <c r="E37" s="30"/>
      <c r="F37" s="31"/>
      <c r="G37" s="31"/>
      <c r="H37" s="27" t="s">
        <v>929</v>
      </c>
      <c r="I37" s="32"/>
      <c r="J37" s="33"/>
      <c r="K37" s="34"/>
      <c r="L37" s="34"/>
      <c r="M37" s="34"/>
      <c r="N37" s="31"/>
      <c r="O37" s="31"/>
      <c r="P37" s="31"/>
      <c r="Q37" s="31"/>
      <c r="R37" s="31"/>
      <c r="S37" s="31"/>
      <c r="T37" s="31"/>
      <c r="U37" s="42"/>
      <c r="V37" s="43"/>
      <c r="W37" s="37"/>
      <c r="X37" s="38" t="s">
        <v>921</v>
      </c>
      <c r="Y37" s="39">
        <v>754603791833</v>
      </c>
      <c r="Z37" s="31"/>
      <c r="AA37" s="31"/>
      <c r="AB37" s="31"/>
      <c r="AC37" s="31"/>
      <c r="AD37" s="31"/>
      <c r="AE37" s="31"/>
      <c r="AF37" s="31"/>
      <c r="AG37" s="31"/>
      <c r="AH37" s="31"/>
      <c r="AI37" s="31"/>
      <c r="AJ37" s="31"/>
      <c r="AK37" s="31"/>
      <c r="AL37" s="31"/>
      <c r="AM37" s="31"/>
      <c r="AN37" s="31"/>
      <c r="AO37" s="31"/>
      <c r="AP37" s="31"/>
      <c r="AQ37" s="31"/>
      <c r="AR37" s="31"/>
      <c r="AS37" s="31"/>
    </row>
    <row r="38" spans="1:45" s="40" customFormat="1">
      <c r="A38" s="26" t="s">
        <v>919</v>
      </c>
      <c r="B38" s="27" t="s">
        <v>14</v>
      </c>
      <c r="C38" s="28" t="s">
        <v>920</v>
      </c>
      <c r="D38" s="29">
        <v>16</v>
      </c>
      <c r="E38" s="30"/>
      <c r="F38" s="31"/>
      <c r="G38" s="31"/>
      <c r="H38" s="27" t="s">
        <v>14</v>
      </c>
      <c r="I38" s="32"/>
      <c r="J38" s="33"/>
      <c r="K38" s="34"/>
      <c r="L38" s="34"/>
      <c r="M38" s="34"/>
      <c r="N38" s="31"/>
      <c r="O38" s="31"/>
      <c r="P38" s="31"/>
      <c r="Q38" s="31"/>
      <c r="R38" s="31"/>
      <c r="S38" s="31"/>
      <c r="T38" s="31"/>
      <c r="U38" s="42"/>
      <c r="V38" s="43"/>
      <c r="W38" s="37"/>
      <c r="X38" s="38" t="s">
        <v>921</v>
      </c>
      <c r="Y38" s="39">
        <v>754603791314</v>
      </c>
      <c r="Z38" s="31"/>
      <c r="AA38" s="31"/>
      <c r="AB38" s="31"/>
      <c r="AC38" s="31"/>
      <c r="AD38" s="31"/>
      <c r="AE38" s="31"/>
      <c r="AF38" s="31"/>
      <c r="AG38" s="31"/>
      <c r="AH38" s="31"/>
      <c r="AI38" s="31"/>
      <c r="AJ38" s="31"/>
      <c r="AK38" s="31"/>
      <c r="AL38" s="31"/>
      <c r="AM38" s="31"/>
      <c r="AN38" s="31"/>
      <c r="AO38" s="31"/>
      <c r="AP38" s="31"/>
      <c r="AQ38" s="31"/>
      <c r="AR38" s="31"/>
      <c r="AS38" s="31"/>
    </row>
    <row r="39" spans="1:45" s="40" customFormat="1">
      <c r="A39" s="26" t="s">
        <v>919</v>
      </c>
      <c r="B39" s="27" t="s">
        <v>79</v>
      </c>
      <c r="C39" s="28" t="s">
        <v>920</v>
      </c>
      <c r="D39" s="29">
        <v>2</v>
      </c>
      <c r="E39" s="30"/>
      <c r="F39" s="31"/>
      <c r="G39" s="31"/>
      <c r="H39" s="27" t="s">
        <v>79</v>
      </c>
      <c r="I39" s="32"/>
      <c r="J39" s="33"/>
      <c r="K39" s="34"/>
      <c r="L39" s="34"/>
      <c r="M39" s="34"/>
      <c r="N39" s="31"/>
      <c r="O39" s="31"/>
      <c r="P39" s="31"/>
      <c r="Q39" s="31"/>
      <c r="R39" s="31"/>
      <c r="S39" s="31"/>
      <c r="T39" s="31"/>
      <c r="U39" s="42"/>
      <c r="V39" s="43"/>
      <c r="W39" s="37"/>
      <c r="X39" s="38" t="s">
        <v>921</v>
      </c>
      <c r="Y39" s="39">
        <v>754603791574</v>
      </c>
      <c r="Z39" s="31"/>
      <c r="AA39" s="31"/>
      <c r="AB39" s="31"/>
      <c r="AC39" s="31"/>
      <c r="AD39" s="31"/>
      <c r="AE39" s="31"/>
      <c r="AF39" s="31"/>
      <c r="AG39" s="31"/>
      <c r="AH39" s="31"/>
      <c r="AI39" s="31"/>
      <c r="AJ39" s="31"/>
      <c r="AK39" s="31"/>
      <c r="AL39" s="31"/>
      <c r="AM39" s="31"/>
      <c r="AN39" s="31"/>
      <c r="AO39" s="31"/>
      <c r="AP39" s="31"/>
      <c r="AQ39" s="31"/>
      <c r="AR39" s="31"/>
      <c r="AS39" s="31"/>
    </row>
    <row r="40" spans="1:45" s="40" customFormat="1">
      <c r="A40" s="26" t="s">
        <v>919</v>
      </c>
      <c r="B40" s="27" t="s">
        <v>80</v>
      </c>
      <c r="C40" s="28" t="s">
        <v>920</v>
      </c>
      <c r="D40" s="29">
        <v>25</v>
      </c>
      <c r="E40" s="30"/>
      <c r="F40" s="31"/>
      <c r="G40" s="31"/>
      <c r="H40" s="27" t="s">
        <v>80</v>
      </c>
      <c r="I40" s="32"/>
      <c r="J40" s="33"/>
      <c r="K40" s="34"/>
      <c r="L40" s="34"/>
      <c r="M40" s="34"/>
      <c r="N40" s="31"/>
      <c r="O40" s="31"/>
      <c r="P40" s="31"/>
      <c r="Q40" s="31"/>
      <c r="R40" s="31"/>
      <c r="S40" s="31"/>
      <c r="T40" s="31"/>
      <c r="U40" s="42"/>
      <c r="V40" s="43"/>
      <c r="W40" s="37"/>
      <c r="X40" s="38" t="s">
        <v>921</v>
      </c>
      <c r="Y40" s="39">
        <v>754603791109</v>
      </c>
      <c r="Z40" s="31"/>
      <c r="AA40" s="31"/>
      <c r="AB40" s="31"/>
      <c r="AC40" s="31"/>
      <c r="AD40" s="31"/>
      <c r="AE40" s="31"/>
      <c r="AF40" s="31"/>
      <c r="AG40" s="31"/>
      <c r="AH40" s="31"/>
      <c r="AI40" s="31"/>
      <c r="AJ40" s="31"/>
      <c r="AK40" s="31"/>
      <c r="AL40" s="31"/>
      <c r="AM40" s="31"/>
      <c r="AN40" s="31"/>
      <c r="AO40" s="31"/>
      <c r="AP40" s="31"/>
      <c r="AQ40" s="31"/>
      <c r="AR40" s="31"/>
      <c r="AS40" s="31"/>
    </row>
    <row r="41" spans="1:45" s="40" customFormat="1">
      <c r="A41" s="26" t="s">
        <v>919</v>
      </c>
      <c r="B41" s="27" t="s">
        <v>81</v>
      </c>
      <c r="C41" s="28" t="s">
        <v>920</v>
      </c>
      <c r="D41" s="29">
        <v>14</v>
      </c>
      <c r="E41" s="30"/>
      <c r="F41" s="31"/>
      <c r="G41" s="31"/>
      <c r="H41" s="27" t="s">
        <v>81</v>
      </c>
      <c r="I41" s="32"/>
      <c r="J41" s="33"/>
      <c r="K41" s="34"/>
      <c r="L41" s="34"/>
      <c r="M41" s="34"/>
      <c r="N41" s="31"/>
      <c r="O41" s="31"/>
      <c r="P41" s="31"/>
      <c r="Q41" s="31"/>
      <c r="R41" s="31"/>
      <c r="S41" s="31"/>
      <c r="T41" s="31"/>
      <c r="U41" s="42"/>
      <c r="V41" s="43"/>
      <c r="W41" s="37"/>
      <c r="X41" s="38" t="s">
        <v>921</v>
      </c>
      <c r="Y41" s="39">
        <v>754603791529</v>
      </c>
      <c r="Z41" s="31"/>
      <c r="AA41" s="31"/>
      <c r="AB41" s="31"/>
      <c r="AC41" s="31"/>
      <c r="AD41" s="31"/>
      <c r="AE41" s="31"/>
      <c r="AF41" s="31"/>
      <c r="AG41" s="31"/>
      <c r="AH41" s="31"/>
      <c r="AI41" s="31"/>
      <c r="AJ41" s="31"/>
      <c r="AK41" s="31"/>
      <c r="AL41" s="31"/>
      <c r="AM41" s="31"/>
      <c r="AN41" s="31"/>
      <c r="AO41" s="31"/>
      <c r="AP41" s="31"/>
      <c r="AQ41" s="31"/>
      <c r="AR41" s="31"/>
      <c r="AS41" s="31"/>
    </row>
    <row r="42" spans="1:45" s="40" customFormat="1">
      <c r="A42" s="26" t="s">
        <v>919</v>
      </c>
      <c r="B42" s="27" t="s">
        <v>41</v>
      </c>
      <c r="C42" s="28" t="s">
        <v>920</v>
      </c>
      <c r="D42" s="29">
        <v>41</v>
      </c>
      <c r="E42" s="30"/>
      <c r="F42" s="31"/>
      <c r="G42" s="31"/>
      <c r="H42" s="27" t="s">
        <v>41</v>
      </c>
      <c r="I42" s="32"/>
      <c r="J42" s="33"/>
      <c r="K42" s="34"/>
      <c r="L42" s="34"/>
      <c r="M42" s="34"/>
      <c r="N42" s="31"/>
      <c r="O42" s="31"/>
      <c r="P42" s="31"/>
      <c r="Q42" s="31"/>
      <c r="R42" s="31"/>
      <c r="S42" s="31"/>
      <c r="T42" s="31"/>
      <c r="U42" s="42"/>
      <c r="V42" s="43"/>
      <c r="W42" s="37"/>
      <c r="X42" s="38" t="s">
        <v>921</v>
      </c>
      <c r="Y42" s="39">
        <v>754603791840</v>
      </c>
      <c r="Z42" s="31"/>
      <c r="AA42" s="31"/>
      <c r="AB42" s="31"/>
      <c r="AC42" s="31"/>
      <c r="AD42" s="31"/>
      <c r="AE42" s="31"/>
      <c r="AF42" s="31"/>
      <c r="AG42" s="31"/>
      <c r="AH42" s="31"/>
      <c r="AI42" s="31"/>
      <c r="AJ42" s="31"/>
      <c r="AK42" s="31"/>
      <c r="AL42" s="31"/>
      <c r="AM42" s="31"/>
      <c r="AN42" s="31"/>
      <c r="AO42" s="31"/>
      <c r="AP42" s="31"/>
      <c r="AQ42" s="31"/>
      <c r="AR42" s="31"/>
      <c r="AS42" s="31"/>
    </row>
    <row r="43" spans="1:45" s="40" customFormat="1">
      <c r="A43" s="26" t="s">
        <v>919</v>
      </c>
      <c r="B43" s="27" t="s">
        <v>82</v>
      </c>
      <c r="C43" s="28" t="s">
        <v>920</v>
      </c>
      <c r="D43" s="29">
        <v>8</v>
      </c>
      <c r="E43" s="30"/>
      <c r="F43" s="31"/>
      <c r="G43" s="31"/>
      <c r="H43" s="27" t="s">
        <v>82</v>
      </c>
      <c r="I43" s="32"/>
      <c r="J43" s="33"/>
      <c r="K43" s="34"/>
      <c r="L43" s="34"/>
      <c r="M43" s="34"/>
      <c r="N43" s="31"/>
      <c r="O43" s="31"/>
      <c r="P43" s="31"/>
      <c r="Q43" s="31"/>
      <c r="R43" s="31"/>
      <c r="S43" s="31"/>
      <c r="T43" s="31"/>
      <c r="U43" s="42"/>
      <c r="V43" s="43"/>
      <c r="W43" s="37"/>
      <c r="X43" s="38" t="s">
        <v>921</v>
      </c>
      <c r="Y43" s="39">
        <v>754603791345</v>
      </c>
      <c r="Z43" s="31"/>
      <c r="AA43" s="31"/>
      <c r="AB43" s="31"/>
      <c r="AC43" s="31"/>
      <c r="AD43" s="31"/>
      <c r="AE43" s="31"/>
      <c r="AF43" s="31"/>
      <c r="AG43" s="31"/>
      <c r="AH43" s="31"/>
      <c r="AI43" s="31"/>
      <c r="AJ43" s="31"/>
      <c r="AK43" s="31"/>
      <c r="AL43" s="31"/>
      <c r="AM43" s="31"/>
      <c r="AN43" s="31"/>
      <c r="AO43" s="31"/>
      <c r="AP43" s="31"/>
      <c r="AQ43" s="31"/>
      <c r="AR43" s="31"/>
      <c r="AS43" s="31"/>
    </row>
    <row r="44" spans="1:45" s="40" customFormat="1">
      <c r="A44" s="26" t="s">
        <v>919</v>
      </c>
      <c r="B44" s="27" t="s">
        <v>83</v>
      </c>
      <c r="C44" s="28" t="s">
        <v>920</v>
      </c>
      <c r="D44" s="29">
        <v>22</v>
      </c>
      <c r="E44" s="30"/>
      <c r="F44" s="31"/>
      <c r="G44" s="31"/>
      <c r="H44" s="27" t="s">
        <v>83</v>
      </c>
      <c r="I44" s="32"/>
      <c r="J44" s="33"/>
      <c r="K44" s="34"/>
      <c r="L44" s="34"/>
      <c r="M44" s="34"/>
      <c r="N44" s="31"/>
      <c r="O44" s="31"/>
      <c r="P44" s="31"/>
      <c r="Q44" s="31"/>
      <c r="R44" s="31"/>
      <c r="S44" s="31"/>
      <c r="T44" s="31"/>
      <c r="U44" s="42"/>
      <c r="V44" s="43"/>
      <c r="W44" s="37"/>
      <c r="X44" s="38" t="s">
        <v>921</v>
      </c>
      <c r="Y44" s="39">
        <v>754603791888</v>
      </c>
      <c r="Z44" s="31"/>
      <c r="AA44" s="31"/>
      <c r="AB44" s="31"/>
      <c r="AC44" s="31"/>
      <c r="AD44" s="31"/>
      <c r="AE44" s="31"/>
      <c r="AF44" s="31"/>
      <c r="AG44" s="31"/>
      <c r="AH44" s="31"/>
      <c r="AI44" s="31"/>
      <c r="AJ44" s="31"/>
      <c r="AK44" s="31"/>
      <c r="AL44" s="31"/>
      <c r="AM44" s="31"/>
      <c r="AN44" s="31"/>
      <c r="AO44" s="31"/>
      <c r="AP44" s="31"/>
      <c r="AQ44" s="31"/>
      <c r="AR44" s="31"/>
      <c r="AS44" s="31"/>
    </row>
    <row r="45" spans="1:45" s="40" customFormat="1">
      <c r="A45" s="26" t="s">
        <v>919</v>
      </c>
      <c r="B45" s="27" t="s">
        <v>22</v>
      </c>
      <c r="C45" s="28" t="s">
        <v>920</v>
      </c>
      <c r="D45" s="29">
        <v>31</v>
      </c>
      <c r="E45" s="30"/>
      <c r="F45" s="31"/>
      <c r="G45" s="31"/>
      <c r="H45" s="27" t="s">
        <v>22</v>
      </c>
      <c r="I45" s="32"/>
      <c r="J45" s="33"/>
      <c r="K45" s="34"/>
      <c r="L45" s="34"/>
      <c r="M45" s="34"/>
      <c r="N45" s="31"/>
      <c r="O45" s="31"/>
      <c r="P45" s="31"/>
      <c r="Q45" s="31"/>
      <c r="R45" s="31"/>
      <c r="S45" s="31"/>
      <c r="T45" s="31"/>
      <c r="U45" s="42"/>
      <c r="V45" s="43"/>
      <c r="W45" s="37"/>
      <c r="X45" s="38" t="s">
        <v>921</v>
      </c>
      <c r="Y45" s="39">
        <v>754603792182</v>
      </c>
      <c r="Z45" s="31"/>
      <c r="AA45" s="31"/>
      <c r="AB45" s="31"/>
      <c r="AC45" s="31"/>
      <c r="AD45" s="31"/>
      <c r="AE45" s="31"/>
      <c r="AF45" s="31"/>
      <c r="AG45" s="31"/>
      <c r="AH45" s="31"/>
      <c r="AI45" s="31"/>
      <c r="AJ45" s="31"/>
      <c r="AK45" s="31"/>
      <c r="AL45" s="31"/>
      <c r="AM45" s="31"/>
      <c r="AN45" s="31"/>
      <c r="AO45" s="31"/>
      <c r="AP45" s="31"/>
      <c r="AQ45" s="31"/>
      <c r="AR45" s="31"/>
      <c r="AS45" s="31"/>
    </row>
    <row r="46" spans="1:45" s="40" customFormat="1">
      <c r="A46" s="26" t="s">
        <v>919</v>
      </c>
      <c r="B46" s="27" t="s">
        <v>84</v>
      </c>
      <c r="C46" s="28" t="s">
        <v>920</v>
      </c>
      <c r="D46" s="29">
        <v>24</v>
      </c>
      <c r="E46" s="30"/>
      <c r="F46" s="31"/>
      <c r="G46" s="31"/>
      <c r="H46" s="27" t="s">
        <v>84</v>
      </c>
      <c r="I46" s="32"/>
      <c r="J46" s="33"/>
      <c r="K46" s="34"/>
      <c r="L46" s="34"/>
      <c r="M46" s="34"/>
      <c r="N46" s="31"/>
      <c r="O46" s="31"/>
      <c r="P46" s="31"/>
      <c r="Q46" s="31"/>
      <c r="R46" s="31"/>
      <c r="S46" s="31"/>
      <c r="T46" s="31"/>
      <c r="U46" s="42"/>
      <c r="V46" s="43"/>
      <c r="W46" s="37"/>
      <c r="X46" s="38" t="s">
        <v>921</v>
      </c>
      <c r="Y46" s="39">
        <v>754603791567</v>
      </c>
      <c r="Z46" s="31"/>
      <c r="AA46" s="31"/>
      <c r="AB46" s="31"/>
      <c r="AC46" s="31"/>
      <c r="AD46" s="31"/>
      <c r="AE46" s="31"/>
      <c r="AF46" s="31"/>
      <c r="AG46" s="31"/>
      <c r="AH46" s="31"/>
      <c r="AI46" s="31"/>
      <c r="AJ46" s="31"/>
      <c r="AK46" s="31"/>
      <c r="AL46" s="31"/>
      <c r="AM46" s="31"/>
      <c r="AN46" s="31"/>
      <c r="AO46" s="31"/>
      <c r="AP46" s="31"/>
      <c r="AQ46" s="31"/>
      <c r="AR46" s="31"/>
      <c r="AS46" s="31"/>
    </row>
    <row r="47" spans="1:45" s="40" customFormat="1">
      <c r="A47" s="26" t="s">
        <v>919</v>
      </c>
      <c r="B47" s="27" t="s">
        <v>85</v>
      </c>
      <c r="C47" s="28" t="s">
        <v>920</v>
      </c>
      <c r="D47" s="29">
        <v>44</v>
      </c>
      <c r="E47" s="30"/>
      <c r="F47" s="31"/>
      <c r="G47" s="31"/>
      <c r="H47" s="27" t="s">
        <v>85</v>
      </c>
      <c r="I47" s="32"/>
      <c r="J47" s="33"/>
      <c r="K47" s="34"/>
      <c r="L47" s="34"/>
      <c r="M47" s="34"/>
      <c r="N47" s="31"/>
      <c r="O47" s="31"/>
      <c r="P47" s="31"/>
      <c r="Q47" s="31"/>
      <c r="R47" s="31"/>
      <c r="S47" s="31"/>
      <c r="T47" s="31"/>
      <c r="U47" s="42"/>
      <c r="V47" s="43"/>
      <c r="W47" s="37"/>
      <c r="X47" s="38" t="s">
        <v>921</v>
      </c>
      <c r="Y47" s="39">
        <v>754603791949</v>
      </c>
      <c r="Z47" s="31"/>
      <c r="AA47" s="31"/>
      <c r="AB47" s="31"/>
      <c r="AC47" s="31"/>
      <c r="AD47" s="31"/>
      <c r="AE47" s="31"/>
      <c r="AF47" s="31"/>
      <c r="AG47" s="31"/>
      <c r="AH47" s="31"/>
      <c r="AI47" s="31"/>
      <c r="AJ47" s="31"/>
      <c r="AK47" s="31"/>
      <c r="AL47" s="31"/>
      <c r="AM47" s="31"/>
      <c r="AN47" s="31"/>
      <c r="AO47" s="31"/>
      <c r="AP47" s="31"/>
      <c r="AQ47" s="31"/>
      <c r="AR47" s="31"/>
      <c r="AS47" s="31"/>
    </row>
    <row r="48" spans="1:45" s="40" customFormat="1">
      <c r="A48" s="26" t="s">
        <v>919</v>
      </c>
      <c r="B48" s="27" t="s">
        <v>86</v>
      </c>
      <c r="C48" s="28" t="s">
        <v>920</v>
      </c>
      <c r="D48" s="29">
        <v>26</v>
      </c>
      <c r="E48" s="30"/>
      <c r="F48" s="31"/>
      <c r="G48" s="31"/>
      <c r="H48" s="27" t="s">
        <v>86</v>
      </c>
      <c r="I48" s="32"/>
      <c r="J48" s="33"/>
      <c r="K48" s="34"/>
      <c r="L48" s="34"/>
      <c r="M48" s="34"/>
      <c r="N48" s="31"/>
      <c r="O48" s="31"/>
      <c r="P48" s="31"/>
      <c r="Q48" s="31"/>
      <c r="R48" s="31"/>
      <c r="S48" s="31"/>
      <c r="T48" s="31"/>
      <c r="U48" s="42"/>
      <c r="V48" s="43"/>
      <c r="W48" s="37"/>
      <c r="X48" s="38" t="s">
        <v>921</v>
      </c>
      <c r="Y48" s="39">
        <v>754603791215</v>
      </c>
      <c r="Z48" s="31"/>
      <c r="AA48" s="31"/>
      <c r="AB48" s="31"/>
      <c r="AC48" s="31"/>
      <c r="AD48" s="31"/>
      <c r="AE48" s="31"/>
      <c r="AF48" s="31"/>
      <c r="AG48" s="31"/>
      <c r="AH48" s="31"/>
      <c r="AI48" s="31"/>
      <c r="AJ48" s="31"/>
      <c r="AK48" s="31"/>
      <c r="AL48" s="31"/>
      <c r="AM48" s="31"/>
      <c r="AN48" s="31"/>
      <c r="AO48" s="31"/>
      <c r="AP48" s="31"/>
      <c r="AQ48" s="31"/>
      <c r="AR48" s="31"/>
      <c r="AS48" s="31"/>
    </row>
    <row r="49" spans="1:45" s="40" customFormat="1">
      <c r="A49" s="26" t="s">
        <v>919</v>
      </c>
      <c r="B49" s="27" t="s">
        <v>87</v>
      </c>
      <c r="C49" s="28" t="s">
        <v>920</v>
      </c>
      <c r="D49" s="29">
        <v>23</v>
      </c>
      <c r="E49" s="30"/>
      <c r="F49" s="31"/>
      <c r="G49" s="31"/>
      <c r="H49" s="27" t="s">
        <v>87</v>
      </c>
      <c r="I49" s="32"/>
      <c r="J49" s="33"/>
      <c r="K49" s="34"/>
      <c r="L49" s="34"/>
      <c r="M49" s="34"/>
      <c r="N49" s="31"/>
      <c r="O49" s="31"/>
      <c r="P49" s="31"/>
      <c r="Q49" s="31"/>
      <c r="R49" s="31"/>
      <c r="S49" s="31"/>
      <c r="T49" s="31"/>
      <c r="U49" s="42"/>
      <c r="V49" s="43"/>
      <c r="W49" s="37"/>
      <c r="X49" s="38" t="s">
        <v>921</v>
      </c>
      <c r="Y49" s="39">
        <v>754603791321</v>
      </c>
      <c r="Z49" s="31"/>
      <c r="AA49" s="31"/>
      <c r="AB49" s="31"/>
      <c r="AC49" s="31"/>
      <c r="AD49" s="31"/>
      <c r="AE49" s="31"/>
      <c r="AF49" s="31"/>
      <c r="AG49" s="31"/>
      <c r="AH49" s="31"/>
      <c r="AI49" s="31"/>
      <c r="AJ49" s="31"/>
      <c r="AK49" s="31"/>
      <c r="AL49" s="31"/>
      <c r="AM49" s="31"/>
      <c r="AN49" s="31"/>
      <c r="AO49" s="31"/>
      <c r="AP49" s="31"/>
      <c r="AQ49" s="31"/>
      <c r="AR49" s="31"/>
      <c r="AS49" s="31"/>
    </row>
    <row r="50" spans="1:45" s="40" customFormat="1">
      <c r="A50" s="26" t="s">
        <v>919</v>
      </c>
      <c r="B50" s="27" t="s">
        <v>16</v>
      </c>
      <c r="C50" s="28" t="s">
        <v>920</v>
      </c>
      <c r="D50" s="29">
        <v>22</v>
      </c>
      <c r="E50" s="30"/>
      <c r="F50" s="31"/>
      <c r="G50" s="31"/>
      <c r="H50" s="27" t="s">
        <v>16</v>
      </c>
      <c r="I50" s="32"/>
      <c r="J50" s="33"/>
      <c r="K50" s="34"/>
      <c r="L50" s="34"/>
      <c r="M50" s="34"/>
      <c r="N50" s="31"/>
      <c r="O50" s="31"/>
      <c r="P50" s="31"/>
      <c r="Q50" s="31"/>
      <c r="R50" s="31"/>
      <c r="S50" s="31"/>
      <c r="T50" s="31"/>
      <c r="U50" s="42"/>
      <c r="V50" s="43"/>
      <c r="W50" s="37"/>
      <c r="X50" s="38" t="s">
        <v>921</v>
      </c>
      <c r="Y50" s="39">
        <v>754603791710</v>
      </c>
      <c r="Z50" s="31"/>
      <c r="AA50" s="31"/>
      <c r="AB50" s="31"/>
      <c r="AC50" s="31"/>
      <c r="AD50" s="31"/>
      <c r="AE50" s="31"/>
      <c r="AF50" s="31"/>
      <c r="AG50" s="31"/>
      <c r="AH50" s="31"/>
      <c r="AI50" s="31"/>
      <c r="AJ50" s="31"/>
      <c r="AK50" s="31"/>
      <c r="AL50" s="31"/>
      <c r="AM50" s="31"/>
      <c r="AN50" s="31"/>
      <c r="AO50" s="31"/>
      <c r="AP50" s="31"/>
      <c r="AQ50" s="31"/>
      <c r="AR50" s="31"/>
      <c r="AS50" s="31"/>
    </row>
    <row r="51" spans="1:45" s="40" customFormat="1">
      <c r="A51" s="26" t="s">
        <v>919</v>
      </c>
      <c r="B51" s="27" t="s">
        <v>88</v>
      </c>
      <c r="C51" s="28" t="s">
        <v>920</v>
      </c>
      <c r="D51" s="29">
        <v>0</v>
      </c>
      <c r="E51" s="30"/>
      <c r="F51" s="31"/>
      <c r="G51" s="31"/>
      <c r="H51" s="27" t="s">
        <v>88</v>
      </c>
      <c r="I51" s="32"/>
      <c r="J51" s="33"/>
      <c r="K51" s="34"/>
      <c r="L51" s="34"/>
      <c r="M51" s="34"/>
      <c r="N51" s="31"/>
      <c r="O51" s="31"/>
      <c r="P51" s="31"/>
      <c r="Q51" s="31"/>
      <c r="R51" s="31"/>
      <c r="S51" s="31"/>
      <c r="T51" s="31"/>
      <c r="U51" s="42"/>
      <c r="V51" s="43"/>
      <c r="W51" s="37"/>
      <c r="X51" s="38" t="s">
        <v>921</v>
      </c>
      <c r="Y51" s="39">
        <v>754603684807</v>
      </c>
      <c r="Z51" s="31"/>
      <c r="AA51" s="31"/>
      <c r="AB51" s="31"/>
      <c r="AC51" s="31"/>
      <c r="AD51" s="31"/>
      <c r="AE51" s="31"/>
      <c r="AF51" s="31"/>
      <c r="AG51" s="31"/>
      <c r="AH51" s="31"/>
      <c r="AI51" s="31"/>
      <c r="AJ51" s="31"/>
      <c r="AK51" s="31"/>
      <c r="AL51" s="31"/>
      <c r="AM51" s="31"/>
      <c r="AN51" s="31"/>
      <c r="AO51" s="31"/>
      <c r="AP51" s="31"/>
      <c r="AQ51" s="31"/>
      <c r="AR51" s="31"/>
      <c r="AS51" s="31"/>
    </row>
    <row r="52" spans="1:45" s="40" customFormat="1">
      <c r="A52" s="26" t="s">
        <v>919</v>
      </c>
      <c r="B52" s="27" t="s">
        <v>32</v>
      </c>
      <c r="C52" s="28" t="s">
        <v>920</v>
      </c>
      <c r="D52" s="29">
        <v>14</v>
      </c>
      <c r="E52" s="30"/>
      <c r="F52" s="31"/>
      <c r="G52" s="31"/>
      <c r="H52" s="27" t="s">
        <v>32</v>
      </c>
      <c r="I52" s="32"/>
      <c r="J52" s="33"/>
      <c r="K52" s="34"/>
      <c r="L52" s="34"/>
      <c r="M52" s="34"/>
      <c r="N52" s="31"/>
      <c r="O52" s="31"/>
      <c r="P52" s="31"/>
      <c r="Q52" s="31"/>
      <c r="R52" s="31"/>
      <c r="S52" s="31"/>
      <c r="T52" s="31"/>
      <c r="U52" s="42"/>
      <c r="V52" s="43"/>
      <c r="W52" s="37"/>
      <c r="X52" s="38" t="s">
        <v>921</v>
      </c>
      <c r="Y52" s="39">
        <v>754603684814</v>
      </c>
      <c r="Z52" s="31"/>
      <c r="AA52" s="31"/>
      <c r="AB52" s="31"/>
      <c r="AC52" s="31"/>
      <c r="AD52" s="31"/>
      <c r="AE52" s="31"/>
      <c r="AF52" s="31"/>
      <c r="AG52" s="31"/>
      <c r="AH52" s="31"/>
      <c r="AI52" s="31"/>
      <c r="AJ52" s="31"/>
      <c r="AK52" s="31"/>
      <c r="AL52" s="31"/>
      <c r="AM52" s="31"/>
      <c r="AN52" s="31"/>
      <c r="AO52" s="31"/>
      <c r="AP52" s="31"/>
      <c r="AQ52" s="31"/>
      <c r="AR52" s="31"/>
      <c r="AS52" s="31"/>
    </row>
    <row r="53" spans="1:45" s="40" customFormat="1">
      <c r="A53" s="26" t="s">
        <v>919</v>
      </c>
      <c r="B53" s="27" t="s">
        <v>38</v>
      </c>
      <c r="C53" s="28" t="s">
        <v>920</v>
      </c>
      <c r="D53" s="29">
        <v>3</v>
      </c>
      <c r="E53" s="30"/>
      <c r="F53" s="31"/>
      <c r="G53" s="31"/>
      <c r="H53" s="27" t="s">
        <v>38</v>
      </c>
      <c r="I53" s="32"/>
      <c r="J53" s="33"/>
      <c r="K53" s="34"/>
      <c r="L53" s="34"/>
      <c r="M53" s="34"/>
      <c r="N53" s="31"/>
      <c r="O53" s="31"/>
      <c r="P53" s="31"/>
      <c r="Q53" s="31"/>
      <c r="R53" s="31"/>
      <c r="S53" s="31"/>
      <c r="T53" s="31"/>
      <c r="U53" s="42"/>
      <c r="V53" s="43"/>
      <c r="W53" s="37"/>
      <c r="X53" s="38" t="s">
        <v>921</v>
      </c>
      <c r="Y53" s="39">
        <v>754603684784</v>
      </c>
      <c r="Z53" s="31"/>
      <c r="AA53" s="31"/>
      <c r="AB53" s="31"/>
      <c r="AC53" s="31"/>
      <c r="AD53" s="31"/>
      <c r="AE53" s="31"/>
      <c r="AF53" s="31"/>
      <c r="AG53" s="31"/>
      <c r="AH53" s="31"/>
      <c r="AI53" s="31"/>
      <c r="AJ53" s="31"/>
      <c r="AK53" s="31"/>
      <c r="AL53" s="31"/>
      <c r="AM53" s="31"/>
      <c r="AN53" s="31"/>
      <c r="AO53" s="31"/>
      <c r="AP53" s="31"/>
      <c r="AQ53" s="31"/>
      <c r="AR53" s="31"/>
      <c r="AS53" s="31"/>
    </row>
    <row r="54" spans="1:45" s="40" customFormat="1">
      <c r="A54" s="26" t="s">
        <v>919</v>
      </c>
      <c r="B54" s="27" t="s">
        <v>3</v>
      </c>
      <c r="C54" s="28" t="s">
        <v>920</v>
      </c>
      <c r="D54" s="29">
        <v>1</v>
      </c>
      <c r="E54" s="30"/>
      <c r="F54" s="31"/>
      <c r="G54" s="31"/>
      <c r="H54" s="27" t="s">
        <v>3</v>
      </c>
      <c r="I54" s="32"/>
      <c r="J54" s="33"/>
      <c r="K54" s="34"/>
      <c r="L54" s="34"/>
      <c r="M54" s="34"/>
      <c r="N54" s="31"/>
      <c r="O54" s="31"/>
      <c r="P54" s="31"/>
      <c r="Q54" s="31"/>
      <c r="R54" s="31"/>
      <c r="S54" s="31"/>
      <c r="T54" s="31"/>
      <c r="U54" s="42"/>
      <c r="V54" s="43"/>
      <c r="W54" s="37"/>
      <c r="X54" s="38" t="s">
        <v>921</v>
      </c>
      <c r="Y54" s="39">
        <v>754603684845</v>
      </c>
      <c r="Z54" s="31"/>
      <c r="AA54" s="31"/>
      <c r="AB54" s="31"/>
      <c r="AC54" s="31"/>
      <c r="AD54" s="31"/>
      <c r="AE54" s="31"/>
      <c r="AF54" s="31"/>
      <c r="AG54" s="31"/>
      <c r="AH54" s="31"/>
      <c r="AI54" s="31"/>
      <c r="AJ54" s="31"/>
      <c r="AK54" s="31"/>
      <c r="AL54" s="31"/>
      <c r="AM54" s="31"/>
      <c r="AN54" s="31"/>
      <c r="AO54" s="31"/>
      <c r="AP54" s="31"/>
      <c r="AQ54" s="31"/>
      <c r="AR54" s="31"/>
      <c r="AS54" s="31"/>
    </row>
    <row r="55" spans="1:45" s="40" customFormat="1">
      <c r="A55" s="26" t="s">
        <v>919</v>
      </c>
      <c r="B55" s="27" t="s">
        <v>20</v>
      </c>
      <c r="C55" s="28" t="s">
        <v>920</v>
      </c>
      <c r="D55" s="29">
        <v>11</v>
      </c>
      <c r="E55" s="30"/>
      <c r="F55" s="31"/>
      <c r="G55" s="31"/>
      <c r="H55" s="27" t="s">
        <v>20</v>
      </c>
      <c r="I55" s="32"/>
      <c r="J55" s="33"/>
      <c r="K55" s="34"/>
      <c r="L55" s="34"/>
      <c r="M55" s="34"/>
      <c r="N55" s="31"/>
      <c r="O55" s="31"/>
      <c r="P55" s="31"/>
      <c r="Q55" s="31"/>
      <c r="R55" s="31"/>
      <c r="S55" s="31"/>
      <c r="T55" s="31"/>
      <c r="U55" s="42"/>
      <c r="V55" s="43"/>
      <c r="W55" s="37"/>
      <c r="X55" s="38" t="s">
        <v>921</v>
      </c>
      <c r="Y55" s="39">
        <v>754603684821</v>
      </c>
      <c r="Z55" s="31"/>
      <c r="AA55" s="31"/>
      <c r="AB55" s="31"/>
      <c r="AC55" s="31"/>
      <c r="AD55" s="31"/>
      <c r="AE55" s="31"/>
      <c r="AF55" s="31"/>
      <c r="AG55" s="31"/>
      <c r="AH55" s="31"/>
      <c r="AI55" s="31"/>
      <c r="AJ55" s="31"/>
      <c r="AK55" s="31"/>
      <c r="AL55" s="31"/>
      <c r="AM55" s="31"/>
      <c r="AN55" s="31"/>
      <c r="AO55" s="31"/>
      <c r="AP55" s="31"/>
      <c r="AQ55" s="31"/>
      <c r="AR55" s="31"/>
      <c r="AS55" s="31"/>
    </row>
    <row r="56" spans="1:45" s="40" customFormat="1">
      <c r="A56" s="26" t="s">
        <v>919</v>
      </c>
      <c r="B56" s="27" t="s">
        <v>89</v>
      </c>
      <c r="C56" s="28" t="s">
        <v>920</v>
      </c>
      <c r="D56" s="29">
        <v>19</v>
      </c>
      <c r="E56" s="30"/>
      <c r="F56" s="31"/>
      <c r="G56" s="31"/>
      <c r="H56" s="27" t="s">
        <v>89</v>
      </c>
      <c r="I56" s="32"/>
      <c r="J56" s="33"/>
      <c r="K56" s="34"/>
      <c r="L56" s="34"/>
      <c r="M56" s="34"/>
      <c r="N56" s="31"/>
      <c r="O56" s="31"/>
      <c r="P56" s="31"/>
      <c r="Q56" s="31"/>
      <c r="R56" s="31"/>
      <c r="S56" s="31"/>
      <c r="T56" s="31"/>
      <c r="U56" s="42"/>
      <c r="V56" s="43"/>
      <c r="W56" s="37"/>
      <c r="X56" s="38" t="s">
        <v>921</v>
      </c>
      <c r="Y56" s="39">
        <v>754603685040</v>
      </c>
      <c r="Z56" s="31"/>
      <c r="AA56" s="31"/>
      <c r="AB56" s="31"/>
      <c r="AC56" s="31"/>
      <c r="AD56" s="31"/>
      <c r="AE56" s="31"/>
      <c r="AF56" s="31"/>
      <c r="AG56" s="31"/>
      <c r="AH56" s="31"/>
      <c r="AI56" s="31"/>
      <c r="AJ56" s="31"/>
      <c r="AK56" s="31"/>
      <c r="AL56" s="31"/>
      <c r="AM56" s="31"/>
      <c r="AN56" s="31"/>
      <c r="AO56" s="31"/>
      <c r="AP56" s="31"/>
      <c r="AQ56" s="31"/>
      <c r="AR56" s="31"/>
      <c r="AS56" s="31"/>
    </row>
    <row r="57" spans="1:45" s="40" customFormat="1">
      <c r="A57" s="26" t="s">
        <v>919</v>
      </c>
      <c r="B57" s="27" t="s">
        <v>8</v>
      </c>
      <c r="C57" s="28" t="s">
        <v>920</v>
      </c>
      <c r="D57" s="29">
        <v>17</v>
      </c>
      <c r="E57" s="30"/>
      <c r="F57" s="31"/>
      <c r="G57" s="31"/>
      <c r="H57" s="27" t="s">
        <v>8</v>
      </c>
      <c r="I57" s="32"/>
      <c r="J57" s="33"/>
      <c r="K57" s="34"/>
      <c r="L57" s="34"/>
      <c r="M57" s="34"/>
      <c r="N57" s="31"/>
      <c r="O57" s="31"/>
      <c r="P57" s="31"/>
      <c r="Q57" s="31"/>
      <c r="R57" s="31"/>
      <c r="S57" s="31"/>
      <c r="T57" s="31"/>
      <c r="U57" s="42"/>
      <c r="V57" s="43"/>
      <c r="W57" s="37"/>
      <c r="X57" s="38" t="s">
        <v>921</v>
      </c>
      <c r="Y57" s="39">
        <v>754603684753</v>
      </c>
      <c r="Z57" s="31"/>
      <c r="AA57" s="31"/>
      <c r="AB57" s="31"/>
      <c r="AC57" s="31"/>
      <c r="AD57" s="31"/>
      <c r="AE57" s="31"/>
      <c r="AF57" s="31"/>
      <c r="AG57" s="31"/>
      <c r="AH57" s="31"/>
      <c r="AI57" s="31"/>
      <c r="AJ57" s="31"/>
      <c r="AK57" s="31"/>
      <c r="AL57" s="31"/>
      <c r="AM57" s="31"/>
      <c r="AN57" s="31"/>
      <c r="AO57" s="31"/>
      <c r="AP57" s="31"/>
      <c r="AQ57" s="31"/>
      <c r="AR57" s="31"/>
      <c r="AS57" s="31"/>
    </row>
    <row r="58" spans="1:45" s="40" customFormat="1">
      <c r="A58" s="26" t="s">
        <v>919</v>
      </c>
      <c r="B58" s="27" t="s">
        <v>90</v>
      </c>
      <c r="C58" s="28" t="s">
        <v>920</v>
      </c>
      <c r="D58" s="29">
        <v>29</v>
      </c>
      <c r="E58" s="30"/>
      <c r="F58" s="31"/>
      <c r="G58" s="31"/>
      <c r="H58" s="27" t="s">
        <v>90</v>
      </c>
      <c r="I58" s="32"/>
      <c r="J58" s="33"/>
      <c r="K58" s="34"/>
      <c r="L58" s="34"/>
      <c r="M58" s="34"/>
      <c r="N58" s="31"/>
      <c r="O58" s="31"/>
      <c r="P58" s="31"/>
      <c r="Q58" s="31"/>
      <c r="R58" s="31"/>
      <c r="S58" s="31"/>
      <c r="T58" s="31"/>
      <c r="U58" s="42"/>
      <c r="V58" s="43"/>
      <c r="W58" s="37"/>
      <c r="X58" s="38" t="s">
        <v>921</v>
      </c>
      <c r="Y58" s="39">
        <v>754603685019</v>
      </c>
      <c r="Z58" s="31"/>
      <c r="AA58" s="31"/>
      <c r="AB58" s="31"/>
      <c r="AC58" s="31"/>
      <c r="AD58" s="31"/>
      <c r="AE58" s="31"/>
      <c r="AF58" s="31"/>
      <c r="AG58" s="31"/>
      <c r="AH58" s="31"/>
      <c r="AI58" s="31"/>
      <c r="AJ58" s="31"/>
      <c r="AK58" s="31"/>
      <c r="AL58" s="31"/>
      <c r="AM58" s="31"/>
      <c r="AN58" s="31"/>
      <c r="AO58" s="31"/>
      <c r="AP58" s="31"/>
      <c r="AQ58" s="31"/>
      <c r="AR58" s="31"/>
      <c r="AS58" s="31"/>
    </row>
    <row r="59" spans="1:45" s="40" customFormat="1">
      <c r="A59" s="26" t="s">
        <v>919</v>
      </c>
      <c r="B59" s="27" t="s">
        <v>91</v>
      </c>
      <c r="C59" s="28" t="s">
        <v>920</v>
      </c>
      <c r="D59" s="29">
        <v>0</v>
      </c>
      <c r="E59" s="30"/>
      <c r="F59" s="31"/>
      <c r="G59" s="31"/>
      <c r="H59" s="27" t="s">
        <v>91</v>
      </c>
      <c r="I59" s="32"/>
      <c r="J59" s="33"/>
      <c r="K59" s="34"/>
      <c r="L59" s="34"/>
      <c r="M59" s="34"/>
      <c r="N59" s="31"/>
      <c r="O59" s="31"/>
      <c r="P59" s="31"/>
      <c r="Q59" s="31"/>
      <c r="R59" s="31"/>
      <c r="S59" s="31"/>
      <c r="T59" s="31"/>
      <c r="U59" s="42"/>
      <c r="V59" s="43"/>
      <c r="W59" s="37"/>
      <c r="X59" s="38" t="s">
        <v>921</v>
      </c>
      <c r="Y59" s="39">
        <v>754603684906</v>
      </c>
      <c r="Z59" s="31"/>
      <c r="AA59" s="31"/>
      <c r="AB59" s="31"/>
      <c r="AC59" s="31"/>
      <c r="AD59" s="31"/>
      <c r="AE59" s="31"/>
      <c r="AF59" s="31"/>
      <c r="AG59" s="31"/>
      <c r="AH59" s="31"/>
      <c r="AI59" s="31"/>
      <c r="AJ59" s="31"/>
      <c r="AK59" s="31"/>
      <c r="AL59" s="31"/>
      <c r="AM59" s="31"/>
      <c r="AN59" s="31"/>
      <c r="AO59" s="31"/>
      <c r="AP59" s="31"/>
      <c r="AQ59" s="31"/>
      <c r="AR59" s="31"/>
      <c r="AS59" s="31"/>
    </row>
    <row r="60" spans="1:45" s="40" customFormat="1">
      <c r="A60" s="26" t="s">
        <v>919</v>
      </c>
      <c r="B60" s="27" t="s">
        <v>92</v>
      </c>
      <c r="C60" s="28" t="s">
        <v>920</v>
      </c>
      <c r="D60" s="29">
        <v>17</v>
      </c>
      <c r="E60" s="30"/>
      <c r="F60" s="31"/>
      <c r="G60" s="31"/>
      <c r="H60" s="27" t="s">
        <v>92</v>
      </c>
      <c r="I60" s="32"/>
      <c r="J60" s="33"/>
      <c r="K60" s="34"/>
      <c r="L60" s="34"/>
      <c r="M60" s="34"/>
      <c r="N60" s="31"/>
      <c r="O60" s="31"/>
      <c r="P60" s="31"/>
      <c r="Q60" s="31"/>
      <c r="R60" s="31"/>
      <c r="S60" s="31"/>
      <c r="T60" s="31"/>
      <c r="U60" s="42"/>
      <c r="V60" s="43"/>
      <c r="W60" s="37"/>
      <c r="X60" s="38" t="s">
        <v>921</v>
      </c>
      <c r="Y60" s="39">
        <v>754603684883</v>
      </c>
      <c r="Z60" s="31"/>
      <c r="AA60" s="31"/>
      <c r="AB60" s="31"/>
      <c r="AC60" s="31"/>
      <c r="AD60" s="31"/>
      <c r="AE60" s="31"/>
      <c r="AF60" s="31"/>
      <c r="AG60" s="31"/>
      <c r="AH60" s="31"/>
      <c r="AI60" s="31"/>
      <c r="AJ60" s="31"/>
      <c r="AK60" s="31"/>
      <c r="AL60" s="31"/>
      <c r="AM60" s="31"/>
      <c r="AN60" s="31"/>
      <c r="AO60" s="31"/>
      <c r="AP60" s="31"/>
      <c r="AQ60" s="31"/>
      <c r="AR60" s="31"/>
      <c r="AS60" s="31"/>
    </row>
    <row r="61" spans="1:45" s="40" customFormat="1">
      <c r="A61" s="26" t="s">
        <v>919</v>
      </c>
      <c r="B61" s="27" t="s">
        <v>930</v>
      </c>
      <c r="C61" s="28" t="s">
        <v>920</v>
      </c>
      <c r="D61" s="29">
        <v>8</v>
      </c>
      <c r="E61" s="30"/>
      <c r="F61" s="31"/>
      <c r="G61" s="31"/>
      <c r="H61" s="27" t="s">
        <v>930</v>
      </c>
      <c r="I61" s="32"/>
      <c r="J61" s="33"/>
      <c r="K61" s="34"/>
      <c r="L61" s="34"/>
      <c r="M61" s="34"/>
      <c r="N61" s="31"/>
      <c r="O61" s="31"/>
      <c r="P61" s="31"/>
      <c r="Q61" s="31"/>
      <c r="R61" s="31"/>
      <c r="S61" s="31"/>
      <c r="T61" s="31"/>
      <c r="U61" s="42"/>
      <c r="V61" s="43"/>
      <c r="W61" s="37"/>
      <c r="X61" s="38" t="s">
        <v>921</v>
      </c>
      <c r="Y61" s="39">
        <v>754603684838</v>
      </c>
      <c r="Z61" s="31"/>
      <c r="AA61" s="31"/>
      <c r="AB61" s="31"/>
      <c r="AC61" s="31"/>
      <c r="AD61" s="31"/>
      <c r="AE61" s="31"/>
      <c r="AF61" s="31"/>
      <c r="AG61" s="31"/>
      <c r="AH61" s="31"/>
      <c r="AI61" s="31"/>
      <c r="AJ61" s="31"/>
      <c r="AK61" s="31"/>
      <c r="AL61" s="31"/>
      <c r="AM61" s="31"/>
      <c r="AN61" s="31"/>
      <c r="AO61" s="31"/>
      <c r="AP61" s="31"/>
      <c r="AQ61" s="31"/>
      <c r="AR61" s="31"/>
      <c r="AS61" s="31"/>
    </row>
    <row r="62" spans="1:45" s="40" customFormat="1">
      <c r="A62" s="26" t="s">
        <v>919</v>
      </c>
      <c r="B62" s="27" t="s">
        <v>13</v>
      </c>
      <c r="C62" s="28" t="s">
        <v>920</v>
      </c>
      <c r="D62" s="29">
        <v>24</v>
      </c>
      <c r="E62" s="30"/>
      <c r="F62" s="31"/>
      <c r="G62" s="31"/>
      <c r="H62" s="27" t="s">
        <v>13</v>
      </c>
      <c r="I62" s="32"/>
      <c r="J62" s="33"/>
      <c r="K62" s="34"/>
      <c r="L62" s="34"/>
      <c r="M62" s="34"/>
      <c r="N62" s="31"/>
      <c r="O62" s="31"/>
      <c r="P62" s="31"/>
      <c r="Q62" s="31"/>
      <c r="R62" s="31"/>
      <c r="S62" s="31"/>
      <c r="T62" s="31"/>
      <c r="U62" s="42"/>
      <c r="V62" s="43"/>
      <c r="W62" s="37"/>
      <c r="X62" s="38" t="s">
        <v>921</v>
      </c>
      <c r="Y62" s="39">
        <v>754603684920</v>
      </c>
      <c r="Z62" s="31"/>
      <c r="AA62" s="31"/>
      <c r="AB62" s="31"/>
      <c r="AC62" s="31"/>
      <c r="AD62" s="31"/>
      <c r="AE62" s="31"/>
      <c r="AF62" s="31"/>
      <c r="AG62" s="31"/>
      <c r="AH62" s="31"/>
      <c r="AI62" s="31"/>
      <c r="AJ62" s="31"/>
      <c r="AK62" s="31"/>
      <c r="AL62" s="31"/>
      <c r="AM62" s="31"/>
      <c r="AN62" s="31"/>
      <c r="AO62" s="31"/>
      <c r="AP62" s="31"/>
      <c r="AQ62" s="31"/>
      <c r="AR62" s="31"/>
      <c r="AS62" s="31"/>
    </row>
    <row r="63" spans="1:45" s="40" customFormat="1">
      <c r="A63" s="26" t="s">
        <v>919</v>
      </c>
      <c r="B63" s="27" t="s">
        <v>12</v>
      </c>
      <c r="C63" s="28" t="s">
        <v>920</v>
      </c>
      <c r="D63" s="29">
        <v>2</v>
      </c>
      <c r="E63" s="30"/>
      <c r="F63" s="31"/>
      <c r="G63" s="31"/>
      <c r="H63" s="27" t="s">
        <v>12</v>
      </c>
      <c r="I63" s="32"/>
      <c r="J63" s="33"/>
      <c r="K63" s="34"/>
      <c r="L63" s="34"/>
      <c r="M63" s="34"/>
      <c r="N63" s="31"/>
      <c r="O63" s="31"/>
      <c r="P63" s="31"/>
      <c r="Q63" s="31"/>
      <c r="R63" s="31"/>
      <c r="S63" s="31"/>
      <c r="T63" s="31"/>
      <c r="U63" s="42"/>
      <c r="V63" s="43"/>
      <c r="W63" s="37"/>
      <c r="X63" s="38" t="s">
        <v>921</v>
      </c>
      <c r="Y63" s="39">
        <v>754603684760</v>
      </c>
      <c r="Z63" s="31"/>
      <c r="AA63" s="31"/>
      <c r="AB63" s="31"/>
      <c r="AC63" s="31"/>
      <c r="AD63" s="31"/>
      <c r="AE63" s="31"/>
      <c r="AF63" s="31"/>
      <c r="AG63" s="31"/>
      <c r="AH63" s="31"/>
      <c r="AI63" s="31"/>
      <c r="AJ63" s="31"/>
      <c r="AK63" s="31"/>
      <c r="AL63" s="31"/>
      <c r="AM63" s="31"/>
      <c r="AN63" s="31"/>
      <c r="AO63" s="31"/>
      <c r="AP63" s="31"/>
      <c r="AQ63" s="31"/>
      <c r="AR63" s="31"/>
      <c r="AS63" s="31"/>
    </row>
    <row r="64" spans="1:45" s="40" customFormat="1">
      <c r="A64" s="26" t="s">
        <v>919</v>
      </c>
      <c r="B64" s="27" t="s">
        <v>931</v>
      </c>
      <c r="C64" s="28" t="s">
        <v>920</v>
      </c>
      <c r="D64" s="29">
        <v>0</v>
      </c>
      <c r="E64" s="30"/>
      <c r="F64" s="31"/>
      <c r="G64" s="31"/>
      <c r="H64" s="27" t="s">
        <v>931</v>
      </c>
      <c r="I64" s="32"/>
      <c r="J64" s="33"/>
      <c r="K64" s="34"/>
      <c r="L64" s="34"/>
      <c r="M64" s="34"/>
      <c r="N64" s="31"/>
      <c r="O64" s="31"/>
      <c r="P64" s="31"/>
      <c r="Q64" s="31"/>
      <c r="R64" s="31"/>
      <c r="S64" s="31"/>
      <c r="T64" s="31"/>
      <c r="U64" s="42"/>
      <c r="V64" s="43"/>
      <c r="W64" s="37"/>
      <c r="X64" s="38" t="s">
        <v>921</v>
      </c>
      <c r="Y64" s="39">
        <v>754603685033</v>
      </c>
      <c r="Z64" s="31"/>
      <c r="AA64" s="31"/>
      <c r="AB64" s="31"/>
      <c r="AC64" s="31"/>
      <c r="AD64" s="31"/>
      <c r="AE64" s="31"/>
      <c r="AF64" s="31"/>
      <c r="AG64" s="31"/>
      <c r="AH64" s="31"/>
      <c r="AI64" s="31"/>
      <c r="AJ64" s="31"/>
      <c r="AK64" s="31"/>
      <c r="AL64" s="31"/>
      <c r="AM64" s="31"/>
      <c r="AN64" s="31"/>
      <c r="AO64" s="31"/>
      <c r="AP64" s="31"/>
      <c r="AQ64" s="31"/>
      <c r="AR64" s="31"/>
      <c r="AS64" s="31"/>
    </row>
    <row r="65" spans="1:45" s="40" customFormat="1">
      <c r="A65" s="26" t="s">
        <v>919</v>
      </c>
      <c r="B65" s="27" t="s">
        <v>21</v>
      </c>
      <c r="C65" s="28" t="s">
        <v>920</v>
      </c>
      <c r="D65" s="29">
        <v>36</v>
      </c>
      <c r="E65" s="30"/>
      <c r="F65" s="31"/>
      <c r="G65" s="31"/>
      <c r="H65" s="27" t="s">
        <v>21</v>
      </c>
      <c r="I65" s="32"/>
      <c r="J65" s="33"/>
      <c r="K65" s="34"/>
      <c r="L65" s="34"/>
      <c r="M65" s="34"/>
      <c r="N65" s="31"/>
      <c r="O65" s="31"/>
      <c r="P65" s="31"/>
      <c r="Q65" s="31"/>
      <c r="R65" s="31"/>
      <c r="S65" s="31"/>
      <c r="T65" s="31"/>
      <c r="U65" s="42"/>
      <c r="V65" s="43"/>
      <c r="W65" s="37"/>
      <c r="X65" s="38" t="s">
        <v>921</v>
      </c>
      <c r="Y65" s="39">
        <v>754603684968</v>
      </c>
      <c r="Z65" s="31"/>
      <c r="AA65" s="31"/>
      <c r="AB65" s="31"/>
      <c r="AC65" s="31"/>
      <c r="AD65" s="31"/>
      <c r="AE65" s="31"/>
      <c r="AF65" s="31"/>
      <c r="AG65" s="31"/>
      <c r="AH65" s="31"/>
      <c r="AI65" s="31"/>
      <c r="AJ65" s="31"/>
      <c r="AK65" s="31"/>
      <c r="AL65" s="31"/>
      <c r="AM65" s="31"/>
      <c r="AN65" s="31"/>
      <c r="AO65" s="31"/>
      <c r="AP65" s="31"/>
      <c r="AQ65" s="31"/>
      <c r="AR65" s="31"/>
      <c r="AS65" s="31"/>
    </row>
    <row r="66" spans="1:45" s="40" customFormat="1">
      <c r="A66" s="26" t="s">
        <v>919</v>
      </c>
      <c r="B66" s="27" t="s">
        <v>93</v>
      </c>
      <c r="C66" s="28" t="s">
        <v>920</v>
      </c>
      <c r="D66" s="29">
        <v>21</v>
      </c>
      <c r="E66" s="30"/>
      <c r="F66" s="31"/>
      <c r="G66" s="31"/>
      <c r="H66" s="27" t="s">
        <v>93</v>
      </c>
      <c r="I66" s="32"/>
      <c r="J66" s="33"/>
      <c r="K66" s="34"/>
      <c r="L66" s="34"/>
      <c r="M66" s="34"/>
      <c r="N66" s="31"/>
      <c r="O66" s="31"/>
      <c r="P66" s="31"/>
      <c r="Q66" s="31"/>
      <c r="R66" s="31"/>
      <c r="S66" s="31"/>
      <c r="T66" s="31"/>
      <c r="U66" s="42"/>
      <c r="V66" s="43"/>
      <c r="W66" s="37"/>
      <c r="X66" s="38" t="s">
        <v>921</v>
      </c>
      <c r="Y66" s="39">
        <v>754603684975</v>
      </c>
      <c r="Z66" s="31"/>
      <c r="AA66" s="31"/>
      <c r="AB66" s="31"/>
      <c r="AC66" s="31"/>
      <c r="AD66" s="31"/>
      <c r="AE66" s="31"/>
      <c r="AF66" s="31"/>
      <c r="AG66" s="31"/>
      <c r="AH66" s="31"/>
      <c r="AI66" s="31"/>
      <c r="AJ66" s="31"/>
      <c r="AK66" s="31"/>
      <c r="AL66" s="31"/>
      <c r="AM66" s="31"/>
      <c r="AN66" s="31"/>
      <c r="AO66" s="31"/>
      <c r="AP66" s="31"/>
      <c r="AQ66" s="31"/>
      <c r="AR66" s="31"/>
      <c r="AS66" s="31"/>
    </row>
    <row r="67" spans="1:45" s="40" customFormat="1">
      <c r="A67" s="26" t="s">
        <v>919</v>
      </c>
      <c r="B67" s="27" t="s">
        <v>94</v>
      </c>
      <c r="C67" s="28" t="s">
        <v>920</v>
      </c>
      <c r="D67" s="29">
        <v>0</v>
      </c>
      <c r="E67" s="30"/>
      <c r="F67" s="31"/>
      <c r="G67" s="31"/>
      <c r="H67" s="27" t="s">
        <v>94</v>
      </c>
      <c r="I67" s="32"/>
      <c r="J67" s="33"/>
      <c r="K67" s="34"/>
      <c r="L67" s="34"/>
      <c r="M67" s="34"/>
      <c r="N67" s="31"/>
      <c r="O67" s="31"/>
      <c r="P67" s="31"/>
      <c r="Q67" s="31"/>
      <c r="R67" s="31"/>
      <c r="S67" s="31"/>
      <c r="T67" s="31"/>
      <c r="U67" s="42"/>
      <c r="V67" s="43"/>
      <c r="W67" s="37"/>
      <c r="X67" s="38" t="s">
        <v>921</v>
      </c>
      <c r="Y67" s="39">
        <v>754603684869</v>
      </c>
      <c r="Z67" s="31"/>
      <c r="AA67" s="31"/>
      <c r="AB67" s="31"/>
      <c r="AC67" s="31"/>
      <c r="AD67" s="31"/>
      <c r="AE67" s="31"/>
      <c r="AF67" s="31"/>
      <c r="AG67" s="31"/>
      <c r="AH67" s="31"/>
      <c r="AI67" s="31"/>
      <c r="AJ67" s="31"/>
      <c r="AK67" s="31"/>
      <c r="AL67" s="31"/>
      <c r="AM67" s="31"/>
      <c r="AN67" s="31"/>
      <c r="AO67" s="31"/>
      <c r="AP67" s="31"/>
      <c r="AQ67" s="31"/>
      <c r="AR67" s="31"/>
      <c r="AS67" s="31"/>
    </row>
    <row r="68" spans="1:45" s="40" customFormat="1">
      <c r="A68" s="26" t="s">
        <v>919</v>
      </c>
      <c r="B68" s="27" t="s">
        <v>933</v>
      </c>
      <c r="C68" s="28" t="s">
        <v>920</v>
      </c>
      <c r="D68" s="29">
        <v>0</v>
      </c>
      <c r="E68" s="30"/>
      <c r="F68" s="31"/>
      <c r="G68" s="31"/>
      <c r="H68" s="27" t="s">
        <v>933</v>
      </c>
      <c r="I68" s="32"/>
      <c r="J68" s="33"/>
      <c r="K68" s="34"/>
      <c r="L68" s="34"/>
      <c r="M68" s="34"/>
      <c r="N68" s="31"/>
      <c r="O68" s="31"/>
      <c r="P68" s="31"/>
      <c r="Q68" s="31"/>
      <c r="R68" s="31"/>
      <c r="S68" s="31"/>
      <c r="T68" s="31"/>
      <c r="U68" s="42"/>
      <c r="V68" s="43"/>
      <c r="W68" s="37"/>
      <c r="X68" s="38" t="s">
        <v>921</v>
      </c>
      <c r="Y68" s="39">
        <v>754603684944</v>
      </c>
      <c r="Z68" s="31"/>
      <c r="AA68" s="31"/>
      <c r="AB68" s="31"/>
      <c r="AC68" s="31"/>
      <c r="AD68" s="31"/>
      <c r="AE68" s="31"/>
      <c r="AF68" s="31"/>
      <c r="AG68" s="31"/>
      <c r="AH68" s="31"/>
      <c r="AI68" s="31"/>
      <c r="AJ68" s="31"/>
      <c r="AK68" s="31"/>
      <c r="AL68" s="31"/>
      <c r="AM68" s="31"/>
      <c r="AN68" s="31"/>
      <c r="AO68" s="31"/>
      <c r="AP68" s="31"/>
      <c r="AQ68" s="31"/>
      <c r="AR68" s="31"/>
      <c r="AS68" s="31"/>
    </row>
    <row r="69" spans="1:45" s="40" customFormat="1">
      <c r="A69" s="26" t="s">
        <v>919</v>
      </c>
      <c r="B69" s="27" t="s">
        <v>934</v>
      </c>
      <c r="C69" s="28" t="s">
        <v>920</v>
      </c>
      <c r="D69" s="29">
        <v>0</v>
      </c>
      <c r="E69" s="30"/>
      <c r="F69" s="31"/>
      <c r="G69" s="31"/>
      <c r="H69" s="27" t="s">
        <v>934</v>
      </c>
      <c r="I69" s="32"/>
      <c r="J69" s="33"/>
      <c r="K69" s="34"/>
      <c r="L69" s="34"/>
      <c r="M69" s="34"/>
      <c r="N69" s="31"/>
      <c r="O69" s="31"/>
      <c r="P69" s="31"/>
      <c r="Q69" s="31"/>
      <c r="R69" s="31"/>
      <c r="S69" s="31"/>
      <c r="T69" s="31"/>
      <c r="U69" s="42"/>
      <c r="V69" s="43"/>
      <c r="W69" s="37"/>
      <c r="X69" s="38" t="s">
        <v>921</v>
      </c>
      <c r="Y69" s="39">
        <v>754603684982</v>
      </c>
      <c r="Z69" s="31"/>
      <c r="AA69" s="31"/>
      <c r="AB69" s="31"/>
      <c r="AC69" s="31"/>
      <c r="AD69" s="31"/>
      <c r="AE69" s="31"/>
      <c r="AF69" s="31"/>
      <c r="AG69" s="31"/>
      <c r="AH69" s="31"/>
      <c r="AI69" s="31"/>
      <c r="AJ69" s="31"/>
      <c r="AK69" s="31"/>
      <c r="AL69" s="31"/>
      <c r="AM69" s="31"/>
      <c r="AN69" s="31"/>
      <c r="AO69" s="31"/>
      <c r="AP69" s="31"/>
      <c r="AQ69" s="31"/>
      <c r="AR69" s="31"/>
      <c r="AS69" s="31"/>
    </row>
    <row r="70" spans="1:45" s="40" customFormat="1">
      <c r="A70" s="26" t="s">
        <v>919</v>
      </c>
      <c r="B70" s="27" t="s">
        <v>11</v>
      </c>
      <c r="C70" s="28" t="s">
        <v>920</v>
      </c>
      <c r="D70" s="29">
        <v>14</v>
      </c>
      <c r="E70" s="30"/>
      <c r="F70" s="31"/>
      <c r="G70" s="31"/>
      <c r="H70" s="27" t="s">
        <v>11</v>
      </c>
      <c r="I70" s="32"/>
      <c r="J70" s="33"/>
      <c r="K70" s="34"/>
      <c r="L70" s="34"/>
      <c r="M70" s="34"/>
      <c r="N70" s="31"/>
      <c r="O70" s="31"/>
      <c r="P70" s="31"/>
      <c r="Q70" s="31"/>
      <c r="R70" s="31"/>
      <c r="S70" s="31"/>
      <c r="T70" s="31"/>
      <c r="U70" s="42"/>
      <c r="V70" s="43"/>
      <c r="W70" s="37"/>
      <c r="X70" s="38" t="s">
        <v>921</v>
      </c>
      <c r="Y70" s="39">
        <v>754603684913</v>
      </c>
      <c r="Z70" s="31"/>
      <c r="AA70" s="31"/>
      <c r="AB70" s="31"/>
      <c r="AC70" s="31"/>
      <c r="AD70" s="31"/>
      <c r="AE70" s="31"/>
      <c r="AF70" s="31"/>
      <c r="AG70" s="31"/>
      <c r="AH70" s="31"/>
      <c r="AI70" s="31"/>
      <c r="AJ70" s="31"/>
      <c r="AK70" s="31"/>
      <c r="AL70" s="31"/>
      <c r="AM70" s="31"/>
      <c r="AN70" s="31"/>
      <c r="AO70" s="31"/>
      <c r="AP70" s="31"/>
      <c r="AQ70" s="31"/>
      <c r="AR70" s="31"/>
      <c r="AS70" s="31"/>
    </row>
    <row r="71" spans="1:45" s="40" customFormat="1">
      <c r="A71" s="26" t="s">
        <v>919</v>
      </c>
      <c r="B71" s="27" t="s">
        <v>36</v>
      </c>
      <c r="C71" s="28" t="s">
        <v>920</v>
      </c>
      <c r="D71" s="29">
        <v>4</v>
      </c>
      <c r="E71" s="30"/>
      <c r="F71" s="31"/>
      <c r="G71" s="31"/>
      <c r="H71" s="27" t="s">
        <v>36</v>
      </c>
      <c r="I71" s="32"/>
      <c r="J71" s="33"/>
      <c r="K71" s="34"/>
      <c r="L71" s="34"/>
      <c r="M71" s="34"/>
      <c r="N71" s="31"/>
      <c r="O71" s="31"/>
      <c r="P71" s="31"/>
      <c r="Q71" s="31"/>
      <c r="R71" s="31"/>
      <c r="S71" s="31"/>
      <c r="T71" s="31"/>
      <c r="U71" s="42"/>
      <c r="V71" s="43"/>
      <c r="W71" s="37"/>
      <c r="X71" s="38" t="s">
        <v>921</v>
      </c>
      <c r="Y71" s="39">
        <v>754603685064</v>
      </c>
      <c r="Z71" s="31"/>
      <c r="AA71" s="31"/>
      <c r="AB71" s="31"/>
      <c r="AC71" s="31"/>
      <c r="AD71" s="31"/>
      <c r="AE71" s="31"/>
      <c r="AF71" s="31"/>
      <c r="AG71" s="31"/>
      <c r="AH71" s="31"/>
      <c r="AI71" s="31"/>
      <c r="AJ71" s="31"/>
      <c r="AK71" s="31"/>
      <c r="AL71" s="31"/>
      <c r="AM71" s="31"/>
      <c r="AN71" s="31"/>
      <c r="AO71" s="31"/>
      <c r="AP71" s="31"/>
      <c r="AQ71" s="31"/>
      <c r="AR71" s="31"/>
      <c r="AS71" s="31"/>
    </row>
    <row r="72" spans="1:45" s="40" customFormat="1">
      <c r="A72" s="26" t="s">
        <v>919</v>
      </c>
      <c r="B72" s="27" t="s">
        <v>7</v>
      </c>
      <c r="C72" s="28" t="s">
        <v>920</v>
      </c>
      <c r="D72" s="29">
        <v>0</v>
      </c>
      <c r="E72" s="30"/>
      <c r="F72" s="31"/>
      <c r="G72" s="31"/>
      <c r="H72" s="27" t="s">
        <v>7</v>
      </c>
      <c r="I72" s="32"/>
      <c r="J72" s="33"/>
      <c r="K72" s="34"/>
      <c r="L72" s="34"/>
      <c r="M72" s="34"/>
      <c r="N72" s="31"/>
      <c r="O72" s="31"/>
      <c r="P72" s="31"/>
      <c r="Q72" s="31"/>
      <c r="R72" s="31"/>
      <c r="S72" s="31"/>
      <c r="T72" s="31"/>
      <c r="U72" s="42"/>
      <c r="V72" s="43"/>
      <c r="W72" s="37"/>
      <c r="X72" s="38" t="s">
        <v>921</v>
      </c>
      <c r="Y72" s="39">
        <v>754603684951</v>
      </c>
      <c r="Z72" s="31"/>
      <c r="AA72" s="31"/>
      <c r="AB72" s="31"/>
      <c r="AC72" s="31"/>
      <c r="AD72" s="31"/>
      <c r="AE72" s="31"/>
      <c r="AF72" s="31"/>
      <c r="AG72" s="31"/>
      <c r="AH72" s="31"/>
      <c r="AI72" s="31"/>
      <c r="AJ72" s="31"/>
      <c r="AK72" s="31"/>
      <c r="AL72" s="31"/>
      <c r="AM72" s="31"/>
      <c r="AN72" s="31"/>
      <c r="AO72" s="31"/>
      <c r="AP72" s="31"/>
      <c r="AQ72" s="31"/>
      <c r="AR72" s="31"/>
      <c r="AS72" s="31"/>
    </row>
    <row r="73" spans="1:45" s="40" customFormat="1">
      <c r="A73" s="26" t="s">
        <v>919</v>
      </c>
      <c r="B73" s="27" t="s">
        <v>30</v>
      </c>
      <c r="C73" s="28" t="s">
        <v>920</v>
      </c>
      <c r="D73" s="29">
        <v>0</v>
      </c>
      <c r="E73" s="30"/>
      <c r="F73" s="31"/>
      <c r="G73" s="31"/>
      <c r="H73" s="27" t="s">
        <v>30</v>
      </c>
      <c r="I73" s="32"/>
      <c r="J73" s="33"/>
      <c r="K73" s="34"/>
      <c r="L73" s="34"/>
      <c r="M73" s="34"/>
      <c r="N73" s="31"/>
      <c r="O73" s="31"/>
      <c r="P73" s="31"/>
      <c r="Q73" s="31"/>
      <c r="R73" s="31"/>
      <c r="S73" s="31"/>
      <c r="T73" s="31"/>
      <c r="U73" s="42"/>
      <c r="V73" s="43"/>
      <c r="W73" s="37"/>
      <c r="X73" s="38" t="s">
        <v>921</v>
      </c>
      <c r="Y73" s="39">
        <v>754603685026</v>
      </c>
      <c r="Z73" s="31"/>
      <c r="AA73" s="31"/>
      <c r="AB73" s="31"/>
      <c r="AC73" s="31"/>
      <c r="AD73" s="31"/>
      <c r="AE73" s="31"/>
      <c r="AF73" s="31"/>
      <c r="AG73" s="31"/>
      <c r="AH73" s="31"/>
      <c r="AI73" s="31"/>
      <c r="AJ73" s="31"/>
      <c r="AK73" s="31"/>
      <c r="AL73" s="31"/>
      <c r="AM73" s="31"/>
      <c r="AN73" s="31"/>
      <c r="AO73" s="31"/>
      <c r="AP73" s="31"/>
      <c r="AQ73" s="31"/>
      <c r="AR73" s="31"/>
      <c r="AS73" s="31"/>
    </row>
    <row r="74" spans="1:45" s="40" customFormat="1">
      <c r="A74" s="26" t="s">
        <v>919</v>
      </c>
      <c r="B74" s="27" t="s">
        <v>33</v>
      </c>
      <c r="C74" s="28" t="s">
        <v>920</v>
      </c>
      <c r="D74" s="29">
        <v>0</v>
      </c>
      <c r="E74" s="30"/>
      <c r="F74" s="31"/>
      <c r="G74" s="31"/>
      <c r="H74" s="27" t="s">
        <v>33</v>
      </c>
      <c r="I74" s="32"/>
      <c r="J74" s="33"/>
      <c r="K74" s="34"/>
      <c r="L74" s="34"/>
      <c r="M74" s="34"/>
      <c r="N74" s="31"/>
      <c r="O74" s="31"/>
      <c r="P74" s="31"/>
      <c r="Q74" s="31"/>
      <c r="R74" s="31"/>
      <c r="S74" s="31"/>
      <c r="T74" s="31"/>
      <c r="U74" s="42"/>
      <c r="V74" s="43"/>
      <c r="W74" s="37"/>
      <c r="X74" s="38" t="s">
        <v>921</v>
      </c>
      <c r="Y74" s="39">
        <v>754603684937</v>
      </c>
      <c r="Z74" s="31"/>
      <c r="AA74" s="31"/>
      <c r="AB74" s="31"/>
      <c r="AC74" s="31"/>
      <c r="AD74" s="31"/>
      <c r="AE74" s="31"/>
      <c r="AF74" s="31"/>
      <c r="AG74" s="31"/>
      <c r="AH74" s="31"/>
      <c r="AI74" s="31"/>
      <c r="AJ74" s="31"/>
      <c r="AK74" s="31"/>
      <c r="AL74" s="31"/>
      <c r="AM74" s="31"/>
      <c r="AN74" s="31"/>
      <c r="AO74" s="31"/>
      <c r="AP74" s="31"/>
      <c r="AQ74" s="31"/>
      <c r="AR74" s="31"/>
      <c r="AS74" s="31"/>
    </row>
    <row r="75" spans="1:45" s="40" customFormat="1">
      <c r="A75" s="26" t="s">
        <v>919</v>
      </c>
      <c r="B75" s="27" t="s">
        <v>95</v>
      </c>
      <c r="C75" s="28" t="s">
        <v>920</v>
      </c>
      <c r="D75" s="29">
        <v>1</v>
      </c>
      <c r="E75" s="30"/>
      <c r="F75" s="31"/>
      <c r="G75" s="31"/>
      <c r="H75" s="27" t="s">
        <v>95</v>
      </c>
      <c r="I75" s="32"/>
      <c r="J75" s="33"/>
      <c r="K75" s="34"/>
      <c r="L75" s="34"/>
      <c r="M75" s="34"/>
      <c r="N75" s="31"/>
      <c r="O75" s="31"/>
      <c r="P75" s="31"/>
      <c r="Q75" s="31"/>
      <c r="R75" s="31"/>
      <c r="S75" s="31"/>
      <c r="T75" s="31"/>
      <c r="U75" s="42"/>
      <c r="V75" s="43"/>
      <c r="W75" s="37"/>
      <c r="X75" s="38" t="s">
        <v>921</v>
      </c>
      <c r="Y75" s="39">
        <v>754603684791</v>
      </c>
      <c r="Z75" s="31"/>
      <c r="AA75" s="31"/>
      <c r="AB75" s="31"/>
      <c r="AC75" s="31"/>
      <c r="AD75" s="31"/>
      <c r="AE75" s="31"/>
      <c r="AF75" s="31"/>
      <c r="AG75" s="31"/>
      <c r="AH75" s="31"/>
      <c r="AI75" s="31"/>
      <c r="AJ75" s="31"/>
      <c r="AK75" s="31"/>
      <c r="AL75" s="31"/>
      <c r="AM75" s="31"/>
      <c r="AN75" s="31"/>
      <c r="AO75" s="31"/>
      <c r="AP75" s="31"/>
      <c r="AQ75" s="31"/>
      <c r="AR75" s="31"/>
      <c r="AS75" s="31"/>
    </row>
    <row r="76" spans="1:45" s="40" customFormat="1">
      <c r="A76" s="26" t="s">
        <v>919</v>
      </c>
      <c r="B76" s="27" t="s">
        <v>18</v>
      </c>
      <c r="C76" s="28" t="s">
        <v>920</v>
      </c>
      <c r="D76" s="29">
        <v>19</v>
      </c>
      <c r="E76" s="30"/>
      <c r="F76" s="31"/>
      <c r="G76" s="31"/>
      <c r="H76" s="27" t="s">
        <v>18</v>
      </c>
      <c r="I76" s="32"/>
      <c r="J76" s="33"/>
      <c r="K76" s="34"/>
      <c r="L76" s="34"/>
      <c r="M76" s="34"/>
      <c r="N76" s="31"/>
      <c r="O76" s="31"/>
      <c r="P76" s="31"/>
      <c r="Q76" s="31"/>
      <c r="R76" s="31"/>
      <c r="S76" s="31"/>
      <c r="T76" s="31"/>
      <c r="U76" s="42"/>
      <c r="V76" s="43"/>
      <c r="W76" s="37"/>
      <c r="X76" s="38" t="s">
        <v>921</v>
      </c>
      <c r="Y76" s="39">
        <v>754603684890</v>
      </c>
      <c r="Z76" s="31"/>
      <c r="AA76" s="31"/>
      <c r="AB76" s="31"/>
      <c r="AC76" s="31"/>
      <c r="AD76" s="31"/>
      <c r="AE76" s="31"/>
      <c r="AF76" s="31"/>
      <c r="AG76" s="31"/>
      <c r="AH76" s="31"/>
      <c r="AI76" s="31"/>
      <c r="AJ76" s="31"/>
      <c r="AK76" s="31"/>
      <c r="AL76" s="31"/>
      <c r="AM76" s="31"/>
      <c r="AN76" s="31"/>
      <c r="AO76" s="31"/>
      <c r="AP76" s="31"/>
      <c r="AQ76" s="31"/>
      <c r="AR76" s="31"/>
      <c r="AS76" s="31"/>
    </row>
    <row r="77" spans="1:45" s="40" customFormat="1">
      <c r="A77" s="26" t="s">
        <v>919</v>
      </c>
      <c r="B77" s="27" t="s">
        <v>35</v>
      </c>
      <c r="C77" s="28" t="s">
        <v>920</v>
      </c>
      <c r="D77" s="29">
        <v>13</v>
      </c>
      <c r="E77" s="30"/>
      <c r="F77" s="31"/>
      <c r="G77" s="31"/>
      <c r="H77" s="27" t="s">
        <v>35</v>
      </c>
      <c r="I77" s="32"/>
      <c r="J77" s="33"/>
      <c r="K77" s="34"/>
      <c r="L77" s="34"/>
      <c r="M77" s="34"/>
      <c r="N77" s="31"/>
      <c r="O77" s="31"/>
      <c r="P77" s="31"/>
      <c r="Q77" s="31"/>
      <c r="R77" s="31"/>
      <c r="S77" s="31"/>
      <c r="T77" s="31"/>
      <c r="U77" s="42"/>
      <c r="V77" s="43"/>
      <c r="W77" s="37"/>
      <c r="X77" s="38" t="s">
        <v>921</v>
      </c>
      <c r="Y77" s="39">
        <v>754603684777</v>
      </c>
      <c r="Z77" s="31"/>
      <c r="AA77" s="31"/>
      <c r="AB77" s="31"/>
      <c r="AC77" s="31"/>
      <c r="AD77" s="31"/>
      <c r="AE77" s="31"/>
      <c r="AF77" s="31"/>
      <c r="AG77" s="31"/>
      <c r="AH77" s="31"/>
      <c r="AI77" s="31"/>
      <c r="AJ77" s="31"/>
      <c r="AK77" s="31"/>
      <c r="AL77" s="31"/>
      <c r="AM77" s="31"/>
      <c r="AN77" s="31"/>
      <c r="AO77" s="31"/>
      <c r="AP77" s="31"/>
      <c r="AQ77" s="31"/>
      <c r="AR77" s="31"/>
      <c r="AS77" s="31"/>
    </row>
    <row r="78" spans="1:45" s="40" customFormat="1">
      <c r="A78" s="26" t="s">
        <v>919</v>
      </c>
      <c r="B78" s="27" t="s">
        <v>19</v>
      </c>
      <c r="C78" s="28" t="s">
        <v>920</v>
      </c>
      <c r="D78" s="29">
        <v>20</v>
      </c>
      <c r="E78" s="30"/>
      <c r="F78" s="31"/>
      <c r="G78" s="31"/>
      <c r="H78" s="27" t="s">
        <v>19</v>
      </c>
      <c r="I78" s="32"/>
      <c r="J78" s="33"/>
      <c r="K78" s="34"/>
      <c r="L78" s="34"/>
      <c r="M78" s="34"/>
      <c r="N78" s="31"/>
      <c r="O78" s="31"/>
      <c r="P78" s="31"/>
      <c r="Q78" s="31"/>
      <c r="R78" s="31"/>
      <c r="S78" s="31"/>
      <c r="T78" s="31"/>
      <c r="U78" s="42"/>
      <c r="V78" s="43"/>
      <c r="W78" s="37"/>
      <c r="X78" s="38" t="s">
        <v>921</v>
      </c>
      <c r="Y78" s="39">
        <v>754603685057</v>
      </c>
      <c r="Z78" s="31"/>
      <c r="AA78" s="31"/>
      <c r="AB78" s="31"/>
      <c r="AC78" s="31"/>
      <c r="AD78" s="31"/>
      <c r="AE78" s="31"/>
      <c r="AF78" s="31"/>
      <c r="AG78" s="31"/>
      <c r="AH78" s="31"/>
      <c r="AI78" s="31"/>
      <c r="AJ78" s="31"/>
      <c r="AK78" s="31"/>
      <c r="AL78" s="31"/>
      <c r="AM78" s="31"/>
      <c r="AN78" s="31"/>
      <c r="AO78" s="31"/>
      <c r="AP78" s="31"/>
      <c r="AQ78" s="31"/>
      <c r="AR78" s="31"/>
      <c r="AS78" s="31"/>
    </row>
    <row r="79" spans="1:45" s="40" customFormat="1">
      <c r="A79" s="26" t="s">
        <v>919</v>
      </c>
      <c r="B79" s="27" t="s">
        <v>96</v>
      </c>
      <c r="C79" s="28" t="s">
        <v>920</v>
      </c>
      <c r="D79" s="29">
        <v>15</v>
      </c>
      <c r="E79" s="30"/>
      <c r="F79" s="31"/>
      <c r="G79" s="31"/>
      <c r="H79" s="27" t="s">
        <v>96</v>
      </c>
      <c r="I79" s="32"/>
      <c r="J79" s="33"/>
      <c r="K79" s="34"/>
      <c r="L79" s="34"/>
      <c r="M79" s="34"/>
      <c r="N79" s="31"/>
      <c r="O79" s="31"/>
      <c r="P79" s="31"/>
      <c r="Q79" s="31"/>
      <c r="R79" s="31"/>
      <c r="S79" s="31"/>
      <c r="T79" s="31"/>
      <c r="U79" s="42"/>
      <c r="V79" s="43"/>
      <c r="W79" s="37"/>
      <c r="X79" s="38" t="s">
        <v>921</v>
      </c>
      <c r="Y79" s="39">
        <v>754603684876</v>
      </c>
      <c r="Z79" s="31"/>
      <c r="AA79" s="31"/>
      <c r="AB79" s="31"/>
      <c r="AC79" s="31"/>
      <c r="AD79" s="31"/>
      <c r="AE79" s="31"/>
      <c r="AF79" s="31"/>
      <c r="AG79" s="31"/>
      <c r="AH79" s="31"/>
      <c r="AI79" s="31"/>
      <c r="AJ79" s="31"/>
      <c r="AK79" s="31"/>
      <c r="AL79" s="31"/>
      <c r="AM79" s="31"/>
      <c r="AN79" s="31"/>
      <c r="AO79" s="31"/>
      <c r="AP79" s="31"/>
      <c r="AQ79" s="31"/>
      <c r="AR79" s="31"/>
      <c r="AS79" s="31"/>
    </row>
    <row r="80" spans="1:45" s="40" customFormat="1">
      <c r="A80" s="26" t="s">
        <v>919</v>
      </c>
      <c r="B80" s="27" t="s">
        <v>97</v>
      </c>
      <c r="C80" s="28" t="s">
        <v>920</v>
      </c>
      <c r="D80" s="29">
        <v>11</v>
      </c>
      <c r="E80" s="30"/>
      <c r="F80" s="31"/>
      <c r="G80" s="31"/>
      <c r="H80" s="27" t="s">
        <v>97</v>
      </c>
      <c r="I80" s="32"/>
      <c r="J80" s="33"/>
      <c r="K80" s="34"/>
      <c r="L80" s="34"/>
      <c r="M80" s="34"/>
      <c r="N80" s="31"/>
      <c r="O80" s="31"/>
      <c r="P80" s="31"/>
      <c r="Q80" s="31"/>
      <c r="R80" s="31"/>
      <c r="S80" s="31"/>
      <c r="T80" s="31"/>
      <c r="U80" s="42"/>
      <c r="V80" s="43"/>
      <c r="W80" s="37"/>
      <c r="X80" s="38" t="s">
        <v>921</v>
      </c>
      <c r="Y80" s="39">
        <v>754603788789</v>
      </c>
      <c r="Z80" s="31"/>
      <c r="AA80" s="31"/>
      <c r="AB80" s="31"/>
      <c r="AC80" s="31"/>
      <c r="AD80" s="31"/>
      <c r="AE80" s="31"/>
      <c r="AF80" s="31"/>
      <c r="AG80" s="31"/>
      <c r="AH80" s="31"/>
      <c r="AI80" s="31"/>
      <c r="AJ80" s="31"/>
      <c r="AK80" s="31"/>
      <c r="AL80" s="31"/>
      <c r="AM80" s="31"/>
      <c r="AN80" s="31"/>
      <c r="AO80" s="31"/>
      <c r="AP80" s="31"/>
      <c r="AQ80" s="31"/>
      <c r="AR80" s="31"/>
      <c r="AS80" s="31"/>
    </row>
    <row r="81" spans="1:45" s="40" customFormat="1">
      <c r="A81" s="26" t="s">
        <v>919</v>
      </c>
      <c r="B81" s="27" t="s">
        <v>98</v>
      </c>
      <c r="C81" s="28" t="s">
        <v>920</v>
      </c>
      <c r="D81" s="29">
        <v>15</v>
      </c>
      <c r="E81" s="30"/>
      <c r="F81" s="31"/>
      <c r="G81" s="31"/>
      <c r="H81" s="27" t="s">
        <v>98</v>
      </c>
      <c r="I81" s="32"/>
      <c r="J81" s="33"/>
      <c r="K81" s="34"/>
      <c r="L81" s="34"/>
      <c r="M81" s="34"/>
      <c r="N81" s="31"/>
      <c r="O81" s="31"/>
      <c r="P81" s="31"/>
      <c r="Q81" s="31"/>
      <c r="R81" s="31"/>
      <c r="S81" s="31"/>
      <c r="T81" s="31"/>
      <c r="U81" s="42"/>
      <c r="V81" s="43"/>
      <c r="W81" s="37"/>
      <c r="X81" s="38" t="s">
        <v>921</v>
      </c>
      <c r="Y81" s="39">
        <v>754603788826</v>
      </c>
      <c r="Z81" s="31"/>
      <c r="AA81" s="31"/>
      <c r="AB81" s="31"/>
      <c r="AC81" s="31"/>
      <c r="AD81" s="31"/>
      <c r="AE81" s="31"/>
      <c r="AF81" s="31"/>
      <c r="AG81" s="31"/>
      <c r="AH81" s="31"/>
      <c r="AI81" s="31"/>
      <c r="AJ81" s="31"/>
      <c r="AK81" s="31"/>
      <c r="AL81" s="31"/>
      <c r="AM81" s="31"/>
      <c r="AN81" s="31"/>
      <c r="AO81" s="31"/>
      <c r="AP81" s="31"/>
      <c r="AQ81" s="31"/>
      <c r="AR81" s="31"/>
      <c r="AS81" s="31"/>
    </row>
    <row r="82" spans="1:45" s="40" customFormat="1">
      <c r="A82" s="26" t="s">
        <v>919</v>
      </c>
      <c r="B82" s="27" t="s">
        <v>99</v>
      </c>
      <c r="C82" s="28" t="s">
        <v>920</v>
      </c>
      <c r="D82" s="29">
        <v>5</v>
      </c>
      <c r="E82" s="30"/>
      <c r="F82" s="31"/>
      <c r="G82" s="31"/>
      <c r="H82" s="27" t="s">
        <v>99</v>
      </c>
      <c r="I82" s="32"/>
      <c r="J82" s="33"/>
      <c r="K82" s="34"/>
      <c r="L82" s="34"/>
      <c r="M82" s="34"/>
      <c r="N82" s="31"/>
      <c r="O82" s="31"/>
      <c r="P82" s="31"/>
      <c r="Q82" s="31"/>
      <c r="R82" s="31"/>
      <c r="S82" s="31"/>
      <c r="T82" s="31"/>
      <c r="U82" s="42"/>
      <c r="V82" s="43"/>
      <c r="W82" s="37"/>
      <c r="X82" s="38" t="s">
        <v>921</v>
      </c>
      <c r="Y82" s="39">
        <v>754603788819</v>
      </c>
      <c r="Z82" s="31"/>
      <c r="AA82" s="31"/>
      <c r="AB82" s="31"/>
      <c r="AC82" s="31"/>
      <c r="AD82" s="31"/>
      <c r="AE82" s="31"/>
      <c r="AF82" s="31"/>
      <c r="AG82" s="31"/>
      <c r="AH82" s="31"/>
      <c r="AI82" s="31"/>
      <c r="AJ82" s="31"/>
      <c r="AK82" s="31"/>
      <c r="AL82" s="31"/>
      <c r="AM82" s="31"/>
      <c r="AN82" s="31"/>
      <c r="AO82" s="31"/>
      <c r="AP82" s="31"/>
      <c r="AQ82" s="31"/>
      <c r="AR82" s="31"/>
      <c r="AS82" s="31"/>
    </row>
    <row r="83" spans="1:45" s="40" customFormat="1">
      <c r="A83" s="26" t="s">
        <v>919</v>
      </c>
      <c r="B83" s="27" t="s">
        <v>39</v>
      </c>
      <c r="C83" s="28" t="s">
        <v>920</v>
      </c>
      <c r="D83" s="29">
        <v>26</v>
      </c>
      <c r="E83" s="30"/>
      <c r="F83" s="31"/>
      <c r="G83" s="31"/>
      <c r="H83" s="27" t="s">
        <v>39</v>
      </c>
      <c r="I83" s="32"/>
      <c r="J83" s="33"/>
      <c r="K83" s="34"/>
      <c r="L83" s="34"/>
      <c r="M83" s="34"/>
      <c r="N83" s="31"/>
      <c r="O83" s="31"/>
      <c r="P83" s="31"/>
      <c r="Q83" s="31"/>
      <c r="R83" s="31"/>
      <c r="S83" s="31"/>
      <c r="T83" s="31"/>
      <c r="U83" s="42"/>
      <c r="V83" s="43"/>
      <c r="W83" s="37"/>
      <c r="X83" s="38" t="s">
        <v>921</v>
      </c>
      <c r="Y83" s="39">
        <v>754603788895</v>
      </c>
      <c r="Z83" s="31"/>
      <c r="AA83" s="31"/>
      <c r="AB83" s="31"/>
      <c r="AC83" s="31"/>
      <c r="AD83" s="31"/>
      <c r="AE83" s="31"/>
      <c r="AF83" s="31"/>
      <c r="AG83" s="31"/>
      <c r="AH83" s="31"/>
      <c r="AI83" s="31"/>
      <c r="AJ83" s="31"/>
      <c r="AK83" s="31"/>
      <c r="AL83" s="31"/>
      <c r="AM83" s="31"/>
      <c r="AN83" s="31"/>
      <c r="AO83" s="31"/>
      <c r="AP83" s="31"/>
      <c r="AQ83" s="31"/>
      <c r="AR83" s="31"/>
      <c r="AS83" s="31"/>
    </row>
    <row r="84" spans="1:45" s="40" customFormat="1">
      <c r="A84" s="26" t="s">
        <v>919</v>
      </c>
      <c r="B84" s="27" t="s">
        <v>146</v>
      </c>
      <c r="C84" s="28" t="s">
        <v>920</v>
      </c>
      <c r="D84" s="29">
        <v>0</v>
      </c>
      <c r="E84" s="30"/>
      <c r="F84" s="31"/>
      <c r="G84" s="31"/>
      <c r="H84" s="27" t="s">
        <v>146</v>
      </c>
      <c r="I84" s="32"/>
      <c r="J84" s="33"/>
      <c r="K84" s="34"/>
      <c r="L84" s="34"/>
      <c r="M84" s="34"/>
      <c r="N84" s="31"/>
      <c r="O84" s="31"/>
      <c r="P84" s="31"/>
      <c r="Q84" s="31"/>
      <c r="R84" s="31"/>
      <c r="S84" s="31"/>
      <c r="T84" s="31"/>
      <c r="U84" s="42"/>
      <c r="V84" s="43"/>
      <c r="W84" s="37"/>
      <c r="X84" s="38" t="s">
        <v>921</v>
      </c>
      <c r="Y84" s="39">
        <v>754603788963</v>
      </c>
      <c r="Z84" s="31"/>
      <c r="AA84" s="31"/>
      <c r="AB84" s="31"/>
      <c r="AC84" s="31"/>
      <c r="AD84" s="31"/>
      <c r="AE84" s="31"/>
      <c r="AF84" s="31"/>
      <c r="AG84" s="31"/>
      <c r="AH84" s="31"/>
      <c r="AI84" s="31"/>
      <c r="AJ84" s="31"/>
      <c r="AK84" s="31"/>
      <c r="AL84" s="31"/>
      <c r="AM84" s="31"/>
      <c r="AN84" s="31"/>
      <c r="AO84" s="31"/>
      <c r="AP84" s="31"/>
      <c r="AQ84" s="31"/>
      <c r="AR84" s="31"/>
      <c r="AS84" s="31"/>
    </row>
    <row r="85" spans="1:45" s="40" customFormat="1">
      <c r="A85" s="26" t="s">
        <v>919</v>
      </c>
      <c r="B85" s="27" t="s">
        <v>37</v>
      </c>
      <c r="C85" s="28" t="s">
        <v>920</v>
      </c>
      <c r="D85" s="29">
        <v>18</v>
      </c>
      <c r="E85" s="30"/>
      <c r="F85" s="31"/>
      <c r="G85" s="31"/>
      <c r="H85" s="27" t="s">
        <v>37</v>
      </c>
      <c r="I85" s="32"/>
      <c r="J85" s="33"/>
      <c r="K85" s="34"/>
      <c r="L85" s="34"/>
      <c r="M85" s="34"/>
      <c r="N85" s="31"/>
      <c r="O85" s="31"/>
      <c r="P85" s="31"/>
      <c r="Q85" s="31"/>
      <c r="R85" s="31"/>
      <c r="S85" s="31"/>
      <c r="T85" s="31"/>
      <c r="U85" s="42"/>
      <c r="V85" s="43"/>
      <c r="W85" s="37"/>
      <c r="X85" s="38" t="s">
        <v>921</v>
      </c>
      <c r="Y85" s="39">
        <v>754603788741</v>
      </c>
      <c r="Z85" s="31"/>
      <c r="AA85" s="31"/>
      <c r="AB85" s="31"/>
      <c r="AC85" s="31"/>
      <c r="AD85" s="31"/>
      <c r="AE85" s="31"/>
      <c r="AF85" s="31"/>
      <c r="AG85" s="31"/>
      <c r="AH85" s="31"/>
      <c r="AI85" s="31"/>
      <c r="AJ85" s="31"/>
      <c r="AK85" s="31"/>
      <c r="AL85" s="31"/>
      <c r="AM85" s="31"/>
      <c r="AN85" s="31"/>
      <c r="AO85" s="31"/>
      <c r="AP85" s="31"/>
      <c r="AQ85" s="31"/>
      <c r="AR85" s="31"/>
      <c r="AS85" s="31"/>
    </row>
    <row r="86" spans="1:45" s="40" customFormat="1">
      <c r="A86" s="26" t="s">
        <v>919</v>
      </c>
      <c r="B86" s="27" t="s">
        <v>100</v>
      </c>
      <c r="C86" s="28" t="s">
        <v>920</v>
      </c>
      <c r="D86" s="29">
        <v>35</v>
      </c>
      <c r="E86" s="30"/>
      <c r="F86" s="31"/>
      <c r="G86" s="31"/>
      <c r="H86" s="27" t="s">
        <v>100</v>
      </c>
      <c r="I86" s="32"/>
      <c r="J86" s="33"/>
      <c r="K86" s="34"/>
      <c r="L86" s="34"/>
      <c r="M86" s="34"/>
      <c r="N86" s="31"/>
      <c r="O86" s="31"/>
      <c r="P86" s="31"/>
      <c r="Q86" s="31"/>
      <c r="R86" s="31"/>
      <c r="S86" s="31"/>
      <c r="T86" s="31"/>
      <c r="U86" s="42"/>
      <c r="V86" s="43"/>
      <c r="W86" s="37"/>
      <c r="X86" s="38" t="s">
        <v>921</v>
      </c>
      <c r="Y86" s="39">
        <v>754603788932</v>
      </c>
      <c r="Z86" s="31"/>
      <c r="AA86" s="31"/>
      <c r="AB86" s="31"/>
      <c r="AC86" s="31"/>
      <c r="AD86" s="31"/>
      <c r="AE86" s="31"/>
      <c r="AF86" s="31"/>
      <c r="AG86" s="31"/>
      <c r="AH86" s="31"/>
      <c r="AI86" s="31"/>
      <c r="AJ86" s="31"/>
      <c r="AK86" s="31"/>
      <c r="AL86" s="31"/>
      <c r="AM86" s="31"/>
      <c r="AN86" s="31"/>
      <c r="AO86" s="31"/>
      <c r="AP86" s="31"/>
      <c r="AQ86" s="31"/>
      <c r="AR86" s="31"/>
      <c r="AS86" s="31"/>
    </row>
    <row r="87" spans="1:45" s="40" customFormat="1">
      <c r="A87" s="26" t="s">
        <v>919</v>
      </c>
      <c r="B87" s="27" t="s">
        <v>34</v>
      </c>
      <c r="C87" s="28" t="s">
        <v>920</v>
      </c>
      <c r="D87" s="29">
        <v>24</v>
      </c>
      <c r="E87" s="30"/>
      <c r="F87" s="31"/>
      <c r="G87" s="31"/>
      <c r="H87" s="27" t="s">
        <v>34</v>
      </c>
      <c r="I87" s="32"/>
      <c r="J87" s="33"/>
      <c r="K87" s="34"/>
      <c r="L87" s="34"/>
      <c r="M87" s="34"/>
      <c r="N87" s="31"/>
      <c r="O87" s="31"/>
      <c r="P87" s="31"/>
      <c r="Q87" s="31"/>
      <c r="R87" s="31"/>
      <c r="S87" s="31"/>
      <c r="T87" s="31"/>
      <c r="U87" s="42"/>
      <c r="V87" s="43"/>
      <c r="W87" s="37"/>
      <c r="X87" s="38" t="s">
        <v>921</v>
      </c>
      <c r="Y87" s="39">
        <v>754603788840</v>
      </c>
      <c r="Z87" s="31"/>
      <c r="AA87" s="31"/>
      <c r="AB87" s="31"/>
      <c r="AC87" s="31"/>
      <c r="AD87" s="31"/>
      <c r="AE87" s="31"/>
      <c r="AF87" s="31"/>
      <c r="AG87" s="31"/>
      <c r="AH87" s="31"/>
      <c r="AI87" s="31"/>
      <c r="AJ87" s="31"/>
      <c r="AK87" s="31"/>
      <c r="AL87" s="31"/>
      <c r="AM87" s="31"/>
      <c r="AN87" s="31"/>
      <c r="AO87" s="31"/>
      <c r="AP87" s="31"/>
      <c r="AQ87" s="31"/>
      <c r="AR87" s="31"/>
      <c r="AS87" s="31"/>
    </row>
    <row r="88" spans="1:45" s="40" customFormat="1">
      <c r="A88" s="26" t="s">
        <v>919</v>
      </c>
      <c r="B88" s="27" t="s">
        <v>40</v>
      </c>
      <c r="C88" s="28" t="s">
        <v>920</v>
      </c>
      <c r="D88" s="29">
        <v>37</v>
      </c>
      <c r="E88" s="30"/>
      <c r="F88" s="31"/>
      <c r="G88" s="31"/>
      <c r="H88" s="27" t="s">
        <v>40</v>
      </c>
      <c r="I88" s="32"/>
      <c r="J88" s="33"/>
      <c r="K88" s="34"/>
      <c r="L88" s="34"/>
      <c r="M88" s="34"/>
      <c r="N88" s="31"/>
      <c r="O88" s="31"/>
      <c r="P88" s="31"/>
      <c r="Q88" s="31"/>
      <c r="R88" s="31"/>
      <c r="S88" s="31"/>
      <c r="T88" s="31"/>
      <c r="U88" s="42"/>
      <c r="V88" s="43"/>
      <c r="W88" s="37"/>
      <c r="X88" s="38" t="s">
        <v>921</v>
      </c>
      <c r="Y88" s="39">
        <v>754603788918</v>
      </c>
      <c r="Z88" s="31"/>
      <c r="AA88" s="31"/>
      <c r="AB88" s="31"/>
      <c r="AC88" s="31"/>
      <c r="AD88" s="31"/>
      <c r="AE88" s="31"/>
      <c r="AF88" s="31"/>
      <c r="AG88" s="31"/>
      <c r="AH88" s="31"/>
      <c r="AI88" s="31"/>
      <c r="AJ88" s="31"/>
      <c r="AK88" s="31"/>
      <c r="AL88" s="31"/>
      <c r="AM88" s="31"/>
      <c r="AN88" s="31"/>
      <c r="AO88" s="31"/>
      <c r="AP88" s="31"/>
      <c r="AQ88" s="31"/>
      <c r="AR88" s="31"/>
      <c r="AS88" s="31"/>
    </row>
    <row r="89" spans="1:45" s="40" customFormat="1">
      <c r="A89" s="26" t="s">
        <v>919</v>
      </c>
      <c r="B89" s="27" t="s">
        <v>27</v>
      </c>
      <c r="C89" s="28" t="s">
        <v>920</v>
      </c>
      <c r="D89" s="29">
        <v>0</v>
      </c>
      <c r="E89" s="30"/>
      <c r="F89" s="31"/>
      <c r="G89" s="31"/>
      <c r="H89" s="27" t="s">
        <v>27</v>
      </c>
      <c r="I89" s="32"/>
      <c r="J89" s="33"/>
      <c r="K89" s="34"/>
      <c r="L89" s="34"/>
      <c r="M89" s="34"/>
      <c r="N89" s="31"/>
      <c r="O89" s="31"/>
      <c r="P89" s="31"/>
      <c r="Q89" s="31"/>
      <c r="R89" s="31"/>
      <c r="S89" s="31"/>
      <c r="T89" s="31"/>
      <c r="U89" s="42"/>
      <c r="V89" s="43"/>
      <c r="W89" s="37"/>
      <c r="X89" s="38" t="s">
        <v>921</v>
      </c>
      <c r="Y89" s="39">
        <v>754603788956</v>
      </c>
      <c r="Z89" s="31"/>
      <c r="AA89" s="31"/>
      <c r="AB89" s="31"/>
      <c r="AC89" s="31"/>
      <c r="AD89" s="31"/>
      <c r="AE89" s="31"/>
      <c r="AF89" s="31"/>
      <c r="AG89" s="31"/>
      <c r="AH89" s="31"/>
      <c r="AI89" s="31"/>
      <c r="AJ89" s="31"/>
      <c r="AK89" s="31"/>
      <c r="AL89" s="31"/>
      <c r="AM89" s="31"/>
      <c r="AN89" s="31"/>
      <c r="AO89" s="31"/>
      <c r="AP89" s="31"/>
      <c r="AQ89" s="31"/>
      <c r="AR89" s="31"/>
      <c r="AS89" s="31"/>
    </row>
    <row r="90" spans="1:45" s="40" customFormat="1">
      <c r="A90" s="26" t="s">
        <v>919</v>
      </c>
      <c r="B90" s="27" t="s">
        <v>10</v>
      </c>
      <c r="C90" s="28" t="s">
        <v>920</v>
      </c>
      <c r="D90" s="29">
        <v>14</v>
      </c>
      <c r="E90" s="30"/>
      <c r="F90" s="31"/>
      <c r="G90" s="31"/>
      <c r="H90" s="27" t="s">
        <v>10</v>
      </c>
      <c r="I90" s="32"/>
      <c r="J90" s="33"/>
      <c r="K90" s="34"/>
      <c r="L90" s="34"/>
      <c r="M90" s="34"/>
      <c r="N90" s="31"/>
      <c r="O90" s="31"/>
      <c r="P90" s="31"/>
      <c r="Q90" s="31"/>
      <c r="R90" s="31"/>
      <c r="S90" s="31"/>
      <c r="T90" s="31"/>
      <c r="U90" s="42"/>
      <c r="V90" s="43"/>
      <c r="W90" s="37"/>
      <c r="X90" s="38" t="s">
        <v>921</v>
      </c>
      <c r="Y90" s="39">
        <v>754603789014</v>
      </c>
      <c r="Z90" s="31"/>
      <c r="AA90" s="31"/>
      <c r="AB90" s="31"/>
      <c r="AC90" s="31"/>
      <c r="AD90" s="31"/>
      <c r="AE90" s="31"/>
      <c r="AF90" s="31"/>
      <c r="AG90" s="31"/>
      <c r="AH90" s="31"/>
      <c r="AI90" s="31"/>
      <c r="AJ90" s="31"/>
      <c r="AK90" s="31"/>
      <c r="AL90" s="31"/>
      <c r="AM90" s="31"/>
      <c r="AN90" s="31"/>
      <c r="AO90" s="31"/>
      <c r="AP90" s="31"/>
      <c r="AQ90" s="31"/>
      <c r="AR90" s="31"/>
      <c r="AS90" s="31"/>
    </row>
    <row r="91" spans="1:45" s="40" customFormat="1">
      <c r="A91" s="26" t="s">
        <v>919</v>
      </c>
      <c r="B91" s="27" t="s">
        <v>101</v>
      </c>
      <c r="C91" s="28" t="s">
        <v>920</v>
      </c>
      <c r="D91" s="29">
        <v>33</v>
      </c>
      <c r="E91" s="30"/>
      <c r="F91" s="31"/>
      <c r="G91" s="31"/>
      <c r="H91" s="27" t="s">
        <v>101</v>
      </c>
      <c r="I91" s="32"/>
      <c r="J91" s="33"/>
      <c r="K91" s="34"/>
      <c r="L91" s="34"/>
      <c r="M91" s="34"/>
      <c r="N91" s="31"/>
      <c r="O91" s="31"/>
      <c r="P91" s="31"/>
      <c r="Q91" s="31"/>
      <c r="R91" s="31"/>
      <c r="S91" s="31"/>
      <c r="T91" s="31"/>
      <c r="U91" s="42"/>
      <c r="V91" s="43"/>
      <c r="W91" s="37"/>
      <c r="X91" s="38" t="s">
        <v>921</v>
      </c>
      <c r="Y91" s="39">
        <v>754603788994</v>
      </c>
      <c r="Z91" s="31"/>
      <c r="AA91" s="31"/>
      <c r="AB91" s="31"/>
      <c r="AC91" s="31"/>
      <c r="AD91" s="31"/>
      <c r="AE91" s="31"/>
      <c r="AF91" s="31"/>
      <c r="AG91" s="31"/>
      <c r="AH91" s="31"/>
      <c r="AI91" s="31"/>
      <c r="AJ91" s="31"/>
      <c r="AK91" s="31"/>
      <c r="AL91" s="31"/>
      <c r="AM91" s="31"/>
      <c r="AN91" s="31"/>
      <c r="AO91" s="31"/>
      <c r="AP91" s="31"/>
      <c r="AQ91" s="31"/>
      <c r="AR91" s="31"/>
      <c r="AS91" s="31"/>
    </row>
    <row r="92" spans="1:45" s="40" customFormat="1">
      <c r="A92" s="26" t="s">
        <v>919</v>
      </c>
      <c r="B92" s="27" t="s">
        <v>25</v>
      </c>
      <c r="C92" s="28" t="s">
        <v>920</v>
      </c>
      <c r="D92" s="29">
        <v>19</v>
      </c>
      <c r="E92" s="30"/>
      <c r="F92" s="31"/>
      <c r="G92" s="31"/>
      <c r="H92" s="27" t="s">
        <v>25</v>
      </c>
      <c r="I92" s="32"/>
      <c r="J92" s="33"/>
      <c r="K92" s="34"/>
      <c r="L92" s="34"/>
      <c r="M92" s="34"/>
      <c r="N92" s="31"/>
      <c r="O92" s="31"/>
      <c r="P92" s="31"/>
      <c r="Q92" s="31"/>
      <c r="R92" s="31"/>
      <c r="S92" s="31"/>
      <c r="T92" s="31"/>
      <c r="U92" s="42"/>
      <c r="V92" s="43"/>
      <c r="W92" s="37"/>
      <c r="X92" s="38" t="s">
        <v>921</v>
      </c>
      <c r="Y92" s="39">
        <v>754603788970</v>
      </c>
      <c r="Z92" s="31"/>
      <c r="AA92" s="31"/>
      <c r="AB92" s="31"/>
      <c r="AC92" s="31"/>
      <c r="AD92" s="31"/>
      <c r="AE92" s="31"/>
      <c r="AF92" s="31"/>
      <c r="AG92" s="31"/>
      <c r="AH92" s="31"/>
      <c r="AI92" s="31"/>
      <c r="AJ92" s="31"/>
      <c r="AK92" s="31"/>
      <c r="AL92" s="31"/>
      <c r="AM92" s="31"/>
      <c r="AN92" s="31"/>
      <c r="AO92" s="31"/>
      <c r="AP92" s="31"/>
      <c r="AQ92" s="31"/>
      <c r="AR92" s="31"/>
      <c r="AS92" s="31"/>
    </row>
    <row r="93" spans="1:45" s="40" customFormat="1">
      <c r="A93" s="26" t="s">
        <v>919</v>
      </c>
      <c r="B93" s="27" t="s">
        <v>102</v>
      </c>
      <c r="C93" s="28" t="s">
        <v>920</v>
      </c>
      <c r="D93" s="29">
        <v>10</v>
      </c>
      <c r="E93" s="30"/>
      <c r="F93" s="31"/>
      <c r="G93" s="31"/>
      <c r="H93" s="27" t="s">
        <v>102</v>
      </c>
      <c r="I93" s="32"/>
      <c r="J93" s="33"/>
      <c r="K93" s="34"/>
      <c r="L93" s="34"/>
      <c r="M93" s="34"/>
      <c r="N93" s="31"/>
      <c r="O93" s="31"/>
      <c r="P93" s="31"/>
      <c r="Q93" s="31"/>
      <c r="R93" s="31"/>
      <c r="S93" s="31"/>
      <c r="T93" s="31"/>
      <c r="U93" s="42"/>
      <c r="V93" s="43"/>
      <c r="W93" s="37"/>
      <c r="X93" s="38" t="s">
        <v>921</v>
      </c>
      <c r="Y93" s="39">
        <v>754603788772</v>
      </c>
      <c r="Z93" s="31"/>
      <c r="AA93" s="31"/>
      <c r="AB93" s="31"/>
      <c r="AC93" s="31"/>
      <c r="AD93" s="31"/>
      <c r="AE93" s="31"/>
      <c r="AF93" s="31"/>
      <c r="AG93" s="31"/>
      <c r="AH93" s="31"/>
      <c r="AI93" s="31"/>
      <c r="AJ93" s="31"/>
      <c r="AK93" s="31"/>
      <c r="AL93" s="31"/>
      <c r="AM93" s="31"/>
      <c r="AN93" s="31"/>
      <c r="AO93" s="31"/>
      <c r="AP93" s="31"/>
      <c r="AQ93" s="31"/>
      <c r="AR93" s="31"/>
      <c r="AS93" s="31"/>
    </row>
    <row r="94" spans="1:45" s="40" customFormat="1">
      <c r="A94" s="26" t="s">
        <v>919</v>
      </c>
      <c r="B94" s="27" t="s">
        <v>103</v>
      </c>
      <c r="C94" s="28" t="s">
        <v>920</v>
      </c>
      <c r="D94" s="29">
        <v>0</v>
      </c>
      <c r="E94" s="30"/>
      <c r="F94" s="31"/>
      <c r="G94" s="31"/>
      <c r="H94" s="27" t="s">
        <v>103</v>
      </c>
      <c r="I94" s="32"/>
      <c r="J94" s="33"/>
      <c r="K94" s="34"/>
      <c r="L94" s="34"/>
      <c r="M94" s="34"/>
      <c r="N94" s="31"/>
      <c r="O94" s="31"/>
      <c r="P94" s="31"/>
      <c r="Q94" s="31"/>
      <c r="R94" s="31"/>
      <c r="S94" s="31"/>
      <c r="T94" s="31"/>
      <c r="U94" s="42"/>
      <c r="V94" s="43"/>
      <c r="W94" s="37"/>
      <c r="X94" s="38" t="s">
        <v>921</v>
      </c>
      <c r="Y94" s="39">
        <v>754603788758</v>
      </c>
      <c r="Z94" s="31"/>
      <c r="AA94" s="31"/>
      <c r="AB94" s="31"/>
      <c r="AC94" s="31"/>
      <c r="AD94" s="31"/>
      <c r="AE94" s="31"/>
      <c r="AF94" s="31"/>
      <c r="AG94" s="31"/>
      <c r="AH94" s="31"/>
      <c r="AI94" s="31"/>
      <c r="AJ94" s="31"/>
      <c r="AK94" s="31"/>
      <c r="AL94" s="31"/>
      <c r="AM94" s="31"/>
      <c r="AN94" s="31"/>
      <c r="AO94" s="31"/>
      <c r="AP94" s="31"/>
      <c r="AQ94" s="31"/>
      <c r="AR94" s="31"/>
      <c r="AS94" s="31"/>
    </row>
    <row r="95" spans="1:45" s="40" customFormat="1">
      <c r="A95" s="26" t="s">
        <v>919</v>
      </c>
      <c r="B95" s="27" t="s">
        <v>121</v>
      </c>
      <c r="C95" s="28" t="s">
        <v>920</v>
      </c>
      <c r="D95" s="29">
        <v>19</v>
      </c>
      <c r="E95" s="30"/>
      <c r="F95" s="31"/>
      <c r="G95" s="31"/>
      <c r="H95" s="27" t="s">
        <v>121</v>
      </c>
      <c r="I95" s="32"/>
      <c r="J95" s="33"/>
      <c r="K95" s="34"/>
      <c r="L95" s="34"/>
      <c r="M95" s="34"/>
      <c r="N95" s="31"/>
      <c r="O95" s="31"/>
      <c r="P95" s="31"/>
      <c r="Q95" s="31"/>
      <c r="R95" s="31"/>
      <c r="S95" s="31"/>
      <c r="T95" s="31"/>
      <c r="U95" s="42"/>
      <c r="V95" s="43"/>
      <c r="W95" s="37"/>
      <c r="X95" s="38" t="s">
        <v>921</v>
      </c>
      <c r="Y95" s="39">
        <v>754603790645</v>
      </c>
      <c r="Z95" s="31"/>
      <c r="AA95" s="31"/>
      <c r="AB95" s="31"/>
      <c r="AC95" s="31"/>
      <c r="AD95" s="31"/>
      <c r="AE95" s="31"/>
      <c r="AF95" s="31"/>
      <c r="AG95" s="31"/>
      <c r="AH95" s="31"/>
      <c r="AI95" s="31"/>
      <c r="AJ95" s="31"/>
      <c r="AK95" s="31"/>
      <c r="AL95" s="31"/>
      <c r="AM95" s="31"/>
      <c r="AN95" s="31"/>
      <c r="AO95" s="31"/>
      <c r="AP95" s="31"/>
      <c r="AQ95" s="31"/>
      <c r="AR95" s="31"/>
      <c r="AS95" s="31"/>
    </row>
    <row r="96" spans="1:45" s="40" customFormat="1">
      <c r="A96" s="26" t="s">
        <v>919</v>
      </c>
      <c r="B96" s="27" t="s">
        <v>122</v>
      </c>
      <c r="C96" s="28" t="s">
        <v>920</v>
      </c>
      <c r="D96" s="29">
        <v>4</v>
      </c>
      <c r="E96" s="30"/>
      <c r="F96" s="31"/>
      <c r="G96" s="31"/>
      <c r="H96" s="27" t="s">
        <v>122</v>
      </c>
      <c r="I96" s="32"/>
      <c r="J96" s="33"/>
      <c r="K96" s="34"/>
      <c r="L96" s="34"/>
      <c r="M96" s="34"/>
      <c r="N96" s="31"/>
      <c r="O96" s="31"/>
      <c r="P96" s="31"/>
      <c r="Q96" s="31"/>
      <c r="R96" s="31"/>
      <c r="S96" s="31"/>
      <c r="T96" s="31"/>
      <c r="U96" s="42"/>
      <c r="V96" s="43"/>
      <c r="W96" s="37"/>
      <c r="X96" s="38" t="s">
        <v>921</v>
      </c>
      <c r="Y96" s="39">
        <v>754603790744</v>
      </c>
      <c r="Z96" s="31"/>
      <c r="AA96" s="31"/>
      <c r="AB96" s="31"/>
      <c r="AC96" s="31"/>
      <c r="AD96" s="31"/>
      <c r="AE96" s="31"/>
      <c r="AF96" s="31"/>
      <c r="AG96" s="31"/>
      <c r="AH96" s="31"/>
      <c r="AI96" s="31"/>
      <c r="AJ96" s="31"/>
      <c r="AK96" s="31"/>
      <c r="AL96" s="31"/>
      <c r="AM96" s="31"/>
      <c r="AN96" s="31"/>
      <c r="AO96" s="31"/>
      <c r="AP96" s="31"/>
      <c r="AQ96" s="31"/>
      <c r="AR96" s="31"/>
      <c r="AS96" s="31"/>
    </row>
    <row r="97" spans="1:256" s="40" customFormat="1">
      <c r="A97" s="26" t="s">
        <v>919</v>
      </c>
      <c r="B97" s="27" t="s">
        <v>1</v>
      </c>
      <c r="C97" s="28" t="s">
        <v>920</v>
      </c>
      <c r="D97" s="29">
        <v>23</v>
      </c>
      <c r="E97" s="30"/>
      <c r="F97" s="31"/>
      <c r="G97" s="31"/>
      <c r="H97" s="27" t="s">
        <v>1</v>
      </c>
      <c r="I97" s="32"/>
      <c r="J97" s="33"/>
      <c r="K97" s="34"/>
      <c r="L97" s="34"/>
      <c r="M97" s="34"/>
      <c r="N97" s="31"/>
      <c r="O97" s="31"/>
      <c r="P97" s="31"/>
      <c r="Q97" s="31"/>
      <c r="R97" s="31"/>
      <c r="S97" s="31"/>
      <c r="T97" s="31"/>
      <c r="U97" s="42"/>
      <c r="V97" s="43"/>
      <c r="W97" s="37"/>
      <c r="X97" s="38" t="s">
        <v>921</v>
      </c>
      <c r="Y97" s="39">
        <v>754603790737</v>
      </c>
      <c r="Z97" s="31"/>
      <c r="AA97" s="31"/>
      <c r="AB97" s="31"/>
      <c r="AC97" s="31"/>
      <c r="AD97" s="31"/>
      <c r="AE97" s="31"/>
      <c r="AF97" s="31"/>
      <c r="AG97" s="31"/>
      <c r="AH97" s="31"/>
      <c r="AI97" s="31"/>
      <c r="AJ97" s="31"/>
      <c r="AK97" s="31"/>
      <c r="AL97" s="31"/>
      <c r="AM97" s="31"/>
      <c r="AN97" s="31"/>
      <c r="AO97" s="31"/>
      <c r="AP97" s="31"/>
      <c r="AQ97" s="31"/>
      <c r="AR97" s="31"/>
      <c r="AS97" s="31"/>
    </row>
    <row r="98" spans="1:256" s="40" customFormat="1">
      <c r="A98" s="26" t="s">
        <v>919</v>
      </c>
      <c r="B98" s="27" t="s">
        <v>123</v>
      </c>
      <c r="C98" s="28" t="s">
        <v>920</v>
      </c>
      <c r="D98" s="29">
        <v>14</v>
      </c>
      <c r="E98" s="30"/>
      <c r="F98" s="31"/>
      <c r="G98" s="31"/>
      <c r="H98" s="27" t="s">
        <v>123</v>
      </c>
      <c r="I98" s="32"/>
      <c r="J98" s="33"/>
      <c r="K98" s="34"/>
      <c r="L98" s="34"/>
      <c r="M98" s="34"/>
      <c r="N98" s="31"/>
      <c r="O98" s="31"/>
      <c r="P98" s="31"/>
      <c r="Q98" s="31"/>
      <c r="R98" s="31"/>
      <c r="S98" s="31"/>
      <c r="T98" s="31"/>
      <c r="U98" s="42"/>
      <c r="V98" s="43"/>
      <c r="W98" s="37"/>
      <c r="X98" s="38" t="s">
        <v>921</v>
      </c>
      <c r="Y98" s="39">
        <v>754603790836</v>
      </c>
      <c r="Z98" s="31"/>
      <c r="AA98" s="31"/>
      <c r="AB98" s="31"/>
      <c r="AC98" s="31"/>
      <c r="AD98" s="31"/>
      <c r="AE98" s="31"/>
      <c r="AF98" s="31"/>
      <c r="AG98" s="31"/>
      <c r="AH98" s="31"/>
      <c r="AI98" s="31"/>
      <c r="AJ98" s="31"/>
      <c r="AK98" s="31"/>
      <c r="AL98" s="31"/>
      <c r="AM98" s="31"/>
      <c r="AN98" s="31"/>
      <c r="AO98" s="31"/>
      <c r="AP98" s="31"/>
      <c r="AQ98" s="31"/>
      <c r="AR98" s="31"/>
      <c r="AS98" s="31"/>
    </row>
    <row r="99" spans="1:256" s="40" customFormat="1">
      <c r="A99" s="26" t="s">
        <v>919</v>
      </c>
      <c r="B99" s="27" t="s">
        <v>124</v>
      </c>
      <c r="C99" s="28" t="s">
        <v>920</v>
      </c>
      <c r="D99" s="29">
        <v>0</v>
      </c>
      <c r="E99" s="30"/>
      <c r="F99" s="31"/>
      <c r="G99" s="31"/>
      <c r="H99" s="27" t="s">
        <v>124</v>
      </c>
      <c r="I99" s="32"/>
      <c r="J99" s="33"/>
      <c r="K99" s="34"/>
      <c r="L99" s="34"/>
      <c r="M99" s="34"/>
      <c r="N99" s="31"/>
      <c r="O99" s="31"/>
      <c r="P99" s="31"/>
      <c r="Q99" s="31"/>
      <c r="R99" s="31"/>
      <c r="S99" s="31"/>
      <c r="T99" s="31"/>
      <c r="U99" s="42"/>
      <c r="V99" s="43"/>
      <c r="W99" s="37"/>
      <c r="X99" s="38" t="s">
        <v>921</v>
      </c>
      <c r="Y99" s="39">
        <v>754603790911</v>
      </c>
      <c r="Z99" s="31"/>
      <c r="AA99" s="31"/>
      <c r="AB99" s="31"/>
      <c r="AC99" s="31"/>
      <c r="AD99" s="31"/>
      <c r="AE99" s="31"/>
      <c r="AF99" s="31"/>
      <c r="AG99" s="31"/>
      <c r="AH99" s="31"/>
      <c r="AI99" s="31"/>
      <c r="AJ99" s="31"/>
      <c r="AK99" s="31"/>
      <c r="AL99" s="31"/>
      <c r="AM99" s="31"/>
      <c r="AN99" s="31"/>
      <c r="AO99" s="31"/>
      <c r="AP99" s="31"/>
      <c r="AQ99" s="31"/>
      <c r="AR99" s="31"/>
      <c r="AS99" s="31"/>
    </row>
    <row r="100" spans="1:256" s="40" customFormat="1">
      <c r="A100" s="26" t="s">
        <v>919</v>
      </c>
      <c r="B100" s="27" t="s">
        <v>125</v>
      </c>
      <c r="C100" s="28" t="s">
        <v>920</v>
      </c>
      <c r="D100" s="29">
        <v>30</v>
      </c>
      <c r="E100" s="30"/>
      <c r="F100" s="31"/>
      <c r="G100" s="31"/>
      <c r="H100" s="27" t="s">
        <v>125</v>
      </c>
      <c r="I100" s="32"/>
      <c r="J100" s="33"/>
      <c r="K100" s="34"/>
      <c r="L100" s="34"/>
      <c r="M100" s="34"/>
      <c r="N100" s="31"/>
      <c r="O100" s="31"/>
      <c r="P100" s="31"/>
      <c r="Q100" s="31"/>
      <c r="R100" s="31"/>
      <c r="S100" s="31"/>
      <c r="T100" s="31"/>
      <c r="U100" s="42"/>
      <c r="V100" s="43"/>
      <c r="W100" s="37"/>
      <c r="X100" s="38" t="s">
        <v>921</v>
      </c>
      <c r="Y100" s="39">
        <v>754603790560</v>
      </c>
      <c r="Z100" s="31"/>
      <c r="AA100" s="31"/>
      <c r="AB100" s="31"/>
      <c r="AC100" s="31"/>
      <c r="AD100" s="31"/>
      <c r="AE100" s="31"/>
      <c r="AF100" s="31"/>
      <c r="AG100" s="31"/>
      <c r="AH100" s="31"/>
      <c r="AI100" s="31"/>
      <c r="AJ100" s="31"/>
      <c r="AK100" s="31"/>
      <c r="AL100" s="31"/>
      <c r="AM100" s="31"/>
      <c r="AN100" s="31"/>
      <c r="AO100" s="31"/>
      <c r="AP100" s="31"/>
      <c r="AQ100" s="31"/>
      <c r="AR100" s="31"/>
      <c r="AS100" s="31"/>
    </row>
    <row r="101" spans="1:256" s="40" customFormat="1">
      <c r="A101" s="26" t="s">
        <v>919</v>
      </c>
      <c r="B101" s="27" t="s">
        <v>126</v>
      </c>
      <c r="C101" s="28" t="s">
        <v>920</v>
      </c>
      <c r="D101" s="29">
        <v>24</v>
      </c>
      <c r="E101" s="30"/>
      <c r="F101" s="31"/>
      <c r="G101" s="31"/>
      <c r="H101" s="27" t="s">
        <v>126</v>
      </c>
      <c r="I101" s="32"/>
      <c r="J101" s="33"/>
      <c r="K101" s="34"/>
      <c r="L101" s="34"/>
      <c r="M101" s="34"/>
      <c r="N101" s="31"/>
      <c r="O101" s="31"/>
      <c r="P101" s="31"/>
      <c r="Q101" s="31"/>
      <c r="R101" s="31"/>
      <c r="S101" s="31"/>
      <c r="T101" s="31"/>
      <c r="U101" s="42"/>
      <c r="V101" s="43"/>
      <c r="W101" s="37"/>
      <c r="X101" s="38" t="s">
        <v>921</v>
      </c>
      <c r="Y101" s="39">
        <v>754603790874</v>
      </c>
      <c r="Z101" s="31"/>
      <c r="AA101" s="31"/>
      <c r="AB101" s="31"/>
      <c r="AC101" s="31"/>
      <c r="AD101" s="31"/>
      <c r="AE101" s="31"/>
      <c r="AF101" s="31"/>
      <c r="AG101" s="31"/>
      <c r="AH101" s="31"/>
      <c r="AI101" s="31"/>
      <c r="AJ101" s="31"/>
      <c r="AK101" s="31"/>
      <c r="AL101" s="31"/>
      <c r="AM101" s="31"/>
      <c r="AN101" s="31"/>
      <c r="AO101" s="31"/>
      <c r="AP101" s="31"/>
      <c r="AQ101" s="31"/>
      <c r="AR101" s="31"/>
      <c r="AS101" s="31"/>
    </row>
    <row r="102" spans="1:256" s="40" customFormat="1">
      <c r="A102" s="26" t="s">
        <v>919</v>
      </c>
      <c r="B102" s="27" t="s">
        <v>29</v>
      </c>
      <c r="C102" s="28" t="s">
        <v>920</v>
      </c>
      <c r="D102" s="29">
        <v>46</v>
      </c>
      <c r="E102" s="30"/>
      <c r="F102" s="31"/>
      <c r="G102" s="31"/>
      <c r="H102" s="27" t="s">
        <v>29</v>
      </c>
      <c r="I102" s="32"/>
      <c r="J102" s="33"/>
      <c r="K102" s="34"/>
      <c r="L102" s="34"/>
      <c r="M102" s="34"/>
      <c r="N102" s="31"/>
      <c r="O102" s="31"/>
      <c r="P102" s="31"/>
      <c r="Q102" s="31"/>
      <c r="R102" s="31"/>
      <c r="S102" s="31"/>
      <c r="T102" s="31"/>
      <c r="U102" s="42"/>
      <c r="V102" s="43"/>
      <c r="W102" s="37"/>
      <c r="X102" s="38" t="s">
        <v>921</v>
      </c>
      <c r="Y102" s="39">
        <v>754603790782</v>
      </c>
      <c r="Z102" s="31"/>
      <c r="AA102" s="31"/>
      <c r="AB102" s="31"/>
      <c r="AC102" s="31"/>
      <c r="AD102" s="31"/>
      <c r="AE102" s="31"/>
      <c r="AF102" s="31"/>
      <c r="AG102" s="31"/>
      <c r="AH102" s="31"/>
      <c r="AI102" s="31"/>
      <c r="AJ102" s="31"/>
      <c r="AK102" s="31"/>
      <c r="AL102" s="31"/>
      <c r="AM102" s="31"/>
      <c r="AN102" s="31"/>
      <c r="AO102" s="31"/>
      <c r="AP102" s="31"/>
      <c r="AQ102" s="31"/>
      <c r="AR102" s="31"/>
      <c r="AS102" s="31"/>
    </row>
    <row r="103" spans="1:256" s="40" customFormat="1">
      <c r="A103" s="26" t="s">
        <v>919</v>
      </c>
      <c r="B103" s="27" t="s">
        <v>26</v>
      </c>
      <c r="C103" s="28" t="s">
        <v>920</v>
      </c>
      <c r="D103" s="29">
        <v>34</v>
      </c>
      <c r="E103" s="30"/>
      <c r="F103" s="31"/>
      <c r="G103" s="31"/>
      <c r="H103" s="27" t="s">
        <v>26</v>
      </c>
      <c r="I103" s="32"/>
      <c r="J103" s="33"/>
      <c r="K103" s="34"/>
      <c r="L103" s="34"/>
      <c r="M103" s="34"/>
      <c r="N103" s="31"/>
      <c r="O103" s="31"/>
      <c r="P103" s="31"/>
      <c r="Q103" s="31"/>
      <c r="R103" s="31"/>
      <c r="S103" s="31"/>
      <c r="T103" s="31"/>
      <c r="U103" s="42"/>
      <c r="V103" s="43"/>
      <c r="W103" s="37"/>
      <c r="X103" s="38" t="s">
        <v>921</v>
      </c>
      <c r="Y103" s="39">
        <v>754603790850</v>
      </c>
      <c r="Z103" s="31"/>
      <c r="AA103" s="31"/>
      <c r="AB103" s="31"/>
      <c r="AC103" s="31"/>
      <c r="AD103" s="31"/>
      <c r="AE103" s="31"/>
      <c r="AF103" s="31"/>
      <c r="AG103" s="31"/>
      <c r="AH103" s="31"/>
      <c r="AI103" s="31"/>
      <c r="AJ103" s="31"/>
      <c r="AK103" s="31"/>
      <c r="AL103" s="31"/>
      <c r="AM103" s="31"/>
      <c r="AN103" s="31"/>
      <c r="AO103" s="31"/>
      <c r="AP103" s="31"/>
      <c r="AQ103" s="31"/>
      <c r="AR103" s="31"/>
      <c r="AS103" s="31"/>
    </row>
    <row r="104" spans="1:256" s="40" customFormat="1">
      <c r="A104" s="26" t="s">
        <v>919</v>
      </c>
      <c r="B104" s="27" t="s">
        <v>2</v>
      </c>
      <c r="C104" s="28" t="s">
        <v>920</v>
      </c>
      <c r="D104" s="29">
        <v>14</v>
      </c>
      <c r="E104" s="30"/>
      <c r="F104" s="31"/>
      <c r="G104" s="31"/>
      <c r="H104" s="27" t="s">
        <v>2</v>
      </c>
      <c r="I104" s="32"/>
      <c r="J104" s="33"/>
      <c r="K104" s="34"/>
      <c r="L104" s="34"/>
      <c r="M104" s="34"/>
      <c r="N104" s="31"/>
      <c r="O104" s="31"/>
      <c r="P104" s="31"/>
      <c r="Q104" s="31"/>
      <c r="R104" s="31"/>
      <c r="S104" s="31"/>
      <c r="T104" s="31"/>
      <c r="U104" s="42"/>
      <c r="V104" s="43"/>
      <c r="W104" s="37"/>
      <c r="X104" s="38" t="s">
        <v>921</v>
      </c>
      <c r="Y104" s="39">
        <v>754603790898</v>
      </c>
      <c r="Z104" s="31"/>
      <c r="AA104" s="31"/>
      <c r="AB104" s="31"/>
      <c r="AC104" s="31"/>
      <c r="AD104" s="31"/>
      <c r="AE104" s="31"/>
      <c r="AF104" s="31"/>
      <c r="AG104" s="31"/>
      <c r="AH104" s="31"/>
      <c r="AI104" s="31"/>
      <c r="AJ104" s="31"/>
      <c r="AK104" s="31"/>
      <c r="AL104" s="31"/>
      <c r="AM104" s="31"/>
      <c r="AN104" s="31"/>
      <c r="AO104" s="31"/>
      <c r="AP104" s="31"/>
      <c r="AQ104" s="31"/>
      <c r="AR104" s="31"/>
      <c r="AS104" s="31"/>
    </row>
    <row r="105" spans="1:256" s="40" customFormat="1">
      <c r="A105" s="26" t="s">
        <v>919</v>
      </c>
      <c r="B105" s="27" t="s">
        <v>127</v>
      </c>
      <c r="C105" s="28" t="s">
        <v>920</v>
      </c>
      <c r="D105" s="29">
        <v>7</v>
      </c>
      <c r="E105" s="30"/>
      <c r="F105" s="31"/>
      <c r="G105" s="31"/>
      <c r="H105" s="27" t="s">
        <v>127</v>
      </c>
      <c r="I105" s="32"/>
      <c r="J105" s="33"/>
      <c r="K105" s="34"/>
      <c r="L105" s="34"/>
      <c r="M105" s="34"/>
      <c r="N105" s="31"/>
      <c r="O105" s="31"/>
      <c r="P105" s="31"/>
      <c r="Q105" s="31"/>
      <c r="R105" s="31"/>
      <c r="S105" s="31"/>
      <c r="T105" s="31"/>
      <c r="U105" s="42"/>
      <c r="V105" s="43"/>
      <c r="W105" s="37"/>
      <c r="X105" s="38" t="s">
        <v>921</v>
      </c>
      <c r="Y105" s="39">
        <v>754603790973</v>
      </c>
      <c r="Z105" s="31"/>
      <c r="AA105" s="31"/>
      <c r="AB105" s="31"/>
      <c r="AC105" s="31"/>
      <c r="AD105" s="31"/>
      <c r="AE105" s="31"/>
      <c r="AF105" s="31"/>
      <c r="AG105" s="31"/>
      <c r="AH105" s="31"/>
      <c r="AI105" s="31"/>
      <c r="AJ105" s="31"/>
      <c r="AK105" s="31"/>
      <c r="AL105" s="31"/>
      <c r="AM105" s="31"/>
      <c r="AN105" s="31"/>
      <c r="AO105" s="31"/>
      <c r="AP105" s="31"/>
      <c r="AQ105" s="31"/>
      <c r="AR105" s="31"/>
      <c r="AS105" s="31"/>
    </row>
    <row r="106" spans="1:256" s="40" customFormat="1">
      <c r="A106" s="26" t="s">
        <v>919</v>
      </c>
      <c r="B106" s="27" t="s">
        <v>147</v>
      </c>
      <c r="C106" s="28" t="s">
        <v>920</v>
      </c>
      <c r="D106" s="29">
        <v>3</v>
      </c>
      <c r="E106" s="30"/>
      <c r="F106" s="31"/>
      <c r="G106" s="31"/>
      <c r="H106" s="27" t="s">
        <v>147</v>
      </c>
      <c r="I106" s="32"/>
      <c r="J106" s="33"/>
      <c r="K106" s="34"/>
      <c r="L106" s="34"/>
      <c r="M106" s="34"/>
      <c r="N106" s="31"/>
      <c r="O106" s="31"/>
      <c r="P106" s="31"/>
      <c r="Q106" s="31"/>
      <c r="R106" s="31"/>
      <c r="S106" s="31"/>
      <c r="T106" s="31"/>
      <c r="U106" s="42"/>
      <c r="V106" s="43"/>
      <c r="W106" s="37"/>
      <c r="X106" s="38" t="s">
        <v>921</v>
      </c>
      <c r="Y106" s="39">
        <v>754603790942</v>
      </c>
      <c r="Z106" s="31"/>
      <c r="AA106" s="31"/>
      <c r="AB106" s="31"/>
      <c r="AC106" s="31"/>
      <c r="AD106" s="31"/>
      <c r="AE106" s="31"/>
      <c r="AF106" s="31"/>
      <c r="AG106" s="31"/>
      <c r="AH106" s="31"/>
      <c r="AI106" s="31"/>
      <c r="AJ106" s="31"/>
      <c r="AK106" s="31"/>
      <c r="AL106" s="31"/>
      <c r="AM106" s="31"/>
      <c r="AN106" s="31"/>
      <c r="AO106" s="31"/>
      <c r="AP106" s="31"/>
      <c r="AQ106" s="31"/>
      <c r="AR106" s="31"/>
      <c r="AS106" s="31"/>
    </row>
    <row r="107" spans="1:256" s="40" customFormat="1">
      <c r="A107" s="26" t="s">
        <v>919</v>
      </c>
      <c r="B107" s="27" t="s">
        <v>148</v>
      </c>
      <c r="C107" s="28" t="s">
        <v>920</v>
      </c>
      <c r="D107" s="29">
        <v>15</v>
      </c>
      <c r="E107" s="30"/>
      <c r="F107" s="31"/>
      <c r="G107" s="31"/>
      <c r="H107" s="27" t="s">
        <v>148</v>
      </c>
      <c r="I107" s="32"/>
      <c r="J107" s="33"/>
      <c r="K107" s="34"/>
      <c r="L107" s="34"/>
      <c r="M107" s="34"/>
      <c r="N107" s="31"/>
      <c r="O107" s="31"/>
      <c r="P107" s="31"/>
      <c r="Q107" s="31"/>
      <c r="R107" s="31"/>
      <c r="S107" s="31"/>
      <c r="T107" s="31"/>
      <c r="U107" s="42"/>
      <c r="V107" s="43"/>
      <c r="W107" s="37"/>
      <c r="X107" s="38" t="s">
        <v>921</v>
      </c>
      <c r="Y107" s="39">
        <v>754603790928</v>
      </c>
      <c r="Z107" s="31"/>
      <c r="AA107" s="31"/>
      <c r="AB107" s="31"/>
      <c r="AC107" s="31"/>
      <c r="AD107" s="31"/>
      <c r="AE107" s="31"/>
      <c r="AF107" s="31"/>
      <c r="AG107" s="31"/>
      <c r="AH107" s="31"/>
      <c r="AI107" s="31"/>
      <c r="AJ107" s="31"/>
      <c r="AK107" s="31"/>
      <c r="AL107" s="31"/>
      <c r="AM107" s="31"/>
      <c r="AN107" s="31"/>
      <c r="AO107" s="31"/>
      <c r="AP107" s="31"/>
      <c r="AQ107" s="31"/>
      <c r="AR107" s="31"/>
      <c r="AS107" s="31"/>
    </row>
    <row r="108" spans="1:256" s="40" customFormat="1">
      <c r="A108" s="26" t="s">
        <v>919</v>
      </c>
      <c r="B108" s="27" t="s">
        <v>31</v>
      </c>
      <c r="C108" s="28" t="s">
        <v>920</v>
      </c>
      <c r="D108" s="29">
        <v>3</v>
      </c>
      <c r="E108" s="30"/>
      <c r="F108" s="31"/>
      <c r="G108" s="31"/>
      <c r="H108" s="27" t="s">
        <v>31</v>
      </c>
      <c r="I108" s="32"/>
      <c r="J108" s="33"/>
      <c r="K108" s="34"/>
      <c r="L108" s="34"/>
      <c r="M108" s="34"/>
      <c r="N108" s="31"/>
      <c r="O108" s="31"/>
      <c r="P108" s="31"/>
      <c r="Q108" s="31"/>
      <c r="R108" s="31"/>
      <c r="S108" s="31"/>
      <c r="T108" s="31"/>
      <c r="U108" s="42"/>
      <c r="V108" s="43"/>
      <c r="W108" s="37"/>
      <c r="X108" s="38" t="s">
        <v>921</v>
      </c>
      <c r="Y108" s="39">
        <v>754603790621</v>
      </c>
      <c r="Z108" s="31"/>
      <c r="AA108" s="31"/>
      <c r="AB108" s="31"/>
      <c r="AC108" s="31"/>
      <c r="AD108" s="31"/>
      <c r="AE108" s="31"/>
      <c r="AF108" s="31"/>
      <c r="AG108" s="31"/>
      <c r="AH108" s="31"/>
      <c r="AI108" s="31"/>
      <c r="AJ108" s="31"/>
      <c r="AK108" s="31"/>
      <c r="AL108" s="31"/>
      <c r="AM108" s="31"/>
      <c r="AN108" s="31"/>
      <c r="AO108" s="31"/>
      <c r="AP108" s="31"/>
      <c r="AQ108" s="31"/>
      <c r="AR108" s="31"/>
      <c r="AS108" s="31"/>
    </row>
    <row r="109" spans="1:256" s="40" customFormat="1">
      <c r="A109" s="26" t="s">
        <v>919</v>
      </c>
      <c r="B109" s="27" t="s">
        <v>128</v>
      </c>
      <c r="C109" s="28" t="s">
        <v>920</v>
      </c>
      <c r="D109" s="29">
        <v>0</v>
      </c>
      <c r="E109" s="30"/>
      <c r="F109" s="31"/>
      <c r="G109" s="31"/>
      <c r="H109" s="27" t="s">
        <v>128</v>
      </c>
      <c r="I109" s="32"/>
      <c r="J109" s="33"/>
      <c r="K109" s="34"/>
      <c r="L109" s="34"/>
      <c r="M109" s="34"/>
      <c r="N109" s="31"/>
      <c r="O109" s="31"/>
      <c r="P109" s="31"/>
      <c r="Q109" s="31"/>
      <c r="R109" s="31"/>
      <c r="S109" s="31"/>
      <c r="T109" s="31"/>
      <c r="U109" s="42"/>
      <c r="V109" s="43"/>
      <c r="W109" s="37"/>
      <c r="X109" s="38" t="s">
        <v>921</v>
      </c>
      <c r="Y109" s="39">
        <v>754603790584</v>
      </c>
      <c r="Z109" s="31"/>
      <c r="AA109" s="31"/>
      <c r="AB109" s="31"/>
      <c r="AC109" s="31"/>
      <c r="AD109" s="31"/>
      <c r="AE109" s="31"/>
      <c r="AF109" s="31"/>
      <c r="AG109" s="31"/>
      <c r="AH109" s="31"/>
      <c r="AI109" s="31"/>
      <c r="AJ109" s="31"/>
      <c r="AK109" s="31"/>
      <c r="AL109" s="31"/>
      <c r="AM109" s="31"/>
      <c r="AN109" s="31"/>
      <c r="AO109" s="31"/>
      <c r="AP109" s="31"/>
      <c r="AQ109" s="31"/>
      <c r="AR109" s="31"/>
      <c r="AS109" s="31"/>
    </row>
    <row r="110" spans="1:256" s="40" customFormat="1">
      <c r="A110" s="26" t="s">
        <v>919</v>
      </c>
      <c r="B110" s="27" t="s">
        <v>133</v>
      </c>
      <c r="C110" s="28" t="s">
        <v>920</v>
      </c>
      <c r="D110" s="29">
        <v>26</v>
      </c>
      <c r="E110" s="30"/>
      <c r="F110" s="31"/>
      <c r="G110" s="31"/>
      <c r="H110" s="27" t="s">
        <v>133</v>
      </c>
      <c r="I110" s="32"/>
      <c r="J110" s="33"/>
      <c r="K110" s="34"/>
      <c r="L110" s="34"/>
      <c r="M110" s="34"/>
      <c r="N110" s="31"/>
      <c r="O110" s="31"/>
      <c r="P110" s="31"/>
      <c r="Q110" s="31"/>
      <c r="R110" s="31"/>
      <c r="S110" s="31"/>
      <c r="T110" s="31"/>
      <c r="U110" s="42"/>
      <c r="V110" s="43"/>
      <c r="W110" s="37"/>
      <c r="X110" s="38" t="s">
        <v>921</v>
      </c>
      <c r="Y110" s="39">
        <v>754603687990</v>
      </c>
      <c r="Z110" s="31"/>
      <c r="AA110" s="31"/>
      <c r="AB110" s="31"/>
      <c r="AC110" s="31"/>
      <c r="AD110" s="31"/>
      <c r="AE110" s="31"/>
      <c r="AF110" s="31"/>
      <c r="AG110" s="31"/>
      <c r="AH110" s="31"/>
      <c r="AI110" s="31"/>
      <c r="AJ110" s="31"/>
      <c r="AK110" s="31"/>
      <c r="AL110" s="31"/>
      <c r="AM110" s="31"/>
      <c r="AN110" s="31"/>
      <c r="AO110" s="31"/>
      <c r="AP110" s="31"/>
      <c r="AQ110" s="31"/>
      <c r="AR110" s="31"/>
      <c r="AS110" s="31"/>
    </row>
    <row r="111" spans="1:256" s="40" customFormat="1">
      <c r="A111" s="26" t="s">
        <v>919</v>
      </c>
      <c r="B111" s="27" t="s">
        <v>137</v>
      </c>
      <c r="C111" s="28" t="s">
        <v>920</v>
      </c>
      <c r="D111" s="29">
        <v>0</v>
      </c>
      <c r="E111" s="30"/>
      <c r="F111" s="31"/>
      <c r="G111" s="31"/>
      <c r="H111" s="27" t="s">
        <v>137</v>
      </c>
      <c r="I111" s="32"/>
      <c r="J111" s="33"/>
      <c r="K111" s="34"/>
      <c r="L111" s="34"/>
      <c r="M111" s="34"/>
      <c r="N111" s="31"/>
      <c r="O111" s="31"/>
      <c r="P111" s="31"/>
      <c r="Q111" s="31"/>
      <c r="R111" s="31"/>
      <c r="S111" s="31"/>
      <c r="T111" s="31"/>
      <c r="U111" s="42"/>
      <c r="V111" s="43"/>
      <c r="W111" s="37"/>
      <c r="X111" s="38" t="s">
        <v>921</v>
      </c>
      <c r="Y111" s="39">
        <v>754603687778</v>
      </c>
      <c r="Z111" s="31"/>
      <c r="AA111" s="31"/>
      <c r="AB111" s="31"/>
      <c r="AC111" s="31"/>
      <c r="AD111" s="31"/>
      <c r="AE111" s="31"/>
      <c r="AF111" s="31"/>
      <c r="AG111" s="31"/>
      <c r="AH111" s="31"/>
      <c r="AI111" s="31"/>
      <c r="AJ111" s="31"/>
      <c r="AK111" s="31"/>
      <c r="AL111" s="31"/>
      <c r="AM111" s="31"/>
      <c r="AN111" s="31"/>
      <c r="AO111" s="31"/>
      <c r="AP111" s="31"/>
      <c r="AQ111" s="31"/>
      <c r="AR111" s="31"/>
      <c r="AS111" s="31"/>
    </row>
    <row r="112" spans="1:256" s="41" customFormat="1">
      <c r="A112" s="26" t="s">
        <v>919</v>
      </c>
      <c r="B112" s="27">
        <v>64015842</v>
      </c>
      <c r="C112" s="28" t="s">
        <v>937</v>
      </c>
      <c r="D112" s="29">
        <v>0</v>
      </c>
      <c r="E112" s="30"/>
      <c r="F112" s="31"/>
      <c r="G112" s="31"/>
      <c r="H112" s="27" t="s">
        <v>6</v>
      </c>
      <c r="I112" s="32"/>
      <c r="J112" s="33"/>
      <c r="K112" s="34"/>
      <c r="L112" s="34"/>
      <c r="M112" s="34"/>
      <c r="N112" s="31"/>
      <c r="O112" s="42"/>
      <c r="P112" s="86"/>
      <c r="Q112" s="86"/>
      <c r="R112" s="87"/>
      <c r="S112" s="87"/>
      <c r="T112" s="88"/>
      <c r="U112" s="35"/>
      <c r="V112" s="36"/>
      <c r="W112" s="37"/>
      <c r="X112" s="38" t="s">
        <v>921</v>
      </c>
      <c r="Y112" s="45">
        <v>754603789007</v>
      </c>
      <c r="Z112" s="89"/>
      <c r="AA112" s="30"/>
      <c r="AB112" s="30"/>
      <c r="AC112" s="31"/>
      <c r="AD112" s="89"/>
      <c r="AE112" s="30"/>
      <c r="AF112" s="30"/>
      <c r="AG112" s="31"/>
      <c r="AH112" s="89"/>
      <c r="AI112" s="30"/>
      <c r="AJ112" s="30"/>
      <c r="AK112" s="31"/>
      <c r="AL112" s="89"/>
      <c r="AM112" s="30"/>
      <c r="AN112" s="30"/>
      <c r="AO112" s="31"/>
      <c r="AP112" s="89"/>
      <c r="AQ112" s="30"/>
      <c r="AR112" s="30"/>
      <c r="AS112" s="31"/>
      <c r="AT112" s="40"/>
      <c r="AU112" s="40"/>
      <c r="AV112" s="40"/>
      <c r="AW112" s="40"/>
      <c r="AX112" s="40"/>
      <c r="AY112" s="40"/>
      <c r="AZ112" s="40"/>
      <c r="BA112" s="40"/>
      <c r="BB112" s="40"/>
      <c r="BC112" s="40"/>
      <c r="BD112" s="40"/>
      <c r="BE112" s="40"/>
      <c r="BF112" s="40"/>
      <c r="BG112" s="40"/>
      <c r="BH112" s="40"/>
      <c r="BI112" s="40"/>
      <c r="BJ112" s="40"/>
      <c r="BK112" s="40"/>
      <c r="BL112" s="40"/>
      <c r="BM112" s="40"/>
      <c r="BN112" s="40"/>
      <c r="BO112" s="40"/>
      <c r="BP112" s="40"/>
      <c r="BQ112" s="40"/>
      <c r="BR112" s="40"/>
      <c r="BS112" s="40"/>
      <c r="BT112" s="40"/>
      <c r="BU112" s="40"/>
      <c r="BV112" s="40"/>
      <c r="BW112" s="40"/>
      <c r="BX112" s="40"/>
      <c r="BY112" s="40"/>
      <c r="BZ112" s="40"/>
      <c r="CA112" s="40"/>
      <c r="CB112" s="40"/>
      <c r="CC112" s="40"/>
      <c r="CD112" s="40"/>
      <c r="CE112" s="40"/>
      <c r="CF112" s="40"/>
      <c r="CG112" s="40"/>
      <c r="CH112" s="40"/>
      <c r="CI112" s="40"/>
      <c r="CJ112" s="40"/>
      <c r="CK112" s="40"/>
      <c r="CL112" s="40"/>
      <c r="CM112" s="40"/>
      <c r="CN112" s="40"/>
      <c r="CO112" s="40"/>
      <c r="CP112" s="40"/>
      <c r="CQ112" s="40"/>
      <c r="CR112" s="40"/>
      <c r="CS112" s="40"/>
      <c r="CT112" s="40"/>
      <c r="CU112" s="40"/>
      <c r="CV112" s="40"/>
      <c r="CW112" s="40"/>
      <c r="CX112" s="40"/>
      <c r="CY112" s="40"/>
      <c r="CZ112" s="40"/>
      <c r="DA112" s="40"/>
      <c r="DB112" s="40"/>
      <c r="DC112" s="40"/>
      <c r="DD112" s="40"/>
      <c r="DE112" s="40"/>
      <c r="DF112" s="40"/>
      <c r="DG112" s="40"/>
      <c r="DH112" s="40"/>
      <c r="DI112" s="40"/>
      <c r="DJ112" s="40"/>
      <c r="DK112" s="40"/>
      <c r="DL112" s="40"/>
      <c r="DM112" s="40"/>
      <c r="DN112" s="40"/>
      <c r="DO112" s="40"/>
      <c r="DP112" s="40"/>
      <c r="DQ112" s="40"/>
      <c r="DR112" s="40"/>
      <c r="DS112" s="40"/>
      <c r="DT112" s="40"/>
      <c r="DU112" s="40"/>
      <c r="DV112" s="40"/>
      <c r="DW112" s="40"/>
      <c r="DX112" s="40"/>
      <c r="DY112" s="40"/>
      <c r="DZ112" s="40"/>
      <c r="EA112" s="40"/>
      <c r="EB112" s="40"/>
      <c r="EC112" s="40"/>
      <c r="ED112" s="40"/>
      <c r="EE112" s="40"/>
      <c r="EF112" s="40"/>
      <c r="EG112" s="40"/>
      <c r="EH112" s="40"/>
      <c r="EI112" s="40"/>
      <c r="EJ112" s="40"/>
      <c r="EK112" s="40"/>
      <c r="EL112" s="40"/>
      <c r="EM112" s="40"/>
      <c r="EN112" s="40"/>
      <c r="EO112" s="40"/>
      <c r="EP112" s="40"/>
      <c r="EQ112" s="40"/>
      <c r="ER112" s="40"/>
      <c r="ES112" s="40"/>
      <c r="ET112" s="40"/>
      <c r="EU112" s="40"/>
      <c r="EV112" s="40"/>
      <c r="EW112" s="40"/>
      <c r="EX112" s="40"/>
      <c r="EY112" s="40"/>
      <c r="EZ112" s="40"/>
      <c r="FA112" s="40"/>
      <c r="FB112" s="40"/>
      <c r="FC112" s="40"/>
      <c r="FD112" s="40"/>
      <c r="FE112" s="40"/>
      <c r="FF112" s="40"/>
      <c r="FG112" s="40"/>
      <c r="FH112" s="40"/>
      <c r="FI112" s="40"/>
      <c r="FJ112" s="40"/>
      <c r="FK112" s="40"/>
      <c r="FL112" s="40"/>
      <c r="FM112" s="40"/>
      <c r="FN112" s="40"/>
      <c r="FO112" s="40"/>
      <c r="FP112" s="40"/>
      <c r="FQ112" s="40"/>
      <c r="FR112" s="40"/>
      <c r="FS112" s="40"/>
      <c r="FT112" s="40"/>
      <c r="FU112" s="40"/>
      <c r="FV112" s="40"/>
      <c r="FW112" s="40"/>
      <c r="FX112" s="40"/>
      <c r="FY112" s="40"/>
      <c r="FZ112" s="40"/>
      <c r="GA112" s="40"/>
      <c r="GB112" s="40"/>
      <c r="GC112" s="40"/>
      <c r="GD112" s="40"/>
      <c r="GE112" s="40"/>
      <c r="GF112" s="40"/>
      <c r="GG112" s="40"/>
      <c r="GH112" s="40"/>
      <c r="GI112" s="40"/>
      <c r="GJ112" s="40"/>
      <c r="GK112" s="40"/>
      <c r="GL112" s="40"/>
      <c r="GM112" s="40"/>
      <c r="GN112" s="40"/>
      <c r="GO112" s="40"/>
      <c r="GP112" s="40"/>
      <c r="GQ112" s="40"/>
      <c r="GR112" s="40"/>
      <c r="GS112" s="40"/>
      <c r="GT112" s="40"/>
      <c r="GU112" s="40"/>
      <c r="GV112" s="40"/>
      <c r="GW112" s="40"/>
      <c r="GX112" s="40"/>
      <c r="GY112" s="40"/>
      <c r="GZ112" s="40"/>
      <c r="HA112" s="40"/>
      <c r="HB112" s="40"/>
      <c r="HC112" s="40"/>
      <c r="HD112" s="40"/>
      <c r="HE112" s="40"/>
      <c r="HF112" s="40"/>
      <c r="HG112" s="40"/>
      <c r="HH112" s="40"/>
      <c r="HI112" s="40"/>
      <c r="HJ112" s="40"/>
      <c r="HK112" s="40"/>
      <c r="HL112" s="40"/>
      <c r="HM112" s="40"/>
      <c r="HN112" s="40"/>
      <c r="HO112" s="40"/>
      <c r="HP112" s="40"/>
      <c r="HQ112" s="40"/>
      <c r="HR112" s="40"/>
      <c r="HS112" s="40"/>
      <c r="HT112" s="40"/>
      <c r="HU112" s="40"/>
      <c r="HV112" s="40"/>
      <c r="HW112" s="40"/>
      <c r="HX112" s="40"/>
      <c r="HY112" s="40"/>
      <c r="HZ112" s="40"/>
      <c r="IA112" s="40"/>
      <c r="IB112" s="40"/>
      <c r="IC112" s="40"/>
      <c r="ID112" s="40"/>
      <c r="IE112" s="40"/>
      <c r="IF112" s="40"/>
      <c r="IG112" s="40"/>
      <c r="IH112" s="40"/>
      <c r="II112" s="40"/>
      <c r="IJ112" s="40"/>
      <c r="IK112" s="40"/>
      <c r="IL112" s="40"/>
      <c r="IM112" s="40"/>
      <c r="IN112" s="40"/>
      <c r="IO112" s="40"/>
      <c r="IP112" s="40"/>
      <c r="IQ112" s="40"/>
      <c r="IR112" s="40"/>
      <c r="IS112" s="40"/>
      <c r="IT112" s="40"/>
      <c r="IU112" s="40"/>
      <c r="IV112" s="40"/>
    </row>
    <row r="113" spans="1:45" s="40" customFormat="1">
      <c r="A113" s="26" t="s">
        <v>919</v>
      </c>
      <c r="B113" s="27">
        <v>64016191</v>
      </c>
      <c r="C113" s="28" t="s">
        <v>937</v>
      </c>
      <c r="D113" s="29">
        <v>15</v>
      </c>
      <c r="E113" s="30"/>
      <c r="F113" s="31"/>
      <c r="G113" s="31"/>
      <c r="H113" s="27" t="s">
        <v>9</v>
      </c>
      <c r="I113" s="32"/>
      <c r="J113" s="33"/>
      <c r="K113" s="34"/>
      <c r="L113" s="34"/>
      <c r="M113" s="34"/>
      <c r="N113" s="31"/>
      <c r="O113" s="42"/>
      <c r="P113" s="86"/>
      <c r="Q113" s="86"/>
      <c r="R113" s="87"/>
      <c r="S113" s="87"/>
      <c r="T113" s="88"/>
      <c r="U113" s="42"/>
      <c r="V113" s="43"/>
      <c r="W113" s="37"/>
      <c r="X113" s="38" t="s">
        <v>921</v>
      </c>
      <c r="Y113" s="45">
        <v>754603790966</v>
      </c>
      <c r="Z113" s="89"/>
      <c r="AA113" s="30"/>
      <c r="AB113" s="30"/>
      <c r="AC113" s="31"/>
      <c r="AD113" s="89"/>
      <c r="AE113" s="30"/>
      <c r="AF113" s="30"/>
      <c r="AG113" s="31"/>
      <c r="AH113" s="89"/>
      <c r="AI113" s="30"/>
      <c r="AJ113" s="30"/>
      <c r="AK113" s="31"/>
      <c r="AL113" s="89"/>
      <c r="AM113" s="30"/>
      <c r="AN113" s="30"/>
      <c r="AO113" s="31"/>
      <c r="AP113" s="89"/>
      <c r="AQ113" s="30"/>
      <c r="AR113" s="30"/>
      <c r="AS113" s="31"/>
    </row>
    <row r="114" spans="1:45" s="40" customFormat="1">
      <c r="A114" s="26" t="s">
        <v>919</v>
      </c>
      <c r="B114" s="27">
        <v>66857129</v>
      </c>
      <c r="C114" s="28" t="s">
        <v>937</v>
      </c>
      <c r="D114" s="29">
        <v>0</v>
      </c>
      <c r="E114" s="30"/>
      <c r="F114" s="31"/>
      <c r="G114" s="31"/>
      <c r="H114" s="27" t="s">
        <v>932</v>
      </c>
      <c r="I114" s="32"/>
      <c r="J114" s="33"/>
      <c r="K114" s="34"/>
      <c r="L114" s="34"/>
      <c r="M114" s="34"/>
      <c r="N114" s="31"/>
      <c r="O114" s="31"/>
      <c r="P114" s="31"/>
      <c r="Q114" s="31"/>
      <c r="R114" s="31"/>
      <c r="S114" s="31"/>
      <c r="T114" s="31"/>
      <c r="U114" s="42"/>
      <c r="V114" s="43"/>
      <c r="W114" s="37"/>
      <c r="X114" s="38" t="s">
        <v>921</v>
      </c>
      <c r="Y114" s="45">
        <v>754603684852</v>
      </c>
      <c r="Z114" s="31"/>
      <c r="AA114" s="31"/>
      <c r="AB114" s="31"/>
      <c r="AC114" s="31"/>
      <c r="AD114" s="31"/>
      <c r="AE114" s="31"/>
      <c r="AF114" s="31"/>
      <c r="AG114" s="31"/>
      <c r="AH114" s="31"/>
      <c r="AI114" s="31"/>
      <c r="AJ114" s="31"/>
      <c r="AK114" s="31"/>
      <c r="AL114" s="31"/>
      <c r="AM114" s="31"/>
      <c r="AN114" s="31"/>
      <c r="AO114" s="31"/>
      <c r="AP114" s="31"/>
      <c r="AQ114" s="31"/>
      <c r="AR114" s="31"/>
      <c r="AS114" s="31"/>
    </row>
    <row r="115" spans="1:45" s="40" customFormat="1">
      <c r="A115" s="26" t="s">
        <v>919</v>
      </c>
      <c r="B115" s="27">
        <v>66857297</v>
      </c>
      <c r="C115" s="28" t="s">
        <v>937</v>
      </c>
      <c r="D115" s="29">
        <v>0</v>
      </c>
      <c r="E115" s="30"/>
      <c r="F115" s="31"/>
      <c r="G115" s="31"/>
      <c r="H115" s="27" t="s">
        <v>1298</v>
      </c>
      <c r="I115" s="32"/>
      <c r="J115" s="33"/>
      <c r="K115" s="34"/>
      <c r="L115" s="34"/>
      <c r="M115" s="34"/>
      <c r="N115" s="31"/>
      <c r="O115" s="31"/>
      <c r="P115" s="31"/>
      <c r="Q115" s="31"/>
      <c r="R115" s="31"/>
      <c r="S115" s="31"/>
      <c r="T115" s="31"/>
      <c r="U115" s="42"/>
      <c r="V115" s="43"/>
      <c r="W115" s="37"/>
      <c r="X115" s="38" t="s">
        <v>921</v>
      </c>
      <c r="Y115" s="45">
        <v>754603685217</v>
      </c>
      <c r="Z115" s="31"/>
      <c r="AA115" s="31"/>
      <c r="AB115" s="31"/>
      <c r="AC115" s="31"/>
      <c r="AD115" s="31"/>
      <c r="AE115" s="31"/>
      <c r="AF115" s="31"/>
      <c r="AG115" s="31"/>
      <c r="AH115" s="31"/>
      <c r="AI115" s="31"/>
      <c r="AJ115" s="31"/>
      <c r="AK115" s="31"/>
      <c r="AL115" s="31"/>
      <c r="AM115" s="31"/>
      <c r="AN115" s="31"/>
      <c r="AO115" s="31"/>
      <c r="AP115" s="31"/>
      <c r="AQ115" s="31"/>
      <c r="AR115" s="31"/>
      <c r="AS115" s="31"/>
    </row>
    <row r="116" spans="1:45" s="40" customFormat="1">
      <c r="A116" s="26" t="s">
        <v>919</v>
      </c>
      <c r="B116" s="27">
        <v>66857303</v>
      </c>
      <c r="C116" s="28" t="s">
        <v>937</v>
      </c>
      <c r="D116" s="29">
        <v>0</v>
      </c>
      <c r="E116" s="30"/>
      <c r="F116" s="31"/>
      <c r="G116" s="31"/>
      <c r="H116" s="27" t="s">
        <v>47</v>
      </c>
      <c r="I116" s="32"/>
      <c r="J116" s="33"/>
      <c r="K116" s="34"/>
      <c r="L116" s="34"/>
      <c r="M116" s="34"/>
      <c r="N116" s="31"/>
      <c r="O116" s="31"/>
      <c r="P116" s="31"/>
      <c r="Q116" s="31"/>
      <c r="R116" s="31"/>
      <c r="S116" s="31"/>
      <c r="T116" s="31"/>
      <c r="U116" s="42"/>
      <c r="V116" s="43"/>
      <c r="W116" s="37"/>
      <c r="X116" s="38" t="s">
        <v>921</v>
      </c>
      <c r="Y116" s="45">
        <v>754603685316</v>
      </c>
      <c r="Z116" s="31"/>
      <c r="AA116" s="31"/>
      <c r="AB116" s="31"/>
      <c r="AC116" s="31"/>
      <c r="AD116" s="31"/>
      <c r="AE116" s="31"/>
      <c r="AF116" s="31"/>
      <c r="AG116" s="31"/>
      <c r="AH116" s="31"/>
      <c r="AI116" s="31"/>
      <c r="AJ116" s="31"/>
      <c r="AK116" s="31"/>
      <c r="AL116" s="31"/>
      <c r="AM116" s="31"/>
      <c r="AN116" s="31"/>
      <c r="AO116" s="31"/>
      <c r="AP116" s="31"/>
      <c r="AQ116" s="31"/>
      <c r="AR116" s="31"/>
      <c r="AS116" s="31"/>
    </row>
    <row r="117" spans="1:45" s="40" customFormat="1">
      <c r="A117" s="26" t="s">
        <v>919</v>
      </c>
      <c r="B117" s="27">
        <v>68499013</v>
      </c>
      <c r="C117" s="28" t="s">
        <v>937</v>
      </c>
      <c r="D117" s="29">
        <v>5</v>
      </c>
      <c r="E117" s="30"/>
      <c r="F117" s="31"/>
      <c r="G117" s="31"/>
      <c r="H117" s="27" t="s">
        <v>496</v>
      </c>
      <c r="I117" s="32"/>
      <c r="J117" s="33"/>
      <c r="K117" s="34"/>
      <c r="L117" s="34"/>
      <c r="M117" s="34"/>
      <c r="N117" s="31"/>
      <c r="O117" s="31"/>
      <c r="P117" s="31"/>
      <c r="Q117" s="31"/>
      <c r="R117" s="31"/>
      <c r="S117" s="31"/>
      <c r="T117" s="31"/>
      <c r="U117" s="42"/>
      <c r="V117" s="43"/>
      <c r="W117" s="37"/>
      <c r="X117" s="38" t="s">
        <v>921</v>
      </c>
      <c r="Y117" s="45">
        <v>754603951084</v>
      </c>
      <c r="Z117" s="31"/>
      <c r="AA117" s="31"/>
      <c r="AB117" s="31"/>
      <c r="AC117" s="31"/>
      <c r="AD117" s="31"/>
      <c r="AE117" s="31"/>
      <c r="AF117" s="31"/>
      <c r="AG117" s="31"/>
      <c r="AH117" s="31"/>
      <c r="AI117" s="31"/>
      <c r="AJ117" s="31"/>
      <c r="AK117" s="31"/>
      <c r="AL117" s="31"/>
      <c r="AM117" s="31"/>
      <c r="AN117" s="31"/>
      <c r="AO117" s="31"/>
      <c r="AP117" s="31"/>
      <c r="AQ117" s="31"/>
      <c r="AR117" s="31"/>
      <c r="AS117" s="31"/>
    </row>
    <row r="118" spans="1:45" s="40" customFormat="1">
      <c r="A118" s="26" t="s">
        <v>919</v>
      </c>
      <c r="B118" s="27">
        <v>68499020</v>
      </c>
      <c r="C118" s="28" t="s">
        <v>937</v>
      </c>
      <c r="D118" s="29">
        <v>0</v>
      </c>
      <c r="E118" s="30"/>
      <c r="F118" s="31"/>
      <c r="G118" s="31"/>
      <c r="H118" s="27" t="s">
        <v>497</v>
      </c>
      <c r="I118" s="32"/>
      <c r="J118" s="33"/>
      <c r="K118" s="34"/>
      <c r="L118" s="34"/>
      <c r="M118" s="34"/>
      <c r="N118" s="31"/>
      <c r="O118" s="31"/>
      <c r="P118" s="31"/>
      <c r="Q118" s="31"/>
      <c r="R118" s="31"/>
      <c r="S118" s="31"/>
      <c r="T118" s="31"/>
      <c r="U118" s="42"/>
      <c r="V118" s="43"/>
      <c r="W118" s="37"/>
      <c r="X118" s="38" t="s">
        <v>921</v>
      </c>
      <c r="Y118" s="45">
        <v>754603951091</v>
      </c>
      <c r="Z118" s="31"/>
      <c r="AA118" s="31"/>
      <c r="AB118" s="31"/>
      <c r="AC118" s="31"/>
      <c r="AD118" s="31"/>
      <c r="AE118" s="31"/>
      <c r="AF118" s="31"/>
      <c r="AG118" s="31"/>
      <c r="AH118" s="31"/>
      <c r="AI118" s="31"/>
      <c r="AJ118" s="31"/>
      <c r="AK118" s="31"/>
      <c r="AL118" s="31"/>
      <c r="AM118" s="31"/>
      <c r="AN118" s="31"/>
      <c r="AO118" s="31"/>
      <c r="AP118" s="31"/>
      <c r="AQ118" s="31"/>
      <c r="AR118" s="31"/>
      <c r="AS118" s="31"/>
    </row>
    <row r="119" spans="1:45" s="40" customFormat="1">
      <c r="A119" s="26" t="s">
        <v>919</v>
      </c>
      <c r="B119" s="27">
        <v>68499037</v>
      </c>
      <c r="C119" s="28" t="s">
        <v>937</v>
      </c>
      <c r="D119" s="29">
        <v>7</v>
      </c>
      <c r="E119" s="30"/>
      <c r="F119" s="31"/>
      <c r="G119" s="31"/>
      <c r="H119" s="27" t="s">
        <v>498</v>
      </c>
      <c r="I119" s="32"/>
      <c r="J119" s="33"/>
      <c r="K119" s="34"/>
      <c r="L119" s="34"/>
      <c r="M119" s="34"/>
      <c r="N119" s="31"/>
      <c r="O119" s="31"/>
      <c r="P119" s="31"/>
      <c r="Q119" s="31"/>
      <c r="R119" s="31"/>
      <c r="S119" s="31"/>
      <c r="T119" s="31"/>
      <c r="U119" s="42"/>
      <c r="V119" s="43"/>
      <c r="W119" s="37"/>
      <c r="X119" s="38" t="s">
        <v>921</v>
      </c>
      <c r="Y119" s="45">
        <v>754603951107</v>
      </c>
      <c r="Z119" s="31"/>
      <c r="AA119" s="31"/>
      <c r="AB119" s="31"/>
      <c r="AC119" s="31"/>
      <c r="AD119" s="31"/>
      <c r="AE119" s="31"/>
      <c r="AF119" s="31"/>
      <c r="AG119" s="31"/>
      <c r="AH119" s="31"/>
      <c r="AI119" s="31"/>
      <c r="AJ119" s="31"/>
      <c r="AK119" s="31"/>
      <c r="AL119" s="31"/>
      <c r="AM119" s="31"/>
      <c r="AN119" s="31"/>
      <c r="AO119" s="31"/>
      <c r="AP119" s="31"/>
      <c r="AQ119" s="31"/>
      <c r="AR119" s="31"/>
      <c r="AS119" s="31"/>
    </row>
    <row r="120" spans="1:45" s="40" customFormat="1">
      <c r="A120" s="26" t="s">
        <v>919</v>
      </c>
      <c r="B120" s="27">
        <v>68499044</v>
      </c>
      <c r="C120" s="28" t="s">
        <v>937</v>
      </c>
      <c r="D120" s="29">
        <v>2</v>
      </c>
      <c r="E120" s="30"/>
      <c r="F120" s="31"/>
      <c r="G120" s="31"/>
      <c r="H120" s="27" t="s">
        <v>499</v>
      </c>
      <c r="I120" s="32"/>
      <c r="J120" s="33"/>
      <c r="K120" s="34"/>
      <c r="L120" s="34"/>
      <c r="M120" s="34"/>
      <c r="N120" s="31"/>
      <c r="O120" s="31"/>
      <c r="P120" s="31"/>
      <c r="Q120" s="31"/>
      <c r="R120" s="31"/>
      <c r="S120" s="31"/>
      <c r="T120" s="31"/>
      <c r="U120" s="42"/>
      <c r="V120" s="43"/>
      <c r="W120" s="37"/>
      <c r="X120" s="38" t="s">
        <v>921</v>
      </c>
      <c r="Y120" s="45">
        <v>754603951114</v>
      </c>
      <c r="Z120" s="31"/>
      <c r="AA120" s="31"/>
      <c r="AB120" s="31"/>
      <c r="AC120" s="31"/>
      <c r="AD120" s="31"/>
      <c r="AE120" s="31"/>
      <c r="AF120" s="31"/>
      <c r="AG120" s="31"/>
      <c r="AH120" s="31"/>
      <c r="AI120" s="31"/>
      <c r="AJ120" s="31"/>
      <c r="AK120" s="31"/>
      <c r="AL120" s="31"/>
      <c r="AM120" s="31"/>
      <c r="AN120" s="31"/>
      <c r="AO120" s="31"/>
      <c r="AP120" s="31"/>
      <c r="AQ120" s="31"/>
      <c r="AR120" s="31"/>
      <c r="AS120" s="31"/>
    </row>
    <row r="121" spans="1:45" s="40" customFormat="1">
      <c r="A121" s="26" t="s">
        <v>919</v>
      </c>
      <c r="B121" s="27">
        <v>68499051</v>
      </c>
      <c r="C121" s="28" t="s">
        <v>937</v>
      </c>
      <c r="D121" s="29">
        <v>0</v>
      </c>
      <c r="E121" s="30"/>
      <c r="F121" s="31"/>
      <c r="G121" s="31"/>
      <c r="H121" s="27" t="s">
        <v>500</v>
      </c>
      <c r="I121" s="32"/>
      <c r="J121" s="33"/>
      <c r="K121" s="34"/>
      <c r="L121" s="34"/>
      <c r="M121" s="34"/>
      <c r="N121" s="31"/>
      <c r="O121" s="31"/>
      <c r="P121" s="31"/>
      <c r="Q121" s="31"/>
      <c r="R121" s="31"/>
      <c r="S121" s="31"/>
      <c r="T121" s="31"/>
      <c r="U121" s="42"/>
      <c r="V121" s="43"/>
      <c r="W121" s="37"/>
      <c r="X121" s="38" t="s">
        <v>921</v>
      </c>
      <c r="Y121" s="45">
        <v>754603951121</v>
      </c>
      <c r="Z121" s="31"/>
      <c r="AA121" s="31"/>
      <c r="AB121" s="31"/>
      <c r="AC121" s="31"/>
      <c r="AD121" s="31"/>
      <c r="AE121" s="31"/>
      <c r="AF121" s="31"/>
      <c r="AG121" s="31"/>
      <c r="AH121" s="31"/>
      <c r="AI121" s="31"/>
      <c r="AJ121" s="31"/>
      <c r="AK121" s="31"/>
      <c r="AL121" s="31"/>
      <c r="AM121" s="31"/>
      <c r="AN121" s="31"/>
      <c r="AO121" s="31"/>
      <c r="AP121" s="31"/>
      <c r="AQ121" s="31"/>
      <c r="AR121" s="31"/>
      <c r="AS121" s="31"/>
    </row>
    <row r="122" spans="1:45" s="40" customFormat="1">
      <c r="A122" s="26" t="s">
        <v>919</v>
      </c>
      <c r="B122" s="27">
        <v>68499068</v>
      </c>
      <c r="C122" s="28" t="s">
        <v>937</v>
      </c>
      <c r="D122" s="29">
        <v>2</v>
      </c>
      <c r="E122" s="30"/>
      <c r="F122" s="31"/>
      <c r="G122" s="31"/>
      <c r="H122" s="27" t="s">
        <v>501</v>
      </c>
      <c r="I122" s="32"/>
      <c r="J122" s="33"/>
      <c r="K122" s="34"/>
      <c r="L122" s="34"/>
      <c r="M122" s="34"/>
      <c r="N122" s="31"/>
      <c r="O122" s="31"/>
      <c r="P122" s="31"/>
      <c r="Q122" s="31"/>
      <c r="R122" s="31"/>
      <c r="S122" s="31"/>
      <c r="T122" s="31"/>
      <c r="U122" s="42"/>
      <c r="V122" s="43"/>
      <c r="W122" s="37"/>
      <c r="X122" s="38" t="s">
        <v>921</v>
      </c>
      <c r="Y122" s="45">
        <v>754603951138</v>
      </c>
      <c r="Z122" s="31"/>
      <c r="AA122" s="31"/>
      <c r="AB122" s="31"/>
      <c r="AC122" s="31"/>
      <c r="AD122" s="31"/>
      <c r="AE122" s="31"/>
      <c r="AF122" s="31"/>
      <c r="AG122" s="31"/>
      <c r="AH122" s="31"/>
      <c r="AI122" s="31"/>
      <c r="AJ122" s="31"/>
      <c r="AK122" s="31"/>
      <c r="AL122" s="31"/>
      <c r="AM122" s="31"/>
      <c r="AN122" s="31"/>
      <c r="AO122" s="31"/>
      <c r="AP122" s="31"/>
      <c r="AQ122" s="31"/>
      <c r="AR122" s="31"/>
      <c r="AS122" s="31"/>
    </row>
    <row r="123" spans="1:45" s="40" customFormat="1">
      <c r="A123" s="26" t="s">
        <v>919</v>
      </c>
      <c r="B123" s="27">
        <v>68499075</v>
      </c>
      <c r="C123" s="28" t="s">
        <v>937</v>
      </c>
      <c r="D123" s="29">
        <v>3</v>
      </c>
      <c r="E123" s="30"/>
      <c r="F123" s="31"/>
      <c r="G123" s="31"/>
      <c r="H123" s="27" t="s">
        <v>502</v>
      </c>
      <c r="I123" s="32"/>
      <c r="J123" s="33"/>
      <c r="K123" s="34"/>
      <c r="L123" s="34"/>
      <c r="M123" s="34"/>
      <c r="N123" s="31"/>
      <c r="O123" s="31"/>
      <c r="P123" s="31"/>
      <c r="Q123" s="31"/>
      <c r="R123" s="31"/>
      <c r="S123" s="31"/>
      <c r="T123" s="31"/>
      <c r="U123" s="42"/>
      <c r="V123" s="43"/>
      <c r="W123" s="37"/>
      <c r="X123" s="38" t="s">
        <v>921</v>
      </c>
      <c r="Y123" s="45">
        <v>754603951145</v>
      </c>
      <c r="Z123" s="31"/>
      <c r="AA123" s="31"/>
      <c r="AB123" s="31"/>
      <c r="AC123" s="31"/>
      <c r="AD123" s="31"/>
      <c r="AE123" s="31"/>
      <c r="AF123" s="31"/>
      <c r="AG123" s="31"/>
      <c r="AH123" s="31"/>
      <c r="AI123" s="31"/>
      <c r="AJ123" s="31"/>
      <c r="AK123" s="31"/>
      <c r="AL123" s="31"/>
      <c r="AM123" s="31"/>
      <c r="AN123" s="31"/>
      <c r="AO123" s="31"/>
      <c r="AP123" s="31"/>
      <c r="AQ123" s="31"/>
      <c r="AR123" s="31"/>
      <c r="AS123" s="31"/>
    </row>
    <row r="124" spans="1:45" s="40" customFormat="1">
      <c r="A124" s="26" t="s">
        <v>919</v>
      </c>
      <c r="B124" s="27">
        <v>68499082</v>
      </c>
      <c r="C124" s="28" t="s">
        <v>937</v>
      </c>
      <c r="D124" s="29">
        <v>0</v>
      </c>
      <c r="E124" s="30"/>
      <c r="F124" s="31"/>
      <c r="G124" s="31"/>
      <c r="H124" s="27" t="s">
        <v>503</v>
      </c>
      <c r="I124" s="32"/>
      <c r="J124" s="33"/>
      <c r="K124" s="34"/>
      <c r="L124" s="34"/>
      <c r="M124" s="34"/>
      <c r="N124" s="31"/>
      <c r="O124" s="31"/>
      <c r="P124" s="31"/>
      <c r="Q124" s="31"/>
      <c r="R124" s="31"/>
      <c r="S124" s="31"/>
      <c r="T124" s="31"/>
      <c r="U124" s="42"/>
      <c r="V124" s="43"/>
      <c r="W124" s="37"/>
      <c r="X124" s="38" t="s">
        <v>921</v>
      </c>
      <c r="Y124" s="45">
        <v>754603951152</v>
      </c>
      <c r="Z124" s="31"/>
      <c r="AA124" s="31"/>
      <c r="AB124" s="31"/>
      <c r="AC124" s="31"/>
      <c r="AD124" s="31"/>
      <c r="AE124" s="31"/>
      <c r="AF124" s="31"/>
      <c r="AG124" s="31"/>
      <c r="AH124" s="31"/>
      <c r="AI124" s="31"/>
      <c r="AJ124" s="31"/>
      <c r="AK124" s="31"/>
      <c r="AL124" s="31"/>
      <c r="AM124" s="31"/>
      <c r="AN124" s="31"/>
      <c r="AO124" s="31"/>
      <c r="AP124" s="31"/>
      <c r="AQ124" s="31"/>
      <c r="AR124" s="31"/>
      <c r="AS124" s="31"/>
    </row>
    <row r="125" spans="1:45" s="40" customFormat="1">
      <c r="A125" s="26" t="s">
        <v>919</v>
      </c>
      <c r="B125" s="27">
        <v>68499099</v>
      </c>
      <c r="C125" s="28" t="s">
        <v>937</v>
      </c>
      <c r="D125" s="29">
        <v>5</v>
      </c>
      <c r="E125" s="30"/>
      <c r="F125" s="31"/>
      <c r="G125" s="31"/>
      <c r="H125" s="27" t="s">
        <v>504</v>
      </c>
      <c r="I125" s="32"/>
      <c r="J125" s="33"/>
      <c r="K125" s="34"/>
      <c r="L125" s="34"/>
      <c r="M125" s="34"/>
      <c r="N125" s="31"/>
      <c r="O125" s="31"/>
      <c r="P125" s="31"/>
      <c r="Q125" s="31"/>
      <c r="R125" s="31"/>
      <c r="S125" s="31"/>
      <c r="T125" s="31"/>
      <c r="U125" s="42"/>
      <c r="V125" s="43"/>
      <c r="W125" s="37"/>
      <c r="X125" s="38" t="s">
        <v>921</v>
      </c>
      <c r="Y125" s="45">
        <v>754603951169</v>
      </c>
      <c r="Z125" s="31"/>
      <c r="AA125" s="31"/>
      <c r="AB125" s="31"/>
      <c r="AC125" s="31"/>
      <c r="AD125" s="31"/>
      <c r="AE125" s="31"/>
      <c r="AF125" s="31"/>
      <c r="AG125" s="31"/>
      <c r="AH125" s="31"/>
      <c r="AI125" s="31"/>
      <c r="AJ125" s="31"/>
      <c r="AK125" s="31"/>
      <c r="AL125" s="31"/>
      <c r="AM125" s="31"/>
      <c r="AN125" s="31"/>
      <c r="AO125" s="31"/>
      <c r="AP125" s="31"/>
      <c r="AQ125" s="31"/>
      <c r="AR125" s="31"/>
      <c r="AS125" s="31"/>
    </row>
    <row r="126" spans="1:45" s="40" customFormat="1">
      <c r="A126" s="26" t="s">
        <v>919</v>
      </c>
      <c r="B126" s="27">
        <v>68499105</v>
      </c>
      <c r="C126" s="28" t="s">
        <v>937</v>
      </c>
      <c r="D126" s="29">
        <v>2</v>
      </c>
      <c r="E126" s="30"/>
      <c r="F126" s="31"/>
      <c r="G126" s="31"/>
      <c r="H126" s="27" t="s">
        <v>505</v>
      </c>
      <c r="I126" s="32"/>
      <c r="J126" s="33"/>
      <c r="K126" s="34"/>
      <c r="L126" s="34"/>
      <c r="M126" s="34"/>
      <c r="N126" s="31"/>
      <c r="O126" s="31"/>
      <c r="P126" s="31"/>
      <c r="Q126" s="31"/>
      <c r="R126" s="31"/>
      <c r="S126" s="31"/>
      <c r="T126" s="31"/>
      <c r="U126" s="42"/>
      <c r="V126" s="43"/>
      <c r="W126" s="37"/>
      <c r="X126" s="38" t="s">
        <v>921</v>
      </c>
      <c r="Y126" s="45">
        <v>754603951176</v>
      </c>
      <c r="Z126" s="31"/>
      <c r="AA126" s="31"/>
      <c r="AB126" s="31"/>
      <c r="AC126" s="31"/>
      <c r="AD126" s="31"/>
      <c r="AE126" s="31"/>
      <c r="AF126" s="31"/>
      <c r="AG126" s="31"/>
      <c r="AH126" s="31"/>
      <c r="AI126" s="31"/>
      <c r="AJ126" s="31"/>
      <c r="AK126" s="31"/>
      <c r="AL126" s="31"/>
      <c r="AM126" s="31"/>
      <c r="AN126" s="31"/>
      <c r="AO126" s="31"/>
      <c r="AP126" s="31"/>
      <c r="AQ126" s="31"/>
      <c r="AR126" s="31"/>
      <c r="AS126" s="31"/>
    </row>
    <row r="127" spans="1:45" s="40" customFormat="1">
      <c r="A127" s="26" t="s">
        <v>919</v>
      </c>
      <c r="B127" s="27">
        <v>68499112</v>
      </c>
      <c r="C127" s="28" t="s">
        <v>937</v>
      </c>
      <c r="D127" s="29">
        <v>6</v>
      </c>
      <c r="E127" s="30"/>
      <c r="F127" s="31"/>
      <c r="G127" s="31"/>
      <c r="H127" s="27" t="s">
        <v>506</v>
      </c>
      <c r="I127" s="32"/>
      <c r="J127" s="33"/>
      <c r="K127" s="34"/>
      <c r="L127" s="34"/>
      <c r="M127" s="34"/>
      <c r="N127" s="31"/>
      <c r="O127" s="31"/>
      <c r="P127" s="31"/>
      <c r="Q127" s="31"/>
      <c r="R127" s="31"/>
      <c r="S127" s="31"/>
      <c r="T127" s="31"/>
      <c r="U127" s="42"/>
      <c r="V127" s="43"/>
      <c r="W127" s="37"/>
      <c r="X127" s="38" t="s">
        <v>921</v>
      </c>
      <c r="Y127" s="45">
        <v>754603951183</v>
      </c>
      <c r="Z127" s="31"/>
      <c r="AA127" s="31"/>
      <c r="AB127" s="31"/>
      <c r="AC127" s="31"/>
      <c r="AD127" s="31"/>
      <c r="AE127" s="31"/>
      <c r="AF127" s="31"/>
      <c r="AG127" s="31"/>
      <c r="AH127" s="31"/>
      <c r="AI127" s="31"/>
      <c r="AJ127" s="31"/>
      <c r="AK127" s="31"/>
      <c r="AL127" s="31"/>
      <c r="AM127" s="31"/>
      <c r="AN127" s="31"/>
      <c r="AO127" s="31"/>
      <c r="AP127" s="31"/>
      <c r="AQ127" s="31"/>
      <c r="AR127" s="31"/>
      <c r="AS127" s="31"/>
    </row>
    <row r="128" spans="1:45" s="40" customFormat="1">
      <c r="A128" s="26" t="s">
        <v>919</v>
      </c>
      <c r="B128" s="27">
        <v>68499129</v>
      </c>
      <c r="C128" s="28" t="s">
        <v>937</v>
      </c>
      <c r="D128" s="29">
        <v>0</v>
      </c>
      <c r="E128" s="30"/>
      <c r="F128" s="31"/>
      <c r="G128" s="31"/>
      <c r="H128" s="27" t="s">
        <v>507</v>
      </c>
      <c r="I128" s="32"/>
      <c r="J128" s="33"/>
      <c r="K128" s="34"/>
      <c r="L128" s="34"/>
      <c r="M128" s="34"/>
      <c r="N128" s="31"/>
      <c r="O128" s="31"/>
      <c r="P128" s="31"/>
      <c r="Q128" s="31"/>
      <c r="R128" s="31"/>
      <c r="S128" s="31"/>
      <c r="T128" s="31"/>
      <c r="U128" s="42"/>
      <c r="V128" s="43"/>
      <c r="W128" s="37"/>
      <c r="X128" s="38" t="s">
        <v>921</v>
      </c>
      <c r="Y128" s="45">
        <v>754603951190</v>
      </c>
      <c r="Z128" s="31"/>
      <c r="AA128" s="31"/>
      <c r="AB128" s="31"/>
      <c r="AC128" s="31"/>
      <c r="AD128" s="31"/>
      <c r="AE128" s="31"/>
      <c r="AF128" s="31"/>
      <c r="AG128" s="31"/>
      <c r="AH128" s="31"/>
      <c r="AI128" s="31"/>
      <c r="AJ128" s="31"/>
      <c r="AK128" s="31"/>
      <c r="AL128" s="31"/>
      <c r="AM128" s="31"/>
      <c r="AN128" s="31"/>
      <c r="AO128" s="31"/>
      <c r="AP128" s="31"/>
      <c r="AQ128" s="31"/>
      <c r="AR128" s="31"/>
      <c r="AS128" s="31"/>
    </row>
    <row r="129" spans="1:45" s="40" customFormat="1">
      <c r="A129" s="26" t="s">
        <v>919</v>
      </c>
      <c r="B129" s="27">
        <v>68499136</v>
      </c>
      <c r="C129" s="28" t="s">
        <v>937</v>
      </c>
      <c r="D129" s="29">
        <v>0</v>
      </c>
      <c r="E129" s="30"/>
      <c r="F129" s="31"/>
      <c r="G129" s="31"/>
      <c r="H129" s="27" t="s">
        <v>508</v>
      </c>
      <c r="I129" s="32"/>
      <c r="J129" s="33"/>
      <c r="K129" s="34"/>
      <c r="L129" s="34"/>
      <c r="M129" s="34"/>
      <c r="N129" s="31"/>
      <c r="O129" s="31"/>
      <c r="P129" s="31"/>
      <c r="Q129" s="31"/>
      <c r="R129" s="31"/>
      <c r="S129" s="31"/>
      <c r="T129" s="31"/>
      <c r="U129" s="42"/>
      <c r="V129" s="43"/>
      <c r="W129" s="37"/>
      <c r="X129" s="38" t="s">
        <v>921</v>
      </c>
      <c r="Y129" s="45">
        <v>754603951206</v>
      </c>
      <c r="Z129" s="31"/>
      <c r="AA129" s="31"/>
      <c r="AB129" s="31"/>
      <c r="AC129" s="31"/>
      <c r="AD129" s="31"/>
      <c r="AE129" s="31"/>
      <c r="AF129" s="31"/>
      <c r="AG129" s="31"/>
      <c r="AH129" s="31"/>
      <c r="AI129" s="31"/>
      <c r="AJ129" s="31"/>
      <c r="AK129" s="31"/>
      <c r="AL129" s="31"/>
      <c r="AM129" s="31"/>
      <c r="AN129" s="31"/>
      <c r="AO129" s="31"/>
      <c r="AP129" s="31"/>
      <c r="AQ129" s="31"/>
      <c r="AR129" s="31"/>
      <c r="AS129" s="31"/>
    </row>
    <row r="130" spans="1:45" s="40" customFormat="1">
      <c r="A130" s="26" t="s">
        <v>919</v>
      </c>
      <c r="B130" s="27">
        <v>68499143</v>
      </c>
      <c r="C130" s="28" t="s">
        <v>937</v>
      </c>
      <c r="D130" s="29">
        <v>2</v>
      </c>
      <c r="E130" s="30"/>
      <c r="F130" s="31"/>
      <c r="G130" s="31"/>
      <c r="H130" s="27" t="s">
        <v>509</v>
      </c>
      <c r="I130" s="32"/>
      <c r="J130" s="33"/>
      <c r="K130" s="34"/>
      <c r="L130" s="34"/>
      <c r="M130" s="34"/>
      <c r="N130" s="31"/>
      <c r="O130" s="31"/>
      <c r="P130" s="31"/>
      <c r="Q130" s="31"/>
      <c r="R130" s="31"/>
      <c r="S130" s="31"/>
      <c r="T130" s="31"/>
      <c r="U130" s="42"/>
      <c r="V130" s="43"/>
      <c r="W130" s="37"/>
      <c r="X130" s="38" t="s">
        <v>921</v>
      </c>
      <c r="Y130" s="45">
        <v>754603951213</v>
      </c>
      <c r="Z130" s="31"/>
      <c r="AA130" s="31"/>
      <c r="AB130" s="31"/>
      <c r="AC130" s="31"/>
      <c r="AD130" s="31"/>
      <c r="AE130" s="31"/>
      <c r="AF130" s="31"/>
      <c r="AG130" s="31"/>
      <c r="AH130" s="31"/>
      <c r="AI130" s="31"/>
      <c r="AJ130" s="31"/>
      <c r="AK130" s="31"/>
      <c r="AL130" s="31"/>
      <c r="AM130" s="31"/>
      <c r="AN130" s="31"/>
      <c r="AO130" s="31"/>
      <c r="AP130" s="31"/>
      <c r="AQ130" s="31"/>
      <c r="AR130" s="31"/>
      <c r="AS130" s="31"/>
    </row>
    <row r="131" spans="1:45" s="40" customFormat="1">
      <c r="A131" s="26" t="s">
        <v>919</v>
      </c>
      <c r="B131" s="27">
        <v>68499150</v>
      </c>
      <c r="C131" s="28" t="s">
        <v>937</v>
      </c>
      <c r="D131" s="29">
        <v>0</v>
      </c>
      <c r="E131" s="30"/>
      <c r="F131" s="31"/>
      <c r="G131" s="31"/>
      <c r="H131" s="27" t="s">
        <v>510</v>
      </c>
      <c r="I131" s="32"/>
      <c r="J131" s="33"/>
      <c r="K131" s="34"/>
      <c r="L131" s="34"/>
      <c r="M131" s="34"/>
      <c r="N131" s="31"/>
      <c r="O131" s="31"/>
      <c r="P131" s="31"/>
      <c r="Q131" s="31"/>
      <c r="R131" s="31"/>
      <c r="S131" s="31"/>
      <c r="T131" s="31"/>
      <c r="U131" s="42"/>
      <c r="V131" s="43"/>
      <c r="W131" s="37"/>
      <c r="X131" s="38" t="s">
        <v>921</v>
      </c>
      <c r="Y131" s="45">
        <v>754603951220</v>
      </c>
      <c r="Z131" s="31"/>
      <c r="AA131" s="31"/>
      <c r="AB131" s="31"/>
      <c r="AC131" s="31"/>
      <c r="AD131" s="31"/>
      <c r="AE131" s="31"/>
      <c r="AF131" s="31"/>
      <c r="AG131" s="31"/>
      <c r="AH131" s="31"/>
      <c r="AI131" s="31"/>
      <c r="AJ131" s="31"/>
      <c r="AK131" s="31"/>
      <c r="AL131" s="31"/>
      <c r="AM131" s="31"/>
      <c r="AN131" s="31"/>
      <c r="AO131" s="31"/>
      <c r="AP131" s="31"/>
      <c r="AQ131" s="31"/>
      <c r="AR131" s="31"/>
      <c r="AS131" s="31"/>
    </row>
    <row r="132" spans="1:45" s="40" customFormat="1">
      <c r="A132" s="26" t="s">
        <v>919</v>
      </c>
      <c r="B132" s="27">
        <v>68499167</v>
      </c>
      <c r="C132" s="28" t="s">
        <v>937</v>
      </c>
      <c r="D132" s="29">
        <v>4</v>
      </c>
      <c r="E132" s="30"/>
      <c r="F132" s="31"/>
      <c r="G132" s="31"/>
      <c r="H132" s="27" t="s">
        <v>511</v>
      </c>
      <c r="I132" s="32"/>
      <c r="J132" s="33"/>
      <c r="K132" s="34"/>
      <c r="L132" s="34"/>
      <c r="M132" s="34"/>
      <c r="N132" s="31"/>
      <c r="O132" s="31"/>
      <c r="P132" s="31"/>
      <c r="Q132" s="31"/>
      <c r="R132" s="31"/>
      <c r="S132" s="31"/>
      <c r="T132" s="31"/>
      <c r="U132" s="42"/>
      <c r="V132" s="43"/>
      <c r="W132" s="37"/>
      <c r="X132" s="38" t="s">
        <v>921</v>
      </c>
      <c r="Y132" s="45">
        <v>754603951237</v>
      </c>
      <c r="Z132" s="31"/>
      <c r="AA132" s="31"/>
      <c r="AB132" s="31"/>
      <c r="AC132" s="31"/>
      <c r="AD132" s="31"/>
      <c r="AE132" s="31"/>
      <c r="AF132" s="31"/>
      <c r="AG132" s="31"/>
      <c r="AH132" s="31"/>
      <c r="AI132" s="31"/>
      <c r="AJ132" s="31"/>
      <c r="AK132" s="31"/>
      <c r="AL132" s="31"/>
      <c r="AM132" s="31"/>
      <c r="AN132" s="31"/>
      <c r="AO132" s="31"/>
      <c r="AP132" s="31"/>
      <c r="AQ132" s="31"/>
      <c r="AR132" s="31"/>
      <c r="AS132" s="31"/>
    </row>
    <row r="133" spans="1:45" s="40" customFormat="1">
      <c r="A133" s="26" t="s">
        <v>919</v>
      </c>
      <c r="B133" s="27">
        <v>68499174</v>
      </c>
      <c r="C133" s="28" t="s">
        <v>937</v>
      </c>
      <c r="D133" s="29">
        <v>6</v>
      </c>
      <c r="E133" s="30"/>
      <c r="F133" s="31"/>
      <c r="G133" s="31"/>
      <c r="H133" s="27" t="s">
        <v>512</v>
      </c>
      <c r="I133" s="32"/>
      <c r="J133" s="33"/>
      <c r="K133" s="34"/>
      <c r="L133" s="34"/>
      <c r="M133" s="34"/>
      <c r="N133" s="31"/>
      <c r="O133" s="31"/>
      <c r="P133" s="31"/>
      <c r="Q133" s="31"/>
      <c r="R133" s="31"/>
      <c r="S133" s="31"/>
      <c r="T133" s="31"/>
      <c r="U133" s="42"/>
      <c r="V133" s="43"/>
      <c r="W133" s="37"/>
      <c r="X133" s="38" t="s">
        <v>921</v>
      </c>
      <c r="Y133" s="45">
        <v>754603951244</v>
      </c>
      <c r="Z133" s="31"/>
      <c r="AA133" s="31"/>
      <c r="AB133" s="31"/>
      <c r="AC133" s="31"/>
      <c r="AD133" s="31"/>
      <c r="AE133" s="31"/>
      <c r="AF133" s="31"/>
      <c r="AG133" s="31"/>
      <c r="AH133" s="31"/>
      <c r="AI133" s="31"/>
      <c r="AJ133" s="31"/>
      <c r="AK133" s="31"/>
      <c r="AL133" s="31"/>
      <c r="AM133" s="31"/>
      <c r="AN133" s="31"/>
      <c r="AO133" s="31"/>
      <c r="AP133" s="31"/>
      <c r="AQ133" s="31"/>
      <c r="AR133" s="31"/>
      <c r="AS133" s="31"/>
    </row>
    <row r="134" spans="1:45" s="40" customFormat="1">
      <c r="A134" s="26" t="s">
        <v>919</v>
      </c>
      <c r="B134" s="27">
        <v>68499181</v>
      </c>
      <c r="C134" s="28" t="s">
        <v>937</v>
      </c>
      <c r="D134" s="29">
        <v>0</v>
      </c>
      <c r="E134" s="30"/>
      <c r="F134" s="31"/>
      <c r="G134" s="31"/>
      <c r="H134" s="27" t="s">
        <v>513</v>
      </c>
      <c r="I134" s="32"/>
      <c r="J134" s="33"/>
      <c r="K134" s="34"/>
      <c r="L134" s="34"/>
      <c r="M134" s="34"/>
      <c r="N134" s="31"/>
      <c r="O134" s="31"/>
      <c r="P134" s="31"/>
      <c r="Q134" s="31"/>
      <c r="R134" s="31"/>
      <c r="S134" s="31"/>
      <c r="T134" s="31"/>
      <c r="U134" s="42"/>
      <c r="V134" s="43"/>
      <c r="W134" s="37"/>
      <c r="X134" s="38" t="s">
        <v>921</v>
      </c>
      <c r="Y134" s="45">
        <v>754603951251</v>
      </c>
      <c r="Z134" s="31"/>
      <c r="AA134" s="31"/>
      <c r="AB134" s="31"/>
      <c r="AC134" s="31"/>
      <c r="AD134" s="31"/>
      <c r="AE134" s="31"/>
      <c r="AF134" s="31"/>
      <c r="AG134" s="31"/>
      <c r="AH134" s="31"/>
      <c r="AI134" s="31"/>
      <c r="AJ134" s="31"/>
      <c r="AK134" s="31"/>
      <c r="AL134" s="31"/>
      <c r="AM134" s="31"/>
      <c r="AN134" s="31"/>
      <c r="AO134" s="31"/>
      <c r="AP134" s="31"/>
      <c r="AQ134" s="31"/>
      <c r="AR134" s="31"/>
      <c r="AS134" s="31"/>
    </row>
    <row r="135" spans="1:45" s="40" customFormat="1">
      <c r="A135" s="26" t="s">
        <v>919</v>
      </c>
      <c r="B135" s="27">
        <v>68499198</v>
      </c>
      <c r="C135" s="28" t="s">
        <v>937</v>
      </c>
      <c r="D135" s="29">
        <v>0</v>
      </c>
      <c r="E135" s="30"/>
      <c r="F135" s="31"/>
      <c r="G135" s="31"/>
      <c r="H135" s="27" t="s">
        <v>514</v>
      </c>
      <c r="I135" s="32"/>
      <c r="J135" s="33"/>
      <c r="K135" s="34"/>
      <c r="L135" s="34"/>
      <c r="M135" s="34"/>
      <c r="N135" s="31"/>
      <c r="O135" s="31"/>
      <c r="P135" s="31"/>
      <c r="Q135" s="31"/>
      <c r="R135" s="31"/>
      <c r="S135" s="31"/>
      <c r="T135" s="31"/>
      <c r="U135" s="42"/>
      <c r="V135" s="43"/>
      <c r="W135" s="37"/>
      <c r="X135" s="38" t="s">
        <v>921</v>
      </c>
      <c r="Y135" s="45">
        <v>754603951268</v>
      </c>
      <c r="Z135" s="31"/>
      <c r="AA135" s="31"/>
      <c r="AB135" s="31"/>
      <c r="AC135" s="31"/>
      <c r="AD135" s="31"/>
      <c r="AE135" s="31"/>
      <c r="AF135" s="31"/>
      <c r="AG135" s="31"/>
      <c r="AH135" s="31"/>
      <c r="AI135" s="31"/>
      <c r="AJ135" s="31"/>
      <c r="AK135" s="31"/>
      <c r="AL135" s="31"/>
      <c r="AM135" s="31"/>
      <c r="AN135" s="31"/>
      <c r="AO135" s="31"/>
      <c r="AP135" s="31"/>
      <c r="AQ135" s="31"/>
      <c r="AR135" s="31"/>
      <c r="AS135" s="31"/>
    </row>
    <row r="136" spans="1:45" s="40" customFormat="1">
      <c r="A136" s="26" t="s">
        <v>919</v>
      </c>
      <c r="B136" s="27">
        <v>68499204</v>
      </c>
      <c r="C136" s="28" t="s">
        <v>937</v>
      </c>
      <c r="D136" s="29">
        <v>5</v>
      </c>
      <c r="E136" s="30"/>
      <c r="F136" s="31"/>
      <c r="G136" s="31"/>
      <c r="H136" s="27" t="s">
        <v>515</v>
      </c>
      <c r="I136" s="32"/>
      <c r="J136" s="33"/>
      <c r="K136" s="34"/>
      <c r="L136" s="34"/>
      <c r="M136" s="34"/>
      <c r="N136" s="31"/>
      <c r="O136" s="31"/>
      <c r="P136" s="31"/>
      <c r="Q136" s="31"/>
      <c r="R136" s="31"/>
      <c r="S136" s="31"/>
      <c r="T136" s="31"/>
      <c r="U136" s="42"/>
      <c r="V136" s="43"/>
      <c r="W136" s="37"/>
      <c r="X136" s="38" t="s">
        <v>921</v>
      </c>
      <c r="Y136" s="45">
        <v>754603951275</v>
      </c>
      <c r="Z136" s="31"/>
      <c r="AA136" s="31"/>
      <c r="AB136" s="31"/>
      <c r="AC136" s="31"/>
      <c r="AD136" s="31"/>
      <c r="AE136" s="31"/>
      <c r="AF136" s="31"/>
      <c r="AG136" s="31"/>
      <c r="AH136" s="31"/>
      <c r="AI136" s="31"/>
      <c r="AJ136" s="31"/>
      <c r="AK136" s="31"/>
      <c r="AL136" s="31"/>
      <c r="AM136" s="31"/>
      <c r="AN136" s="31"/>
      <c r="AO136" s="31"/>
      <c r="AP136" s="31"/>
      <c r="AQ136" s="31"/>
      <c r="AR136" s="31"/>
      <c r="AS136" s="31"/>
    </row>
    <row r="137" spans="1:45" s="40" customFormat="1">
      <c r="A137" s="26" t="s">
        <v>919</v>
      </c>
      <c r="B137" s="27">
        <v>68499211</v>
      </c>
      <c r="C137" s="28" t="s">
        <v>937</v>
      </c>
      <c r="D137" s="29">
        <v>2</v>
      </c>
      <c r="E137" s="30"/>
      <c r="F137" s="31"/>
      <c r="G137" s="31"/>
      <c r="H137" s="27" t="s">
        <v>516</v>
      </c>
      <c r="I137" s="32"/>
      <c r="J137" s="33"/>
      <c r="K137" s="34"/>
      <c r="L137" s="34"/>
      <c r="M137" s="34"/>
      <c r="N137" s="31"/>
      <c r="O137" s="31"/>
      <c r="P137" s="31"/>
      <c r="Q137" s="31"/>
      <c r="R137" s="31"/>
      <c r="S137" s="31"/>
      <c r="T137" s="31"/>
      <c r="U137" s="42"/>
      <c r="V137" s="43"/>
      <c r="W137" s="37"/>
      <c r="X137" s="38" t="s">
        <v>921</v>
      </c>
      <c r="Y137" s="45">
        <v>754603951282</v>
      </c>
      <c r="Z137" s="31"/>
      <c r="AA137" s="31"/>
      <c r="AB137" s="31"/>
      <c r="AC137" s="31"/>
      <c r="AD137" s="31"/>
      <c r="AE137" s="31"/>
      <c r="AF137" s="31"/>
      <c r="AG137" s="31"/>
      <c r="AH137" s="31"/>
      <c r="AI137" s="31"/>
      <c r="AJ137" s="31"/>
      <c r="AK137" s="31"/>
      <c r="AL137" s="31"/>
      <c r="AM137" s="31"/>
      <c r="AN137" s="31"/>
      <c r="AO137" s="31"/>
      <c r="AP137" s="31"/>
      <c r="AQ137" s="31"/>
      <c r="AR137" s="31"/>
      <c r="AS137" s="31"/>
    </row>
    <row r="138" spans="1:45" s="40" customFormat="1">
      <c r="A138" s="26" t="s">
        <v>919</v>
      </c>
      <c r="B138" s="27">
        <v>68499228</v>
      </c>
      <c r="C138" s="28" t="s">
        <v>937</v>
      </c>
      <c r="D138" s="29">
        <v>5</v>
      </c>
      <c r="E138" s="30"/>
      <c r="F138" s="31"/>
      <c r="G138" s="31"/>
      <c r="H138" s="27" t="s">
        <v>517</v>
      </c>
      <c r="I138" s="32"/>
      <c r="J138" s="33"/>
      <c r="K138" s="34"/>
      <c r="L138" s="34"/>
      <c r="M138" s="34"/>
      <c r="N138" s="31"/>
      <c r="O138" s="31"/>
      <c r="P138" s="31"/>
      <c r="Q138" s="31"/>
      <c r="R138" s="31"/>
      <c r="S138" s="31"/>
      <c r="T138" s="31"/>
      <c r="U138" s="42"/>
      <c r="V138" s="43"/>
      <c r="W138" s="37"/>
      <c r="X138" s="38" t="s">
        <v>921</v>
      </c>
      <c r="Y138" s="45">
        <v>754603951299</v>
      </c>
      <c r="Z138" s="31"/>
      <c r="AA138" s="31"/>
      <c r="AB138" s="31"/>
      <c r="AC138" s="31"/>
      <c r="AD138" s="31"/>
      <c r="AE138" s="31"/>
      <c r="AF138" s="31"/>
      <c r="AG138" s="31"/>
      <c r="AH138" s="31"/>
      <c r="AI138" s="31"/>
      <c r="AJ138" s="31"/>
      <c r="AK138" s="31"/>
      <c r="AL138" s="31"/>
      <c r="AM138" s="31"/>
      <c r="AN138" s="31"/>
      <c r="AO138" s="31"/>
      <c r="AP138" s="31"/>
      <c r="AQ138" s="31"/>
      <c r="AR138" s="31"/>
      <c r="AS138" s="31"/>
    </row>
    <row r="139" spans="1:45" s="40" customFormat="1">
      <c r="A139" s="26" t="s">
        <v>919</v>
      </c>
      <c r="B139" s="27">
        <v>68499235</v>
      </c>
      <c r="C139" s="28" t="s">
        <v>937</v>
      </c>
      <c r="D139" s="29">
        <v>1</v>
      </c>
      <c r="E139" s="30"/>
      <c r="F139" s="31"/>
      <c r="G139" s="31"/>
      <c r="H139" s="27" t="s">
        <v>518</v>
      </c>
      <c r="I139" s="32"/>
      <c r="J139" s="33"/>
      <c r="K139" s="34"/>
      <c r="L139" s="34"/>
      <c r="M139" s="34"/>
      <c r="N139" s="31"/>
      <c r="O139" s="31"/>
      <c r="P139" s="31"/>
      <c r="Q139" s="31"/>
      <c r="R139" s="31"/>
      <c r="S139" s="31"/>
      <c r="T139" s="31"/>
      <c r="U139" s="42"/>
      <c r="V139" s="43"/>
      <c r="W139" s="37"/>
      <c r="X139" s="38" t="s">
        <v>921</v>
      </c>
      <c r="Y139" s="45">
        <v>754603951305</v>
      </c>
      <c r="Z139" s="31"/>
      <c r="AA139" s="31"/>
      <c r="AB139" s="31"/>
      <c r="AC139" s="31"/>
      <c r="AD139" s="31"/>
      <c r="AE139" s="31"/>
      <c r="AF139" s="31"/>
      <c r="AG139" s="31"/>
      <c r="AH139" s="31"/>
      <c r="AI139" s="31"/>
      <c r="AJ139" s="31"/>
      <c r="AK139" s="31"/>
      <c r="AL139" s="31"/>
      <c r="AM139" s="31"/>
      <c r="AN139" s="31"/>
      <c r="AO139" s="31"/>
      <c r="AP139" s="31"/>
      <c r="AQ139" s="31"/>
      <c r="AR139" s="31"/>
      <c r="AS139" s="31"/>
    </row>
    <row r="140" spans="1:45" s="40" customFormat="1">
      <c r="A140" s="26" t="s">
        <v>919</v>
      </c>
      <c r="B140" s="27">
        <v>68499242</v>
      </c>
      <c r="C140" s="28" t="s">
        <v>937</v>
      </c>
      <c r="D140" s="29">
        <v>0</v>
      </c>
      <c r="E140" s="30"/>
      <c r="F140" s="31"/>
      <c r="G140" s="31"/>
      <c r="H140" s="27" t="s">
        <v>519</v>
      </c>
      <c r="I140" s="32"/>
      <c r="J140" s="33"/>
      <c r="K140" s="34"/>
      <c r="L140" s="34"/>
      <c r="M140" s="34"/>
      <c r="N140" s="31"/>
      <c r="O140" s="31"/>
      <c r="P140" s="31"/>
      <c r="Q140" s="31"/>
      <c r="R140" s="31"/>
      <c r="S140" s="31"/>
      <c r="T140" s="31"/>
      <c r="U140" s="42"/>
      <c r="V140" s="43"/>
      <c r="W140" s="37"/>
      <c r="X140" s="38" t="s">
        <v>921</v>
      </c>
      <c r="Y140" s="45">
        <v>754603951312</v>
      </c>
      <c r="Z140" s="31"/>
      <c r="AA140" s="31"/>
      <c r="AB140" s="31"/>
      <c r="AC140" s="31"/>
      <c r="AD140" s="31"/>
      <c r="AE140" s="31"/>
      <c r="AF140" s="31"/>
      <c r="AG140" s="31"/>
      <c r="AH140" s="31"/>
      <c r="AI140" s="31"/>
      <c r="AJ140" s="31"/>
      <c r="AK140" s="31"/>
      <c r="AL140" s="31"/>
      <c r="AM140" s="31"/>
      <c r="AN140" s="31"/>
      <c r="AO140" s="31"/>
      <c r="AP140" s="31"/>
      <c r="AQ140" s="31"/>
      <c r="AR140" s="31"/>
      <c r="AS140" s="31"/>
    </row>
    <row r="141" spans="1:45" s="40" customFormat="1">
      <c r="A141" s="26" t="s">
        <v>919</v>
      </c>
      <c r="B141" s="27">
        <v>68499259</v>
      </c>
      <c r="C141" s="28" t="s">
        <v>937</v>
      </c>
      <c r="D141" s="29">
        <v>6</v>
      </c>
      <c r="E141" s="30"/>
      <c r="F141" s="31"/>
      <c r="G141" s="31"/>
      <c r="H141" s="27" t="s">
        <v>520</v>
      </c>
      <c r="I141" s="32"/>
      <c r="J141" s="33"/>
      <c r="K141" s="34"/>
      <c r="L141" s="34"/>
      <c r="M141" s="34"/>
      <c r="N141" s="31"/>
      <c r="O141" s="31"/>
      <c r="P141" s="31"/>
      <c r="Q141" s="31"/>
      <c r="R141" s="31"/>
      <c r="S141" s="31"/>
      <c r="T141" s="31"/>
      <c r="U141" s="42"/>
      <c r="V141" s="43"/>
      <c r="W141" s="37"/>
      <c r="X141" s="38" t="s">
        <v>921</v>
      </c>
      <c r="Y141" s="45">
        <v>754603951329</v>
      </c>
      <c r="Z141" s="31"/>
      <c r="AA141" s="31"/>
      <c r="AB141" s="31"/>
      <c r="AC141" s="31"/>
      <c r="AD141" s="31"/>
      <c r="AE141" s="31"/>
      <c r="AF141" s="31"/>
      <c r="AG141" s="31"/>
      <c r="AH141" s="31"/>
      <c r="AI141" s="31"/>
      <c r="AJ141" s="31"/>
      <c r="AK141" s="31"/>
      <c r="AL141" s="31"/>
      <c r="AM141" s="31"/>
      <c r="AN141" s="31"/>
      <c r="AO141" s="31"/>
      <c r="AP141" s="31"/>
      <c r="AQ141" s="31"/>
      <c r="AR141" s="31"/>
      <c r="AS141" s="31"/>
    </row>
    <row r="142" spans="1:45" s="40" customFormat="1">
      <c r="A142" s="26" t="s">
        <v>919</v>
      </c>
      <c r="B142" s="27">
        <v>68499266</v>
      </c>
      <c r="C142" s="28" t="s">
        <v>937</v>
      </c>
      <c r="D142" s="29">
        <v>4</v>
      </c>
      <c r="E142" s="30"/>
      <c r="F142" s="31"/>
      <c r="G142" s="31"/>
      <c r="H142" s="27" t="s">
        <v>521</v>
      </c>
      <c r="I142" s="32"/>
      <c r="J142" s="33"/>
      <c r="K142" s="34"/>
      <c r="L142" s="34"/>
      <c r="M142" s="34"/>
      <c r="N142" s="31"/>
      <c r="O142" s="31"/>
      <c r="P142" s="31"/>
      <c r="Q142" s="31"/>
      <c r="R142" s="31"/>
      <c r="S142" s="31"/>
      <c r="T142" s="31"/>
      <c r="U142" s="42"/>
      <c r="V142" s="43"/>
      <c r="W142" s="37"/>
      <c r="X142" s="38" t="s">
        <v>921</v>
      </c>
      <c r="Y142" s="45">
        <v>754603951336</v>
      </c>
      <c r="Z142" s="31"/>
      <c r="AA142" s="31"/>
      <c r="AB142" s="31"/>
      <c r="AC142" s="31"/>
      <c r="AD142" s="31"/>
      <c r="AE142" s="31"/>
      <c r="AF142" s="31"/>
      <c r="AG142" s="31"/>
      <c r="AH142" s="31"/>
      <c r="AI142" s="31"/>
      <c r="AJ142" s="31"/>
      <c r="AK142" s="31"/>
      <c r="AL142" s="31"/>
      <c r="AM142" s="31"/>
      <c r="AN142" s="31"/>
      <c r="AO142" s="31"/>
      <c r="AP142" s="31"/>
      <c r="AQ142" s="31"/>
      <c r="AR142" s="31"/>
      <c r="AS142" s="31"/>
    </row>
    <row r="143" spans="1:45" s="40" customFormat="1">
      <c r="A143" s="26" t="s">
        <v>919</v>
      </c>
      <c r="B143" s="27">
        <v>68499273</v>
      </c>
      <c r="C143" s="28" t="s">
        <v>937</v>
      </c>
      <c r="D143" s="29">
        <v>6</v>
      </c>
      <c r="E143" s="30"/>
      <c r="F143" s="31"/>
      <c r="G143" s="31"/>
      <c r="H143" s="27" t="s">
        <v>522</v>
      </c>
      <c r="I143" s="32"/>
      <c r="J143" s="33"/>
      <c r="K143" s="34"/>
      <c r="L143" s="34"/>
      <c r="M143" s="34"/>
      <c r="N143" s="31"/>
      <c r="O143" s="31"/>
      <c r="P143" s="31"/>
      <c r="Q143" s="31"/>
      <c r="R143" s="31"/>
      <c r="S143" s="31"/>
      <c r="T143" s="31"/>
      <c r="U143" s="42"/>
      <c r="V143" s="43"/>
      <c r="W143" s="37"/>
      <c r="X143" s="38" t="s">
        <v>921</v>
      </c>
      <c r="Y143" s="45">
        <v>754603951343</v>
      </c>
      <c r="Z143" s="31"/>
      <c r="AA143" s="31"/>
      <c r="AB143" s="31"/>
      <c r="AC143" s="31"/>
      <c r="AD143" s="31"/>
      <c r="AE143" s="31"/>
      <c r="AF143" s="31"/>
      <c r="AG143" s="31"/>
      <c r="AH143" s="31"/>
      <c r="AI143" s="31"/>
      <c r="AJ143" s="31"/>
      <c r="AK143" s="31"/>
      <c r="AL143" s="31"/>
      <c r="AM143" s="31"/>
      <c r="AN143" s="31"/>
      <c r="AO143" s="31"/>
      <c r="AP143" s="31"/>
      <c r="AQ143" s="31"/>
      <c r="AR143" s="31"/>
      <c r="AS143" s="31"/>
    </row>
    <row r="144" spans="1:45" s="40" customFormat="1">
      <c r="A144" s="26" t="s">
        <v>919</v>
      </c>
      <c r="B144" s="27">
        <v>68499280</v>
      </c>
      <c r="C144" s="28" t="s">
        <v>937</v>
      </c>
      <c r="D144" s="29">
        <v>0</v>
      </c>
      <c r="E144" s="30"/>
      <c r="F144" s="31"/>
      <c r="G144" s="31"/>
      <c r="H144" s="27" t="s">
        <v>523</v>
      </c>
      <c r="I144" s="32"/>
      <c r="J144" s="33"/>
      <c r="K144" s="34"/>
      <c r="L144" s="34"/>
      <c r="M144" s="34"/>
      <c r="N144" s="31"/>
      <c r="O144" s="31"/>
      <c r="P144" s="31"/>
      <c r="Q144" s="31"/>
      <c r="R144" s="31"/>
      <c r="S144" s="31"/>
      <c r="T144" s="31"/>
      <c r="U144" s="42"/>
      <c r="V144" s="43"/>
      <c r="W144" s="37"/>
      <c r="X144" s="38" t="s">
        <v>921</v>
      </c>
      <c r="Y144" s="45">
        <v>754603951350</v>
      </c>
      <c r="Z144" s="31"/>
      <c r="AA144" s="31"/>
      <c r="AB144" s="31"/>
      <c r="AC144" s="31"/>
      <c r="AD144" s="31"/>
      <c r="AE144" s="31"/>
      <c r="AF144" s="31"/>
      <c r="AG144" s="31"/>
      <c r="AH144" s="31"/>
      <c r="AI144" s="31"/>
      <c r="AJ144" s="31"/>
      <c r="AK144" s="31"/>
      <c r="AL144" s="31"/>
      <c r="AM144" s="31"/>
      <c r="AN144" s="31"/>
      <c r="AO144" s="31"/>
      <c r="AP144" s="31"/>
      <c r="AQ144" s="31"/>
      <c r="AR144" s="31"/>
      <c r="AS144" s="31"/>
    </row>
    <row r="145" spans="1:45" s="40" customFormat="1">
      <c r="A145" s="26" t="s">
        <v>919</v>
      </c>
      <c r="B145" s="27">
        <v>68499297</v>
      </c>
      <c r="C145" s="28" t="s">
        <v>937</v>
      </c>
      <c r="D145" s="29">
        <v>0</v>
      </c>
      <c r="E145" s="30"/>
      <c r="F145" s="31"/>
      <c r="G145" s="31"/>
      <c r="H145" s="27" t="s">
        <v>524</v>
      </c>
      <c r="I145" s="32"/>
      <c r="J145" s="33"/>
      <c r="K145" s="34"/>
      <c r="L145" s="34"/>
      <c r="M145" s="34"/>
      <c r="N145" s="31"/>
      <c r="O145" s="31"/>
      <c r="P145" s="31"/>
      <c r="Q145" s="31"/>
      <c r="R145" s="31"/>
      <c r="S145" s="31"/>
      <c r="T145" s="31"/>
      <c r="U145" s="42"/>
      <c r="V145" s="43"/>
      <c r="W145" s="37"/>
      <c r="X145" s="38" t="s">
        <v>921</v>
      </c>
      <c r="Y145" s="45">
        <v>754603951367</v>
      </c>
      <c r="Z145" s="31"/>
      <c r="AA145" s="31"/>
      <c r="AB145" s="31"/>
      <c r="AC145" s="31"/>
      <c r="AD145" s="31"/>
      <c r="AE145" s="31"/>
      <c r="AF145" s="31"/>
      <c r="AG145" s="31"/>
      <c r="AH145" s="31"/>
      <c r="AI145" s="31"/>
      <c r="AJ145" s="31"/>
      <c r="AK145" s="31"/>
      <c r="AL145" s="31"/>
      <c r="AM145" s="31"/>
      <c r="AN145" s="31"/>
      <c r="AO145" s="31"/>
      <c r="AP145" s="31"/>
      <c r="AQ145" s="31"/>
      <c r="AR145" s="31"/>
      <c r="AS145" s="31"/>
    </row>
    <row r="146" spans="1:45" s="40" customFormat="1">
      <c r="A146" s="26" t="s">
        <v>919</v>
      </c>
      <c r="B146" s="27">
        <v>68499303</v>
      </c>
      <c r="C146" s="28" t="s">
        <v>937</v>
      </c>
      <c r="D146" s="29">
        <v>2</v>
      </c>
      <c r="E146" s="30"/>
      <c r="F146" s="31"/>
      <c r="G146" s="31"/>
      <c r="H146" s="27" t="s">
        <v>525</v>
      </c>
      <c r="I146" s="32"/>
      <c r="J146" s="33"/>
      <c r="K146" s="34"/>
      <c r="L146" s="34"/>
      <c r="M146" s="34"/>
      <c r="N146" s="31"/>
      <c r="O146" s="31"/>
      <c r="P146" s="31"/>
      <c r="Q146" s="31"/>
      <c r="R146" s="31"/>
      <c r="S146" s="31"/>
      <c r="T146" s="31"/>
      <c r="U146" s="42"/>
      <c r="V146" s="43"/>
      <c r="W146" s="37"/>
      <c r="X146" s="38" t="s">
        <v>921</v>
      </c>
      <c r="Y146" s="45">
        <v>754603951374</v>
      </c>
      <c r="Z146" s="31"/>
      <c r="AA146" s="31"/>
      <c r="AB146" s="31"/>
      <c r="AC146" s="31"/>
      <c r="AD146" s="31"/>
      <c r="AE146" s="31"/>
      <c r="AF146" s="31"/>
      <c r="AG146" s="31"/>
      <c r="AH146" s="31"/>
      <c r="AI146" s="31"/>
      <c r="AJ146" s="31"/>
      <c r="AK146" s="31"/>
      <c r="AL146" s="31"/>
      <c r="AM146" s="31"/>
      <c r="AN146" s="31"/>
      <c r="AO146" s="31"/>
      <c r="AP146" s="31"/>
      <c r="AQ146" s="31"/>
      <c r="AR146" s="31"/>
      <c r="AS146" s="31"/>
    </row>
    <row r="147" spans="1:45" s="40" customFormat="1">
      <c r="A147" s="26" t="s">
        <v>919</v>
      </c>
      <c r="B147" s="27">
        <v>68499310</v>
      </c>
      <c r="C147" s="28" t="s">
        <v>937</v>
      </c>
      <c r="D147" s="29">
        <v>0</v>
      </c>
      <c r="E147" s="30"/>
      <c r="F147" s="31"/>
      <c r="G147" s="31"/>
      <c r="H147" s="27" t="s">
        <v>526</v>
      </c>
      <c r="I147" s="32"/>
      <c r="J147" s="33"/>
      <c r="K147" s="34"/>
      <c r="L147" s="34"/>
      <c r="M147" s="34"/>
      <c r="N147" s="31"/>
      <c r="O147" s="31"/>
      <c r="P147" s="31"/>
      <c r="Q147" s="31"/>
      <c r="R147" s="31"/>
      <c r="S147" s="31"/>
      <c r="T147" s="31"/>
      <c r="U147" s="42"/>
      <c r="V147" s="43"/>
      <c r="W147" s="37"/>
      <c r="X147" s="38" t="s">
        <v>921</v>
      </c>
      <c r="Y147" s="45">
        <v>754603951381</v>
      </c>
      <c r="Z147" s="31"/>
      <c r="AA147" s="31"/>
      <c r="AB147" s="31"/>
      <c r="AC147" s="31"/>
      <c r="AD147" s="31"/>
      <c r="AE147" s="31"/>
      <c r="AF147" s="31"/>
      <c r="AG147" s="31"/>
      <c r="AH147" s="31"/>
      <c r="AI147" s="31"/>
      <c r="AJ147" s="31"/>
      <c r="AK147" s="31"/>
      <c r="AL147" s="31"/>
      <c r="AM147" s="31"/>
      <c r="AN147" s="31"/>
      <c r="AO147" s="31"/>
      <c r="AP147" s="31"/>
      <c r="AQ147" s="31"/>
      <c r="AR147" s="31"/>
      <c r="AS147" s="31"/>
    </row>
    <row r="148" spans="1:45" s="40" customFormat="1">
      <c r="A148" s="26" t="s">
        <v>919</v>
      </c>
      <c r="B148" s="27">
        <v>68499327</v>
      </c>
      <c r="C148" s="28" t="s">
        <v>937</v>
      </c>
      <c r="D148" s="29">
        <v>1</v>
      </c>
      <c r="E148" s="30"/>
      <c r="F148" s="31"/>
      <c r="G148" s="31"/>
      <c r="H148" s="27" t="s">
        <v>527</v>
      </c>
      <c r="I148" s="32"/>
      <c r="J148" s="33"/>
      <c r="K148" s="34"/>
      <c r="L148" s="34"/>
      <c r="M148" s="34"/>
      <c r="N148" s="31"/>
      <c r="O148" s="31"/>
      <c r="P148" s="31"/>
      <c r="Q148" s="31"/>
      <c r="R148" s="31"/>
      <c r="S148" s="31"/>
      <c r="T148" s="31"/>
      <c r="U148" s="42"/>
      <c r="V148" s="43"/>
      <c r="W148" s="37"/>
      <c r="X148" s="38" t="s">
        <v>921</v>
      </c>
      <c r="Y148" s="45">
        <v>754603951398</v>
      </c>
      <c r="Z148" s="31"/>
      <c r="AA148" s="31"/>
      <c r="AB148" s="31"/>
      <c r="AC148" s="31"/>
      <c r="AD148" s="31"/>
      <c r="AE148" s="31"/>
      <c r="AF148" s="31"/>
      <c r="AG148" s="31"/>
      <c r="AH148" s="31"/>
      <c r="AI148" s="31"/>
      <c r="AJ148" s="31"/>
      <c r="AK148" s="31"/>
      <c r="AL148" s="31"/>
      <c r="AM148" s="31"/>
      <c r="AN148" s="31"/>
      <c r="AO148" s="31"/>
      <c r="AP148" s="31"/>
      <c r="AQ148" s="31"/>
      <c r="AR148" s="31"/>
      <c r="AS148" s="31"/>
    </row>
    <row r="149" spans="1:45" s="40" customFormat="1">
      <c r="A149" s="26" t="s">
        <v>919</v>
      </c>
      <c r="B149" s="27">
        <v>68499334</v>
      </c>
      <c r="C149" s="28" t="s">
        <v>937</v>
      </c>
      <c r="D149" s="29">
        <v>0</v>
      </c>
      <c r="E149" s="30"/>
      <c r="F149" s="31"/>
      <c r="G149" s="31"/>
      <c r="H149" s="27" t="s">
        <v>528</v>
      </c>
      <c r="I149" s="32"/>
      <c r="J149" s="33"/>
      <c r="K149" s="34"/>
      <c r="L149" s="34"/>
      <c r="M149" s="34"/>
      <c r="N149" s="31"/>
      <c r="O149" s="31"/>
      <c r="P149" s="31"/>
      <c r="Q149" s="31"/>
      <c r="R149" s="31"/>
      <c r="S149" s="31"/>
      <c r="T149" s="31"/>
      <c r="U149" s="42"/>
      <c r="V149" s="43"/>
      <c r="W149" s="37"/>
      <c r="X149" s="38" t="s">
        <v>921</v>
      </c>
      <c r="Y149" s="45">
        <v>754603951404</v>
      </c>
      <c r="Z149" s="31"/>
      <c r="AA149" s="31"/>
      <c r="AB149" s="31"/>
      <c r="AC149" s="31"/>
      <c r="AD149" s="31"/>
      <c r="AE149" s="31"/>
      <c r="AF149" s="31"/>
      <c r="AG149" s="31"/>
      <c r="AH149" s="31"/>
      <c r="AI149" s="31"/>
      <c r="AJ149" s="31"/>
      <c r="AK149" s="31"/>
      <c r="AL149" s="31"/>
      <c r="AM149" s="31"/>
      <c r="AN149" s="31"/>
      <c r="AO149" s="31"/>
      <c r="AP149" s="31"/>
      <c r="AQ149" s="31"/>
      <c r="AR149" s="31"/>
      <c r="AS149" s="31"/>
    </row>
    <row r="150" spans="1:45" s="40" customFormat="1">
      <c r="A150" s="26" t="s">
        <v>919</v>
      </c>
      <c r="B150" s="27">
        <v>68499341</v>
      </c>
      <c r="C150" s="28" t="s">
        <v>937</v>
      </c>
      <c r="D150" s="29">
        <v>3</v>
      </c>
      <c r="E150" s="30"/>
      <c r="F150" s="31"/>
      <c r="G150" s="31"/>
      <c r="H150" s="27" t="s">
        <v>529</v>
      </c>
      <c r="I150" s="32"/>
      <c r="J150" s="33"/>
      <c r="K150" s="34"/>
      <c r="L150" s="34"/>
      <c r="M150" s="34"/>
      <c r="N150" s="31"/>
      <c r="O150" s="31"/>
      <c r="P150" s="31"/>
      <c r="Q150" s="31"/>
      <c r="R150" s="31"/>
      <c r="S150" s="31"/>
      <c r="T150" s="31"/>
      <c r="U150" s="42"/>
      <c r="V150" s="43"/>
      <c r="W150" s="37"/>
      <c r="X150" s="38" t="s">
        <v>921</v>
      </c>
      <c r="Y150" s="45">
        <v>754603951411</v>
      </c>
      <c r="Z150" s="31"/>
      <c r="AA150" s="31"/>
      <c r="AB150" s="31"/>
      <c r="AC150" s="31"/>
      <c r="AD150" s="31"/>
      <c r="AE150" s="31"/>
      <c r="AF150" s="31"/>
      <c r="AG150" s="31"/>
      <c r="AH150" s="31"/>
      <c r="AI150" s="31"/>
      <c r="AJ150" s="31"/>
      <c r="AK150" s="31"/>
      <c r="AL150" s="31"/>
      <c r="AM150" s="31"/>
      <c r="AN150" s="31"/>
      <c r="AO150" s="31"/>
      <c r="AP150" s="31"/>
      <c r="AQ150" s="31"/>
      <c r="AR150" s="31"/>
      <c r="AS150" s="31"/>
    </row>
    <row r="151" spans="1:45" s="40" customFormat="1">
      <c r="A151" s="26" t="s">
        <v>919</v>
      </c>
      <c r="B151" s="27">
        <v>68499358</v>
      </c>
      <c r="C151" s="28" t="s">
        <v>937</v>
      </c>
      <c r="D151" s="29">
        <v>5</v>
      </c>
      <c r="E151" s="30"/>
      <c r="F151" s="31"/>
      <c r="G151" s="31"/>
      <c r="H151" s="27" t="s">
        <v>530</v>
      </c>
      <c r="I151" s="32"/>
      <c r="J151" s="33"/>
      <c r="K151" s="34"/>
      <c r="L151" s="34"/>
      <c r="M151" s="34"/>
      <c r="N151" s="31"/>
      <c r="O151" s="31"/>
      <c r="P151" s="31"/>
      <c r="Q151" s="31"/>
      <c r="R151" s="31"/>
      <c r="S151" s="31"/>
      <c r="T151" s="31"/>
      <c r="U151" s="42"/>
      <c r="V151" s="43"/>
      <c r="W151" s="37"/>
      <c r="X151" s="38" t="s">
        <v>921</v>
      </c>
      <c r="Y151" s="45">
        <v>754603951428</v>
      </c>
      <c r="Z151" s="31"/>
      <c r="AA151" s="31"/>
      <c r="AB151" s="31"/>
      <c r="AC151" s="31"/>
      <c r="AD151" s="31"/>
      <c r="AE151" s="31"/>
      <c r="AF151" s="31"/>
      <c r="AG151" s="31"/>
      <c r="AH151" s="31"/>
      <c r="AI151" s="31"/>
      <c r="AJ151" s="31"/>
      <c r="AK151" s="31"/>
      <c r="AL151" s="31"/>
      <c r="AM151" s="31"/>
      <c r="AN151" s="31"/>
      <c r="AO151" s="31"/>
      <c r="AP151" s="31"/>
      <c r="AQ151" s="31"/>
      <c r="AR151" s="31"/>
      <c r="AS151" s="31"/>
    </row>
    <row r="152" spans="1:45" s="40" customFormat="1">
      <c r="A152" s="26" t="s">
        <v>919</v>
      </c>
      <c r="B152" s="27">
        <v>68499365</v>
      </c>
      <c r="C152" s="28" t="s">
        <v>937</v>
      </c>
      <c r="D152" s="29">
        <v>5</v>
      </c>
      <c r="E152" s="30"/>
      <c r="F152" s="31"/>
      <c r="G152" s="31"/>
      <c r="H152" s="27" t="s">
        <v>531</v>
      </c>
      <c r="I152" s="32"/>
      <c r="J152" s="33"/>
      <c r="K152" s="34"/>
      <c r="L152" s="34"/>
      <c r="M152" s="34"/>
      <c r="N152" s="31"/>
      <c r="O152" s="31"/>
      <c r="P152" s="31"/>
      <c r="Q152" s="31"/>
      <c r="R152" s="31"/>
      <c r="S152" s="31"/>
      <c r="T152" s="31"/>
      <c r="U152" s="42"/>
      <c r="V152" s="43"/>
      <c r="W152" s="37"/>
      <c r="X152" s="38" t="s">
        <v>921</v>
      </c>
      <c r="Y152" s="45">
        <v>754603951435</v>
      </c>
      <c r="Z152" s="31"/>
      <c r="AA152" s="31"/>
      <c r="AB152" s="31"/>
      <c r="AC152" s="31"/>
      <c r="AD152" s="31"/>
      <c r="AE152" s="31"/>
      <c r="AF152" s="31"/>
      <c r="AG152" s="31"/>
      <c r="AH152" s="31"/>
      <c r="AI152" s="31"/>
      <c r="AJ152" s="31"/>
      <c r="AK152" s="31"/>
      <c r="AL152" s="31"/>
      <c r="AM152" s="31"/>
      <c r="AN152" s="31"/>
      <c r="AO152" s="31"/>
      <c r="AP152" s="31"/>
      <c r="AQ152" s="31"/>
      <c r="AR152" s="31"/>
      <c r="AS152" s="31"/>
    </row>
    <row r="153" spans="1:45" s="40" customFormat="1">
      <c r="A153" s="26" t="s">
        <v>919</v>
      </c>
      <c r="B153" s="27">
        <v>68499372</v>
      </c>
      <c r="C153" s="28" t="s">
        <v>937</v>
      </c>
      <c r="D153" s="29">
        <v>5</v>
      </c>
      <c r="E153" s="30"/>
      <c r="F153" s="31"/>
      <c r="G153" s="31"/>
      <c r="H153" s="27" t="s">
        <v>532</v>
      </c>
      <c r="I153" s="32"/>
      <c r="J153" s="33"/>
      <c r="K153" s="34"/>
      <c r="L153" s="34"/>
      <c r="M153" s="34"/>
      <c r="N153" s="31"/>
      <c r="O153" s="31"/>
      <c r="P153" s="31"/>
      <c r="Q153" s="31"/>
      <c r="R153" s="31"/>
      <c r="S153" s="31"/>
      <c r="T153" s="31"/>
      <c r="U153" s="42"/>
      <c r="V153" s="43"/>
      <c r="W153" s="37"/>
      <c r="X153" s="38" t="s">
        <v>921</v>
      </c>
      <c r="Y153" s="45">
        <v>754603951442</v>
      </c>
      <c r="Z153" s="31"/>
      <c r="AA153" s="31"/>
      <c r="AB153" s="31"/>
      <c r="AC153" s="31"/>
      <c r="AD153" s="31"/>
      <c r="AE153" s="31"/>
      <c r="AF153" s="31"/>
      <c r="AG153" s="31"/>
      <c r="AH153" s="31"/>
      <c r="AI153" s="31"/>
      <c r="AJ153" s="31"/>
      <c r="AK153" s="31"/>
      <c r="AL153" s="31"/>
      <c r="AM153" s="31"/>
      <c r="AN153" s="31"/>
      <c r="AO153" s="31"/>
      <c r="AP153" s="31"/>
      <c r="AQ153" s="31"/>
      <c r="AR153" s="31"/>
      <c r="AS153" s="31"/>
    </row>
    <row r="154" spans="1:45" s="40" customFormat="1">
      <c r="A154" s="26" t="s">
        <v>919</v>
      </c>
      <c r="B154" s="27">
        <v>68542733</v>
      </c>
      <c r="C154" s="28" t="s">
        <v>937</v>
      </c>
      <c r="D154" s="29">
        <v>44</v>
      </c>
      <c r="E154" s="30"/>
      <c r="F154" s="31"/>
      <c r="G154" s="31"/>
      <c r="H154" s="27" t="s">
        <v>393</v>
      </c>
      <c r="I154" s="32"/>
      <c r="J154" s="33"/>
      <c r="K154" s="34"/>
      <c r="L154" s="34"/>
      <c r="M154" s="34"/>
      <c r="N154" s="31"/>
      <c r="O154" s="31"/>
      <c r="P154" s="31"/>
      <c r="Q154" s="31"/>
      <c r="R154" s="31"/>
      <c r="S154" s="31"/>
      <c r="T154" s="31"/>
      <c r="U154" s="42"/>
      <c r="V154" s="43"/>
      <c r="W154" s="37"/>
      <c r="X154" s="38" t="s">
        <v>921</v>
      </c>
      <c r="Y154" s="45">
        <v>680487135299</v>
      </c>
      <c r="Z154" s="31"/>
      <c r="AA154" s="31"/>
      <c r="AB154" s="31"/>
      <c r="AC154" s="31"/>
      <c r="AD154" s="31"/>
      <c r="AE154" s="31"/>
      <c r="AF154" s="31"/>
      <c r="AG154" s="31"/>
      <c r="AH154" s="31"/>
      <c r="AI154" s="31"/>
      <c r="AJ154" s="31"/>
      <c r="AK154" s="31"/>
      <c r="AL154" s="31"/>
      <c r="AM154" s="31"/>
      <c r="AN154" s="31"/>
      <c r="AO154" s="31"/>
      <c r="AP154" s="31"/>
      <c r="AQ154" s="31"/>
      <c r="AR154" s="31"/>
      <c r="AS154" s="31"/>
    </row>
    <row r="155" spans="1:45" s="40" customFormat="1">
      <c r="A155" s="26" t="s">
        <v>919</v>
      </c>
      <c r="B155" s="27">
        <v>68542740</v>
      </c>
      <c r="C155" s="28" t="s">
        <v>937</v>
      </c>
      <c r="D155" s="29">
        <v>22</v>
      </c>
      <c r="E155" s="30"/>
      <c r="F155" s="31"/>
      <c r="G155" s="31"/>
      <c r="H155" s="27" t="s">
        <v>424</v>
      </c>
      <c r="I155" s="32"/>
      <c r="J155" s="33"/>
      <c r="K155" s="34"/>
      <c r="L155" s="34"/>
      <c r="M155" s="34"/>
      <c r="N155" s="31"/>
      <c r="O155" s="31"/>
      <c r="P155" s="31"/>
      <c r="Q155" s="31"/>
      <c r="R155" s="31"/>
      <c r="S155" s="31"/>
      <c r="T155" s="31"/>
      <c r="U155" s="42"/>
      <c r="V155" s="43"/>
      <c r="W155" s="37"/>
      <c r="X155" s="38" t="s">
        <v>921</v>
      </c>
      <c r="Y155" s="45">
        <v>680487135305</v>
      </c>
      <c r="Z155" s="31"/>
      <c r="AA155" s="31"/>
      <c r="AB155" s="31"/>
      <c r="AC155" s="31"/>
      <c r="AD155" s="31"/>
      <c r="AE155" s="31"/>
      <c r="AF155" s="31"/>
      <c r="AG155" s="31"/>
      <c r="AH155" s="31"/>
      <c r="AI155" s="31"/>
      <c r="AJ155" s="31"/>
      <c r="AK155" s="31"/>
      <c r="AL155" s="31"/>
      <c r="AM155" s="31"/>
      <c r="AN155" s="31"/>
      <c r="AO155" s="31"/>
      <c r="AP155" s="31"/>
      <c r="AQ155" s="31"/>
      <c r="AR155" s="31"/>
      <c r="AS155" s="31"/>
    </row>
    <row r="156" spans="1:45" s="40" customFormat="1">
      <c r="A156" s="26" t="s">
        <v>919</v>
      </c>
      <c r="B156" s="27">
        <v>68542757</v>
      </c>
      <c r="C156" s="28" t="s">
        <v>937</v>
      </c>
      <c r="D156" s="29">
        <v>2</v>
      </c>
      <c r="E156" s="30"/>
      <c r="F156" s="31"/>
      <c r="G156" s="31"/>
      <c r="H156" s="27" t="s">
        <v>394</v>
      </c>
      <c r="I156" s="32"/>
      <c r="J156" s="33"/>
      <c r="K156" s="34"/>
      <c r="L156" s="34"/>
      <c r="M156" s="34"/>
      <c r="N156" s="31"/>
      <c r="O156" s="31"/>
      <c r="P156" s="31"/>
      <c r="Q156" s="31"/>
      <c r="R156" s="31"/>
      <c r="S156" s="31"/>
      <c r="T156" s="31"/>
      <c r="U156" s="42"/>
      <c r="V156" s="43"/>
      <c r="W156" s="37"/>
      <c r="X156" s="38" t="s">
        <v>921</v>
      </c>
      <c r="Y156" s="45">
        <v>680487135312</v>
      </c>
      <c r="Z156" s="31"/>
      <c r="AA156" s="31"/>
      <c r="AB156" s="31"/>
      <c r="AC156" s="31"/>
      <c r="AD156" s="31"/>
      <c r="AE156" s="31"/>
      <c r="AF156" s="31"/>
      <c r="AG156" s="31"/>
      <c r="AH156" s="31"/>
      <c r="AI156" s="31"/>
      <c r="AJ156" s="31"/>
      <c r="AK156" s="31"/>
      <c r="AL156" s="31"/>
      <c r="AM156" s="31"/>
      <c r="AN156" s="31"/>
      <c r="AO156" s="31"/>
      <c r="AP156" s="31"/>
      <c r="AQ156" s="31"/>
      <c r="AR156" s="31"/>
      <c r="AS156" s="31"/>
    </row>
    <row r="157" spans="1:45" s="40" customFormat="1">
      <c r="A157" s="26" t="s">
        <v>919</v>
      </c>
      <c r="B157" s="27">
        <v>68542764</v>
      </c>
      <c r="C157" s="28" t="s">
        <v>937</v>
      </c>
      <c r="D157" s="29">
        <v>2</v>
      </c>
      <c r="E157" s="30"/>
      <c r="F157" s="31"/>
      <c r="G157" s="31"/>
      <c r="H157" s="27" t="s">
        <v>425</v>
      </c>
      <c r="I157" s="32"/>
      <c r="J157" s="33"/>
      <c r="K157" s="34"/>
      <c r="L157" s="34"/>
      <c r="M157" s="34"/>
      <c r="N157" s="31"/>
      <c r="O157" s="31"/>
      <c r="P157" s="31"/>
      <c r="Q157" s="31"/>
      <c r="R157" s="31"/>
      <c r="S157" s="31"/>
      <c r="T157" s="31"/>
      <c r="U157" s="42"/>
      <c r="V157" s="43"/>
      <c r="W157" s="37"/>
      <c r="X157" s="38" t="s">
        <v>921</v>
      </c>
      <c r="Y157" s="45">
        <v>680487135329</v>
      </c>
      <c r="Z157" s="31"/>
      <c r="AA157" s="31"/>
      <c r="AB157" s="31"/>
      <c r="AC157" s="31"/>
      <c r="AD157" s="31"/>
      <c r="AE157" s="31"/>
      <c r="AF157" s="31"/>
      <c r="AG157" s="31"/>
      <c r="AH157" s="31"/>
      <c r="AI157" s="31"/>
      <c r="AJ157" s="31"/>
      <c r="AK157" s="31"/>
      <c r="AL157" s="31"/>
      <c r="AM157" s="31"/>
      <c r="AN157" s="31"/>
      <c r="AO157" s="31"/>
      <c r="AP157" s="31"/>
      <c r="AQ157" s="31"/>
      <c r="AR157" s="31"/>
      <c r="AS157" s="31"/>
    </row>
    <row r="158" spans="1:45" s="40" customFormat="1">
      <c r="A158" s="26" t="s">
        <v>919</v>
      </c>
      <c r="B158" s="27">
        <v>68542771</v>
      </c>
      <c r="C158" s="28" t="s">
        <v>937</v>
      </c>
      <c r="D158" s="29">
        <v>12</v>
      </c>
      <c r="E158" s="30"/>
      <c r="F158" s="31"/>
      <c r="G158" s="31"/>
      <c r="H158" s="27" t="s">
        <v>395</v>
      </c>
      <c r="I158" s="32"/>
      <c r="J158" s="33"/>
      <c r="K158" s="34"/>
      <c r="L158" s="34"/>
      <c r="M158" s="34"/>
      <c r="N158" s="31"/>
      <c r="O158" s="31"/>
      <c r="P158" s="31"/>
      <c r="Q158" s="31"/>
      <c r="R158" s="31"/>
      <c r="S158" s="31"/>
      <c r="T158" s="31"/>
      <c r="U158" s="42"/>
      <c r="V158" s="43"/>
      <c r="W158" s="37"/>
      <c r="X158" s="38" t="s">
        <v>921</v>
      </c>
      <c r="Y158" s="45">
        <v>680487058734</v>
      </c>
      <c r="Z158" s="31"/>
      <c r="AA158" s="31"/>
      <c r="AB158" s="31"/>
      <c r="AC158" s="31"/>
      <c r="AD158" s="31"/>
      <c r="AE158" s="31"/>
      <c r="AF158" s="31"/>
      <c r="AG158" s="31"/>
      <c r="AH158" s="31"/>
      <c r="AI158" s="31"/>
      <c r="AJ158" s="31"/>
      <c r="AK158" s="31"/>
      <c r="AL158" s="31"/>
      <c r="AM158" s="31"/>
      <c r="AN158" s="31"/>
      <c r="AO158" s="31"/>
      <c r="AP158" s="31"/>
      <c r="AQ158" s="31"/>
      <c r="AR158" s="31"/>
      <c r="AS158" s="31"/>
    </row>
    <row r="159" spans="1:45" s="40" customFormat="1">
      <c r="A159" s="26" t="s">
        <v>919</v>
      </c>
      <c r="B159" s="27">
        <v>68542788</v>
      </c>
      <c r="C159" s="28" t="s">
        <v>937</v>
      </c>
      <c r="D159" s="29">
        <v>21</v>
      </c>
      <c r="E159" s="30"/>
      <c r="F159" s="31"/>
      <c r="G159" s="31"/>
      <c r="H159" s="27" t="s">
        <v>426</v>
      </c>
      <c r="I159" s="32"/>
      <c r="J159" s="33"/>
      <c r="K159" s="34"/>
      <c r="L159" s="34"/>
      <c r="M159" s="34"/>
      <c r="N159" s="31"/>
      <c r="O159" s="31"/>
      <c r="P159" s="31"/>
      <c r="Q159" s="31"/>
      <c r="R159" s="31"/>
      <c r="S159" s="31"/>
      <c r="T159" s="31"/>
      <c r="U159" s="42"/>
      <c r="V159" s="43"/>
      <c r="W159" s="37"/>
      <c r="X159" s="38" t="s">
        <v>921</v>
      </c>
      <c r="Y159" s="45">
        <v>680487135343</v>
      </c>
      <c r="Z159" s="31"/>
      <c r="AA159" s="31"/>
      <c r="AB159" s="31"/>
      <c r="AC159" s="31"/>
      <c r="AD159" s="31"/>
      <c r="AE159" s="31"/>
      <c r="AF159" s="31"/>
      <c r="AG159" s="31"/>
      <c r="AH159" s="31"/>
      <c r="AI159" s="31"/>
      <c r="AJ159" s="31"/>
      <c r="AK159" s="31"/>
      <c r="AL159" s="31"/>
      <c r="AM159" s="31"/>
      <c r="AN159" s="31"/>
      <c r="AO159" s="31"/>
      <c r="AP159" s="31"/>
      <c r="AQ159" s="31"/>
      <c r="AR159" s="31"/>
      <c r="AS159" s="31"/>
    </row>
    <row r="160" spans="1:45" s="40" customFormat="1">
      <c r="A160" s="26" t="s">
        <v>919</v>
      </c>
      <c r="B160" s="27">
        <v>68542795</v>
      </c>
      <c r="C160" s="28" t="s">
        <v>937</v>
      </c>
      <c r="D160" s="29">
        <v>2</v>
      </c>
      <c r="E160" s="30"/>
      <c r="F160" s="31"/>
      <c r="G160" s="31"/>
      <c r="H160" s="27" t="s">
        <v>396</v>
      </c>
      <c r="I160" s="32"/>
      <c r="J160" s="33"/>
      <c r="K160" s="34"/>
      <c r="L160" s="34"/>
      <c r="M160" s="34"/>
      <c r="N160" s="31"/>
      <c r="O160" s="31"/>
      <c r="P160" s="31"/>
      <c r="Q160" s="31"/>
      <c r="R160" s="31"/>
      <c r="S160" s="31"/>
      <c r="T160" s="31"/>
      <c r="U160" s="42"/>
      <c r="V160" s="43"/>
      <c r="W160" s="37"/>
      <c r="X160" s="38" t="s">
        <v>921</v>
      </c>
      <c r="Y160" s="45">
        <v>680487135350</v>
      </c>
      <c r="Z160" s="31"/>
      <c r="AA160" s="31"/>
      <c r="AB160" s="31"/>
      <c r="AC160" s="31"/>
      <c r="AD160" s="31"/>
      <c r="AE160" s="31"/>
      <c r="AF160" s="31"/>
      <c r="AG160" s="31"/>
      <c r="AH160" s="31"/>
      <c r="AI160" s="31"/>
      <c r="AJ160" s="31"/>
      <c r="AK160" s="31"/>
      <c r="AL160" s="31"/>
      <c r="AM160" s="31"/>
      <c r="AN160" s="31"/>
      <c r="AO160" s="31"/>
      <c r="AP160" s="31"/>
      <c r="AQ160" s="31"/>
      <c r="AR160" s="31"/>
      <c r="AS160" s="31"/>
    </row>
    <row r="161" spans="1:45" s="40" customFormat="1">
      <c r="A161" s="26" t="s">
        <v>919</v>
      </c>
      <c r="B161" s="27">
        <v>68542801</v>
      </c>
      <c r="C161" s="28" t="s">
        <v>937</v>
      </c>
      <c r="D161" s="29">
        <v>3</v>
      </c>
      <c r="E161" s="30"/>
      <c r="F161" s="31"/>
      <c r="G161" s="31"/>
      <c r="H161" s="27" t="s">
        <v>427</v>
      </c>
      <c r="I161" s="32"/>
      <c r="J161" s="33"/>
      <c r="K161" s="34"/>
      <c r="L161" s="34"/>
      <c r="M161" s="34"/>
      <c r="N161" s="31"/>
      <c r="O161" s="31"/>
      <c r="P161" s="31"/>
      <c r="Q161" s="31"/>
      <c r="R161" s="31"/>
      <c r="S161" s="31"/>
      <c r="T161" s="31"/>
      <c r="U161" s="42"/>
      <c r="V161" s="43"/>
      <c r="W161" s="37"/>
      <c r="X161" s="38" t="s">
        <v>921</v>
      </c>
      <c r="Y161" s="45">
        <v>680487135367</v>
      </c>
      <c r="Z161" s="31"/>
      <c r="AA161" s="31"/>
      <c r="AB161" s="31"/>
      <c r="AC161" s="31"/>
      <c r="AD161" s="31"/>
      <c r="AE161" s="31"/>
      <c r="AF161" s="31"/>
      <c r="AG161" s="31"/>
      <c r="AH161" s="31"/>
      <c r="AI161" s="31"/>
      <c r="AJ161" s="31"/>
      <c r="AK161" s="31"/>
      <c r="AL161" s="31"/>
      <c r="AM161" s="31"/>
      <c r="AN161" s="31"/>
      <c r="AO161" s="31"/>
      <c r="AP161" s="31"/>
      <c r="AQ161" s="31"/>
      <c r="AR161" s="31"/>
      <c r="AS161" s="31"/>
    </row>
    <row r="162" spans="1:45" s="40" customFormat="1">
      <c r="A162" s="26" t="s">
        <v>919</v>
      </c>
      <c r="B162" s="27">
        <v>68542818</v>
      </c>
      <c r="C162" s="28" t="s">
        <v>937</v>
      </c>
      <c r="D162" s="29">
        <v>25</v>
      </c>
      <c r="E162" s="30"/>
      <c r="F162" s="31"/>
      <c r="G162" s="31"/>
      <c r="H162" s="27" t="s">
        <v>397</v>
      </c>
      <c r="I162" s="32"/>
      <c r="J162" s="33"/>
      <c r="K162" s="34"/>
      <c r="L162" s="34"/>
      <c r="M162" s="34"/>
      <c r="N162" s="31"/>
      <c r="O162" s="31"/>
      <c r="P162" s="31"/>
      <c r="Q162" s="31"/>
      <c r="R162" s="31"/>
      <c r="S162" s="31"/>
      <c r="T162" s="31"/>
      <c r="U162" s="42"/>
      <c r="V162" s="43"/>
      <c r="W162" s="37"/>
      <c r="X162" s="38" t="s">
        <v>921</v>
      </c>
      <c r="Y162" s="45">
        <v>680487135374</v>
      </c>
      <c r="Z162" s="31"/>
      <c r="AA162" s="31"/>
      <c r="AB162" s="31"/>
      <c r="AC162" s="31"/>
      <c r="AD162" s="31"/>
      <c r="AE162" s="31"/>
      <c r="AF162" s="31"/>
      <c r="AG162" s="31"/>
      <c r="AH162" s="31"/>
      <c r="AI162" s="31"/>
      <c r="AJ162" s="31"/>
      <c r="AK162" s="31"/>
      <c r="AL162" s="31"/>
      <c r="AM162" s="31"/>
      <c r="AN162" s="31"/>
      <c r="AO162" s="31"/>
      <c r="AP162" s="31"/>
      <c r="AQ162" s="31"/>
      <c r="AR162" s="31"/>
      <c r="AS162" s="31"/>
    </row>
    <row r="163" spans="1:45" s="40" customFormat="1">
      <c r="A163" s="26" t="s">
        <v>919</v>
      </c>
      <c r="B163" s="27">
        <v>68542825</v>
      </c>
      <c r="C163" s="28" t="s">
        <v>937</v>
      </c>
      <c r="D163" s="29">
        <v>20</v>
      </c>
      <c r="E163" s="30"/>
      <c r="F163" s="31"/>
      <c r="G163" s="31"/>
      <c r="H163" s="27" t="s">
        <v>428</v>
      </c>
      <c r="I163" s="32"/>
      <c r="J163" s="33"/>
      <c r="K163" s="34"/>
      <c r="L163" s="34"/>
      <c r="M163" s="34"/>
      <c r="N163" s="31"/>
      <c r="O163" s="31"/>
      <c r="P163" s="31"/>
      <c r="Q163" s="31"/>
      <c r="R163" s="31"/>
      <c r="S163" s="31"/>
      <c r="T163" s="31"/>
      <c r="U163" s="42"/>
      <c r="V163" s="43"/>
      <c r="W163" s="37"/>
      <c r="X163" s="38" t="s">
        <v>921</v>
      </c>
      <c r="Y163" s="45">
        <v>680487135381</v>
      </c>
      <c r="Z163" s="31"/>
      <c r="AA163" s="31"/>
      <c r="AB163" s="31"/>
      <c r="AC163" s="31"/>
      <c r="AD163" s="31"/>
      <c r="AE163" s="31"/>
      <c r="AF163" s="31"/>
      <c r="AG163" s="31"/>
      <c r="AH163" s="31"/>
      <c r="AI163" s="31"/>
      <c r="AJ163" s="31"/>
      <c r="AK163" s="31"/>
      <c r="AL163" s="31"/>
      <c r="AM163" s="31"/>
      <c r="AN163" s="31"/>
      <c r="AO163" s="31"/>
      <c r="AP163" s="31"/>
      <c r="AQ163" s="31"/>
      <c r="AR163" s="31"/>
      <c r="AS163" s="31"/>
    </row>
    <row r="164" spans="1:45" s="40" customFormat="1">
      <c r="A164" s="26" t="s">
        <v>919</v>
      </c>
      <c r="B164" s="27">
        <v>68542832</v>
      </c>
      <c r="C164" s="28" t="s">
        <v>937</v>
      </c>
      <c r="D164" s="29">
        <v>2</v>
      </c>
      <c r="E164" s="30"/>
      <c r="F164" s="31"/>
      <c r="G164" s="31"/>
      <c r="H164" s="27" t="s">
        <v>398</v>
      </c>
      <c r="I164" s="32"/>
      <c r="J164" s="33"/>
      <c r="K164" s="34"/>
      <c r="L164" s="34"/>
      <c r="M164" s="34"/>
      <c r="N164" s="31"/>
      <c r="O164" s="31"/>
      <c r="P164" s="31"/>
      <c r="Q164" s="31"/>
      <c r="R164" s="31"/>
      <c r="S164" s="31"/>
      <c r="T164" s="31"/>
      <c r="U164" s="42"/>
      <c r="V164" s="43"/>
      <c r="W164" s="37"/>
      <c r="X164" s="38" t="s">
        <v>921</v>
      </c>
      <c r="Y164" s="45">
        <v>680487135398</v>
      </c>
      <c r="Z164" s="31"/>
      <c r="AA164" s="31"/>
      <c r="AB164" s="31"/>
      <c r="AC164" s="31"/>
      <c r="AD164" s="31"/>
      <c r="AE164" s="31"/>
      <c r="AF164" s="31"/>
      <c r="AG164" s="31"/>
      <c r="AH164" s="31"/>
      <c r="AI164" s="31"/>
      <c r="AJ164" s="31"/>
      <c r="AK164" s="31"/>
      <c r="AL164" s="31"/>
      <c r="AM164" s="31"/>
      <c r="AN164" s="31"/>
      <c r="AO164" s="31"/>
      <c r="AP164" s="31"/>
      <c r="AQ164" s="31"/>
      <c r="AR164" s="31"/>
      <c r="AS164" s="31"/>
    </row>
    <row r="165" spans="1:45" s="40" customFormat="1">
      <c r="A165" s="26" t="s">
        <v>919</v>
      </c>
      <c r="B165" s="27">
        <v>68542849</v>
      </c>
      <c r="C165" s="28" t="s">
        <v>937</v>
      </c>
      <c r="D165" s="29">
        <v>2</v>
      </c>
      <c r="E165" s="30"/>
      <c r="F165" s="31"/>
      <c r="G165" s="31"/>
      <c r="H165" s="27" t="s">
        <v>429</v>
      </c>
      <c r="I165" s="32"/>
      <c r="J165" s="33"/>
      <c r="K165" s="34"/>
      <c r="L165" s="34"/>
      <c r="M165" s="34"/>
      <c r="N165" s="31"/>
      <c r="O165" s="31"/>
      <c r="P165" s="31"/>
      <c r="Q165" s="31"/>
      <c r="R165" s="31"/>
      <c r="S165" s="31"/>
      <c r="T165" s="31"/>
      <c r="U165" s="42"/>
      <c r="V165" s="43"/>
      <c r="W165" s="37"/>
      <c r="X165" s="38" t="s">
        <v>921</v>
      </c>
      <c r="Y165" s="45">
        <v>680487135404</v>
      </c>
      <c r="Z165" s="31"/>
      <c r="AA165" s="31"/>
      <c r="AB165" s="31"/>
      <c r="AC165" s="31"/>
      <c r="AD165" s="31"/>
      <c r="AE165" s="31"/>
      <c r="AF165" s="31"/>
      <c r="AG165" s="31"/>
      <c r="AH165" s="31"/>
      <c r="AI165" s="31"/>
      <c r="AJ165" s="31"/>
      <c r="AK165" s="31"/>
      <c r="AL165" s="31"/>
      <c r="AM165" s="31"/>
      <c r="AN165" s="31"/>
      <c r="AO165" s="31"/>
      <c r="AP165" s="31"/>
      <c r="AQ165" s="31"/>
      <c r="AR165" s="31"/>
      <c r="AS165" s="31"/>
    </row>
    <row r="166" spans="1:45" s="40" customFormat="1">
      <c r="A166" s="26" t="s">
        <v>919</v>
      </c>
      <c r="B166" s="27">
        <v>68542856</v>
      </c>
      <c r="C166" s="28" t="s">
        <v>937</v>
      </c>
      <c r="D166" s="29">
        <v>23</v>
      </c>
      <c r="E166" s="30"/>
      <c r="F166" s="31"/>
      <c r="G166" s="31"/>
      <c r="H166" s="27" t="s">
        <v>399</v>
      </c>
      <c r="I166" s="32"/>
      <c r="J166" s="33"/>
      <c r="K166" s="34"/>
      <c r="L166" s="34"/>
      <c r="M166" s="34"/>
      <c r="N166" s="31"/>
      <c r="O166" s="31"/>
      <c r="P166" s="31"/>
      <c r="Q166" s="31"/>
      <c r="R166" s="31"/>
      <c r="S166" s="31"/>
      <c r="T166" s="31"/>
      <c r="U166" s="42"/>
      <c r="V166" s="43"/>
      <c r="W166" s="37"/>
      <c r="X166" s="38" t="s">
        <v>921</v>
      </c>
      <c r="Y166" s="45">
        <v>680487135411</v>
      </c>
      <c r="Z166" s="31"/>
      <c r="AA166" s="31"/>
      <c r="AB166" s="31"/>
      <c r="AC166" s="31"/>
      <c r="AD166" s="31"/>
      <c r="AE166" s="31"/>
      <c r="AF166" s="31"/>
      <c r="AG166" s="31"/>
      <c r="AH166" s="31"/>
      <c r="AI166" s="31"/>
      <c r="AJ166" s="31"/>
      <c r="AK166" s="31"/>
      <c r="AL166" s="31"/>
      <c r="AM166" s="31"/>
      <c r="AN166" s="31"/>
      <c r="AO166" s="31"/>
      <c r="AP166" s="31"/>
      <c r="AQ166" s="31"/>
      <c r="AR166" s="31"/>
      <c r="AS166" s="31"/>
    </row>
    <row r="167" spans="1:45" s="40" customFormat="1">
      <c r="A167" s="26" t="s">
        <v>919</v>
      </c>
      <c r="B167" s="27">
        <v>68542863</v>
      </c>
      <c r="C167" s="28" t="s">
        <v>937</v>
      </c>
      <c r="D167" s="29">
        <v>38</v>
      </c>
      <c r="E167" s="30"/>
      <c r="F167" s="31"/>
      <c r="G167" s="31"/>
      <c r="H167" s="27" t="s">
        <v>430</v>
      </c>
      <c r="I167" s="32"/>
      <c r="J167" s="33"/>
      <c r="K167" s="34"/>
      <c r="L167" s="34"/>
      <c r="M167" s="34"/>
      <c r="N167" s="31"/>
      <c r="O167" s="31"/>
      <c r="P167" s="31"/>
      <c r="Q167" s="31"/>
      <c r="R167" s="31"/>
      <c r="S167" s="31"/>
      <c r="T167" s="31"/>
      <c r="U167" s="42"/>
      <c r="V167" s="43"/>
      <c r="W167" s="37"/>
      <c r="X167" s="38" t="s">
        <v>921</v>
      </c>
      <c r="Y167" s="45">
        <v>680487135428</v>
      </c>
      <c r="Z167" s="31"/>
      <c r="AA167" s="31"/>
      <c r="AB167" s="31"/>
      <c r="AC167" s="31"/>
      <c r="AD167" s="31"/>
      <c r="AE167" s="31"/>
      <c r="AF167" s="31"/>
      <c r="AG167" s="31"/>
      <c r="AH167" s="31"/>
      <c r="AI167" s="31"/>
      <c r="AJ167" s="31"/>
      <c r="AK167" s="31"/>
      <c r="AL167" s="31"/>
      <c r="AM167" s="31"/>
      <c r="AN167" s="31"/>
      <c r="AO167" s="31"/>
      <c r="AP167" s="31"/>
      <c r="AQ167" s="31"/>
      <c r="AR167" s="31"/>
      <c r="AS167" s="31"/>
    </row>
    <row r="168" spans="1:45" s="40" customFormat="1">
      <c r="A168" s="26" t="s">
        <v>919</v>
      </c>
      <c r="B168" s="27">
        <v>68542870</v>
      </c>
      <c r="C168" s="28" t="s">
        <v>937</v>
      </c>
      <c r="D168" s="29">
        <v>3</v>
      </c>
      <c r="E168" s="30"/>
      <c r="F168" s="31"/>
      <c r="G168" s="31"/>
      <c r="H168" s="27" t="s">
        <v>400</v>
      </c>
      <c r="I168" s="32"/>
      <c r="J168" s="33"/>
      <c r="K168" s="34"/>
      <c r="L168" s="34"/>
      <c r="M168" s="34"/>
      <c r="N168" s="31"/>
      <c r="O168" s="31"/>
      <c r="P168" s="31"/>
      <c r="Q168" s="31"/>
      <c r="R168" s="31"/>
      <c r="S168" s="31"/>
      <c r="T168" s="31"/>
      <c r="U168" s="42"/>
      <c r="V168" s="43"/>
      <c r="W168" s="37"/>
      <c r="X168" s="38" t="s">
        <v>921</v>
      </c>
      <c r="Y168" s="45">
        <v>680487058833</v>
      </c>
      <c r="Z168" s="31"/>
      <c r="AA168" s="31"/>
      <c r="AB168" s="31"/>
      <c r="AC168" s="31"/>
      <c r="AD168" s="31"/>
      <c r="AE168" s="31"/>
      <c r="AF168" s="31"/>
      <c r="AG168" s="31"/>
      <c r="AH168" s="31"/>
      <c r="AI168" s="31"/>
      <c r="AJ168" s="31"/>
      <c r="AK168" s="31"/>
      <c r="AL168" s="31"/>
      <c r="AM168" s="31"/>
      <c r="AN168" s="31"/>
      <c r="AO168" s="31"/>
      <c r="AP168" s="31"/>
      <c r="AQ168" s="31"/>
      <c r="AR168" s="31"/>
      <c r="AS168" s="31"/>
    </row>
    <row r="169" spans="1:45" s="40" customFormat="1">
      <c r="A169" s="26" t="s">
        <v>919</v>
      </c>
      <c r="B169" s="27">
        <v>68542887</v>
      </c>
      <c r="C169" s="28" t="s">
        <v>937</v>
      </c>
      <c r="D169" s="29">
        <v>1</v>
      </c>
      <c r="E169" s="30"/>
      <c r="F169" s="31"/>
      <c r="G169" s="31"/>
      <c r="H169" s="27" t="s">
        <v>431</v>
      </c>
      <c r="I169" s="32"/>
      <c r="J169" s="33"/>
      <c r="K169" s="34"/>
      <c r="L169" s="34"/>
      <c r="M169" s="34"/>
      <c r="N169" s="31"/>
      <c r="O169" s="31"/>
      <c r="P169" s="31"/>
      <c r="Q169" s="31"/>
      <c r="R169" s="31"/>
      <c r="S169" s="31"/>
      <c r="T169" s="31"/>
      <c r="U169" s="42"/>
      <c r="V169" s="43"/>
      <c r="W169" s="37"/>
      <c r="X169" s="38" t="s">
        <v>921</v>
      </c>
      <c r="Y169" s="45">
        <v>680487058840</v>
      </c>
      <c r="Z169" s="31"/>
      <c r="AA169" s="31"/>
      <c r="AB169" s="31"/>
      <c r="AC169" s="31"/>
      <c r="AD169" s="31"/>
      <c r="AE169" s="31"/>
      <c r="AF169" s="31"/>
      <c r="AG169" s="31"/>
      <c r="AH169" s="31"/>
      <c r="AI169" s="31"/>
      <c r="AJ169" s="31"/>
      <c r="AK169" s="31"/>
      <c r="AL169" s="31"/>
      <c r="AM169" s="31"/>
      <c r="AN169" s="31"/>
      <c r="AO169" s="31"/>
      <c r="AP169" s="31"/>
      <c r="AQ169" s="31"/>
      <c r="AR169" s="31"/>
      <c r="AS169" s="31"/>
    </row>
    <row r="170" spans="1:45" s="40" customFormat="1">
      <c r="A170" s="26" t="s">
        <v>919</v>
      </c>
      <c r="B170" s="27">
        <v>68542894</v>
      </c>
      <c r="C170" s="28" t="s">
        <v>937</v>
      </c>
      <c r="D170" s="29">
        <v>56</v>
      </c>
      <c r="E170" s="30"/>
      <c r="F170" s="31"/>
      <c r="G170" s="31"/>
      <c r="H170" s="27" t="s">
        <v>402</v>
      </c>
      <c r="I170" s="32"/>
      <c r="J170" s="33"/>
      <c r="K170" s="34"/>
      <c r="L170" s="34"/>
      <c r="M170" s="34"/>
      <c r="N170" s="31"/>
      <c r="O170" s="31"/>
      <c r="P170" s="31"/>
      <c r="Q170" s="31"/>
      <c r="R170" s="31"/>
      <c r="S170" s="31"/>
      <c r="T170" s="31"/>
      <c r="U170" s="42"/>
      <c r="V170" s="43"/>
      <c r="W170" s="37"/>
      <c r="X170" s="38" t="s">
        <v>921</v>
      </c>
      <c r="Y170" s="45">
        <v>680487058857</v>
      </c>
      <c r="Z170" s="31"/>
      <c r="AA170" s="31"/>
      <c r="AB170" s="31"/>
      <c r="AC170" s="31"/>
      <c r="AD170" s="31"/>
      <c r="AE170" s="31"/>
      <c r="AF170" s="31"/>
      <c r="AG170" s="31"/>
      <c r="AH170" s="31"/>
      <c r="AI170" s="31"/>
      <c r="AJ170" s="31"/>
      <c r="AK170" s="31"/>
      <c r="AL170" s="31"/>
      <c r="AM170" s="31"/>
      <c r="AN170" s="31"/>
      <c r="AO170" s="31"/>
      <c r="AP170" s="31"/>
      <c r="AQ170" s="31"/>
      <c r="AR170" s="31"/>
      <c r="AS170" s="31"/>
    </row>
    <row r="171" spans="1:45" s="40" customFormat="1">
      <c r="A171" s="26" t="s">
        <v>919</v>
      </c>
      <c r="B171" s="27">
        <v>68542900</v>
      </c>
      <c r="C171" s="28" t="s">
        <v>937</v>
      </c>
      <c r="D171" s="29">
        <v>24</v>
      </c>
      <c r="E171" s="30"/>
      <c r="F171" s="31"/>
      <c r="G171" s="31"/>
      <c r="H171" s="27" t="s">
        <v>433</v>
      </c>
      <c r="I171" s="32"/>
      <c r="J171" s="33"/>
      <c r="K171" s="34"/>
      <c r="L171" s="34"/>
      <c r="M171" s="34"/>
      <c r="N171" s="31"/>
      <c r="O171" s="31"/>
      <c r="P171" s="31"/>
      <c r="Q171" s="31"/>
      <c r="R171" s="31"/>
      <c r="S171" s="31"/>
      <c r="T171" s="31"/>
      <c r="U171" s="42"/>
      <c r="V171" s="43"/>
      <c r="W171" s="37"/>
      <c r="X171" s="38" t="s">
        <v>921</v>
      </c>
      <c r="Y171" s="45">
        <v>680487135466</v>
      </c>
      <c r="Z171" s="31"/>
      <c r="AA171" s="31"/>
      <c r="AB171" s="31"/>
      <c r="AC171" s="31"/>
      <c r="AD171" s="31"/>
      <c r="AE171" s="31"/>
      <c r="AF171" s="31"/>
      <c r="AG171" s="31"/>
      <c r="AH171" s="31"/>
      <c r="AI171" s="31"/>
      <c r="AJ171" s="31"/>
      <c r="AK171" s="31"/>
      <c r="AL171" s="31"/>
      <c r="AM171" s="31"/>
      <c r="AN171" s="31"/>
      <c r="AO171" s="31"/>
      <c r="AP171" s="31"/>
      <c r="AQ171" s="31"/>
      <c r="AR171" s="31"/>
      <c r="AS171" s="31"/>
    </row>
    <row r="172" spans="1:45" s="40" customFormat="1">
      <c r="A172" s="26" t="s">
        <v>919</v>
      </c>
      <c r="B172" s="27">
        <v>68542917</v>
      </c>
      <c r="C172" s="28" t="s">
        <v>937</v>
      </c>
      <c r="D172" s="29">
        <v>1</v>
      </c>
      <c r="E172" s="30"/>
      <c r="F172" s="31"/>
      <c r="G172" s="31"/>
      <c r="H172" s="27" t="s">
        <v>403</v>
      </c>
      <c r="I172" s="32"/>
      <c r="J172" s="33"/>
      <c r="K172" s="34"/>
      <c r="L172" s="34"/>
      <c r="M172" s="34"/>
      <c r="N172" s="31"/>
      <c r="O172" s="31"/>
      <c r="P172" s="31"/>
      <c r="Q172" s="31"/>
      <c r="R172" s="31"/>
      <c r="S172" s="31"/>
      <c r="T172" s="31"/>
      <c r="U172" s="42"/>
      <c r="V172" s="43"/>
      <c r="W172" s="37"/>
      <c r="X172" s="38" t="s">
        <v>921</v>
      </c>
      <c r="Y172" s="45">
        <v>680487058871</v>
      </c>
      <c r="Z172" s="31"/>
      <c r="AA172" s="31"/>
      <c r="AB172" s="31"/>
      <c r="AC172" s="31"/>
      <c r="AD172" s="31"/>
      <c r="AE172" s="31"/>
      <c r="AF172" s="31"/>
      <c r="AG172" s="31"/>
      <c r="AH172" s="31"/>
      <c r="AI172" s="31"/>
      <c r="AJ172" s="31"/>
      <c r="AK172" s="31"/>
      <c r="AL172" s="31"/>
      <c r="AM172" s="31"/>
      <c r="AN172" s="31"/>
      <c r="AO172" s="31"/>
      <c r="AP172" s="31"/>
      <c r="AQ172" s="31"/>
      <c r="AR172" s="31"/>
      <c r="AS172" s="31"/>
    </row>
    <row r="173" spans="1:45" s="40" customFormat="1">
      <c r="A173" s="26" t="s">
        <v>919</v>
      </c>
      <c r="B173" s="27">
        <v>68542924</v>
      </c>
      <c r="C173" s="28" t="s">
        <v>937</v>
      </c>
      <c r="D173" s="29">
        <v>1</v>
      </c>
      <c r="E173" s="30"/>
      <c r="F173" s="31"/>
      <c r="G173" s="31"/>
      <c r="H173" s="27" t="s">
        <v>675</v>
      </c>
      <c r="I173" s="32"/>
      <c r="J173" s="33"/>
      <c r="K173" s="34"/>
      <c r="L173" s="34"/>
      <c r="M173" s="34"/>
      <c r="N173" s="31"/>
      <c r="O173" s="31"/>
      <c r="P173" s="31"/>
      <c r="Q173" s="31"/>
      <c r="R173" s="31"/>
      <c r="S173" s="31"/>
      <c r="T173" s="31"/>
      <c r="U173" s="42"/>
      <c r="V173" s="43"/>
      <c r="W173" s="37"/>
      <c r="X173" s="38" t="s">
        <v>921</v>
      </c>
      <c r="Y173" s="45">
        <v>680487058888</v>
      </c>
      <c r="Z173" s="31"/>
      <c r="AA173" s="31"/>
      <c r="AB173" s="31"/>
      <c r="AC173" s="31"/>
      <c r="AD173" s="31"/>
      <c r="AE173" s="31"/>
      <c r="AF173" s="31"/>
      <c r="AG173" s="31"/>
      <c r="AH173" s="31"/>
      <c r="AI173" s="31"/>
      <c r="AJ173" s="31"/>
      <c r="AK173" s="31"/>
      <c r="AL173" s="31"/>
      <c r="AM173" s="31"/>
      <c r="AN173" s="31"/>
      <c r="AO173" s="31"/>
      <c r="AP173" s="31"/>
      <c r="AQ173" s="31"/>
      <c r="AR173" s="31"/>
      <c r="AS173" s="31"/>
    </row>
    <row r="174" spans="1:45" s="40" customFormat="1">
      <c r="A174" s="26" t="s">
        <v>919</v>
      </c>
      <c r="B174" s="27">
        <v>68542931</v>
      </c>
      <c r="C174" s="28" t="s">
        <v>937</v>
      </c>
      <c r="D174" s="29">
        <v>5</v>
      </c>
      <c r="E174" s="30"/>
      <c r="F174" s="31"/>
      <c r="G174" s="31"/>
      <c r="H174" s="27" t="s">
        <v>404</v>
      </c>
      <c r="I174" s="32"/>
      <c r="J174" s="33"/>
      <c r="K174" s="34"/>
      <c r="L174" s="34"/>
      <c r="M174" s="34"/>
      <c r="N174" s="31"/>
      <c r="O174" s="31"/>
      <c r="P174" s="31"/>
      <c r="Q174" s="31"/>
      <c r="R174" s="31"/>
      <c r="S174" s="31"/>
      <c r="T174" s="31"/>
      <c r="U174" s="42"/>
      <c r="V174" s="43"/>
      <c r="W174" s="37"/>
      <c r="X174" s="38" t="s">
        <v>921</v>
      </c>
      <c r="Y174" s="45">
        <v>680487058895</v>
      </c>
      <c r="Z174" s="31"/>
      <c r="AA174" s="31"/>
      <c r="AB174" s="31"/>
      <c r="AC174" s="31"/>
      <c r="AD174" s="31"/>
      <c r="AE174" s="31"/>
      <c r="AF174" s="31"/>
      <c r="AG174" s="31"/>
      <c r="AH174" s="31"/>
      <c r="AI174" s="31"/>
      <c r="AJ174" s="31"/>
      <c r="AK174" s="31"/>
      <c r="AL174" s="31"/>
      <c r="AM174" s="31"/>
      <c r="AN174" s="31"/>
      <c r="AO174" s="31"/>
      <c r="AP174" s="31"/>
      <c r="AQ174" s="31"/>
      <c r="AR174" s="31"/>
      <c r="AS174" s="31"/>
    </row>
    <row r="175" spans="1:45" s="40" customFormat="1">
      <c r="A175" s="26" t="s">
        <v>919</v>
      </c>
      <c r="B175" s="27">
        <v>68542948</v>
      </c>
      <c r="C175" s="28" t="s">
        <v>937</v>
      </c>
      <c r="D175" s="29">
        <v>6</v>
      </c>
      <c r="E175" s="30"/>
      <c r="F175" s="31"/>
      <c r="G175" s="31"/>
      <c r="H175" s="27" t="s">
        <v>434</v>
      </c>
      <c r="I175" s="32"/>
      <c r="J175" s="33"/>
      <c r="K175" s="34"/>
      <c r="L175" s="34"/>
      <c r="M175" s="34"/>
      <c r="N175" s="31"/>
      <c r="O175" s="31"/>
      <c r="P175" s="31"/>
      <c r="Q175" s="31"/>
      <c r="R175" s="31"/>
      <c r="S175" s="31"/>
      <c r="T175" s="31"/>
      <c r="U175" s="42"/>
      <c r="V175" s="43"/>
      <c r="W175" s="37"/>
      <c r="X175" s="38" t="s">
        <v>921</v>
      </c>
      <c r="Y175" s="45">
        <v>680487058901</v>
      </c>
      <c r="Z175" s="31"/>
      <c r="AA175" s="31"/>
      <c r="AB175" s="31"/>
      <c r="AC175" s="31"/>
      <c r="AD175" s="31"/>
      <c r="AE175" s="31"/>
      <c r="AF175" s="31"/>
      <c r="AG175" s="31"/>
      <c r="AH175" s="31"/>
      <c r="AI175" s="31"/>
      <c r="AJ175" s="31"/>
      <c r="AK175" s="31"/>
      <c r="AL175" s="31"/>
      <c r="AM175" s="31"/>
      <c r="AN175" s="31"/>
      <c r="AO175" s="31"/>
      <c r="AP175" s="31"/>
      <c r="AQ175" s="31"/>
      <c r="AR175" s="31"/>
      <c r="AS175" s="31"/>
    </row>
    <row r="176" spans="1:45" s="40" customFormat="1">
      <c r="A176" s="26" t="s">
        <v>919</v>
      </c>
      <c r="B176" s="27">
        <v>68542955</v>
      </c>
      <c r="C176" s="28" t="s">
        <v>937</v>
      </c>
      <c r="D176" s="29">
        <v>21</v>
      </c>
      <c r="E176" s="30"/>
      <c r="F176" s="31"/>
      <c r="G176" s="31"/>
      <c r="H176" s="27" t="s">
        <v>405</v>
      </c>
      <c r="I176" s="32"/>
      <c r="J176" s="33"/>
      <c r="K176" s="34"/>
      <c r="L176" s="34"/>
      <c r="M176" s="34"/>
      <c r="N176" s="31"/>
      <c r="O176" s="31"/>
      <c r="P176" s="31"/>
      <c r="Q176" s="31"/>
      <c r="R176" s="31"/>
      <c r="S176" s="31"/>
      <c r="T176" s="31"/>
      <c r="U176" s="42"/>
      <c r="V176" s="43"/>
      <c r="W176" s="37"/>
      <c r="X176" s="38" t="s">
        <v>921</v>
      </c>
      <c r="Y176" s="45">
        <v>680487058918</v>
      </c>
      <c r="Z176" s="31"/>
      <c r="AA176" s="31"/>
      <c r="AB176" s="31"/>
      <c r="AC176" s="31"/>
      <c r="AD176" s="31"/>
      <c r="AE176" s="31"/>
      <c r="AF176" s="31"/>
      <c r="AG176" s="31"/>
      <c r="AH176" s="31"/>
      <c r="AI176" s="31"/>
      <c r="AJ176" s="31"/>
      <c r="AK176" s="31"/>
      <c r="AL176" s="31"/>
      <c r="AM176" s="31"/>
      <c r="AN176" s="31"/>
      <c r="AO176" s="31"/>
      <c r="AP176" s="31"/>
      <c r="AQ176" s="31"/>
      <c r="AR176" s="31"/>
      <c r="AS176" s="31"/>
    </row>
    <row r="177" spans="1:45" s="40" customFormat="1">
      <c r="A177" s="26" t="s">
        <v>919</v>
      </c>
      <c r="B177" s="27">
        <v>68542962</v>
      </c>
      <c r="C177" s="28" t="s">
        <v>937</v>
      </c>
      <c r="D177" s="29">
        <v>24</v>
      </c>
      <c r="E177" s="30"/>
      <c r="F177" s="31"/>
      <c r="G177" s="31"/>
      <c r="H177" s="27" t="s">
        <v>435</v>
      </c>
      <c r="I177" s="32"/>
      <c r="J177" s="33"/>
      <c r="K177" s="34"/>
      <c r="L177" s="34"/>
      <c r="M177" s="34"/>
      <c r="N177" s="31"/>
      <c r="O177" s="31"/>
      <c r="P177" s="31"/>
      <c r="Q177" s="31"/>
      <c r="R177" s="31"/>
      <c r="S177" s="31"/>
      <c r="T177" s="31"/>
      <c r="U177" s="42"/>
      <c r="V177" s="43"/>
      <c r="W177" s="37"/>
      <c r="X177" s="38" t="s">
        <v>921</v>
      </c>
      <c r="Y177" s="45">
        <v>680487058925</v>
      </c>
      <c r="Z177" s="31"/>
      <c r="AA177" s="31"/>
      <c r="AB177" s="31"/>
      <c r="AC177" s="31"/>
      <c r="AD177" s="31"/>
      <c r="AE177" s="31"/>
      <c r="AF177" s="31"/>
      <c r="AG177" s="31"/>
      <c r="AH177" s="31"/>
      <c r="AI177" s="31"/>
      <c r="AJ177" s="31"/>
      <c r="AK177" s="31"/>
      <c r="AL177" s="31"/>
      <c r="AM177" s="31"/>
      <c r="AN177" s="31"/>
      <c r="AO177" s="31"/>
      <c r="AP177" s="31"/>
      <c r="AQ177" s="31"/>
      <c r="AR177" s="31"/>
      <c r="AS177" s="31"/>
    </row>
    <row r="178" spans="1:45" s="40" customFormat="1">
      <c r="A178" s="26" t="s">
        <v>919</v>
      </c>
      <c r="B178" s="27">
        <v>68542979</v>
      </c>
      <c r="C178" s="28" t="s">
        <v>937</v>
      </c>
      <c r="D178" s="29">
        <v>2</v>
      </c>
      <c r="E178" s="30"/>
      <c r="F178" s="31"/>
      <c r="G178" s="31"/>
      <c r="H178" s="27" t="s">
        <v>406</v>
      </c>
      <c r="I178" s="32"/>
      <c r="J178" s="33"/>
      <c r="K178" s="34"/>
      <c r="L178" s="34"/>
      <c r="M178" s="34"/>
      <c r="N178" s="31"/>
      <c r="O178" s="31"/>
      <c r="P178" s="31"/>
      <c r="Q178" s="31"/>
      <c r="R178" s="31"/>
      <c r="S178" s="31"/>
      <c r="T178" s="31"/>
      <c r="U178" s="42"/>
      <c r="V178" s="43"/>
      <c r="W178" s="37"/>
      <c r="X178" s="38" t="s">
        <v>921</v>
      </c>
      <c r="Y178" s="45">
        <v>680487058932</v>
      </c>
      <c r="Z178" s="31"/>
      <c r="AA178" s="31"/>
      <c r="AB178" s="31"/>
      <c r="AC178" s="31"/>
      <c r="AD178" s="31"/>
      <c r="AE178" s="31"/>
      <c r="AF178" s="31"/>
      <c r="AG178" s="31"/>
      <c r="AH178" s="31"/>
      <c r="AI178" s="31"/>
      <c r="AJ178" s="31"/>
      <c r="AK178" s="31"/>
      <c r="AL178" s="31"/>
      <c r="AM178" s="31"/>
      <c r="AN178" s="31"/>
      <c r="AO178" s="31"/>
      <c r="AP178" s="31"/>
      <c r="AQ178" s="31"/>
      <c r="AR178" s="31"/>
      <c r="AS178" s="31"/>
    </row>
    <row r="179" spans="1:45" s="40" customFormat="1">
      <c r="A179" s="26" t="s">
        <v>919</v>
      </c>
      <c r="B179" s="27">
        <v>68542986</v>
      </c>
      <c r="C179" s="28" t="s">
        <v>937</v>
      </c>
      <c r="D179" s="29">
        <v>2</v>
      </c>
      <c r="E179" s="30"/>
      <c r="F179" s="31"/>
      <c r="G179" s="31"/>
      <c r="H179" s="27" t="s">
        <v>436</v>
      </c>
      <c r="I179" s="32"/>
      <c r="J179" s="33"/>
      <c r="K179" s="34"/>
      <c r="L179" s="34"/>
      <c r="M179" s="34"/>
      <c r="N179" s="31"/>
      <c r="O179" s="31"/>
      <c r="P179" s="31"/>
      <c r="Q179" s="31"/>
      <c r="R179" s="31"/>
      <c r="S179" s="31"/>
      <c r="T179" s="31"/>
      <c r="U179" s="42"/>
      <c r="V179" s="43"/>
      <c r="W179" s="37"/>
      <c r="X179" s="38" t="s">
        <v>921</v>
      </c>
      <c r="Y179" s="45">
        <v>680487058949</v>
      </c>
      <c r="Z179" s="31"/>
      <c r="AA179" s="31"/>
      <c r="AB179" s="31"/>
      <c r="AC179" s="31"/>
      <c r="AD179" s="31"/>
      <c r="AE179" s="31"/>
      <c r="AF179" s="31"/>
      <c r="AG179" s="31"/>
      <c r="AH179" s="31"/>
      <c r="AI179" s="31"/>
      <c r="AJ179" s="31"/>
      <c r="AK179" s="31"/>
      <c r="AL179" s="31"/>
      <c r="AM179" s="31"/>
      <c r="AN179" s="31"/>
      <c r="AO179" s="31"/>
      <c r="AP179" s="31"/>
      <c r="AQ179" s="31"/>
      <c r="AR179" s="31"/>
      <c r="AS179" s="31"/>
    </row>
    <row r="180" spans="1:45" s="40" customFormat="1">
      <c r="A180" s="26" t="s">
        <v>919</v>
      </c>
      <c r="B180" s="27">
        <v>68542993</v>
      </c>
      <c r="C180" s="28" t="s">
        <v>937</v>
      </c>
      <c r="D180" s="29">
        <v>29</v>
      </c>
      <c r="E180" s="30"/>
      <c r="F180" s="31"/>
      <c r="G180" s="31"/>
      <c r="H180" s="27" t="s">
        <v>407</v>
      </c>
      <c r="I180" s="32"/>
      <c r="J180" s="33"/>
      <c r="K180" s="34"/>
      <c r="L180" s="34"/>
      <c r="M180" s="34"/>
      <c r="N180" s="31"/>
      <c r="O180" s="31"/>
      <c r="P180" s="31"/>
      <c r="Q180" s="31"/>
      <c r="R180" s="31"/>
      <c r="S180" s="31"/>
      <c r="T180" s="31"/>
      <c r="U180" s="42"/>
      <c r="V180" s="43"/>
      <c r="W180" s="37"/>
      <c r="X180" s="38" t="s">
        <v>921</v>
      </c>
      <c r="Y180" s="45">
        <v>680487058956</v>
      </c>
      <c r="Z180" s="31"/>
      <c r="AA180" s="31"/>
      <c r="AB180" s="31"/>
      <c r="AC180" s="31"/>
      <c r="AD180" s="31"/>
      <c r="AE180" s="31"/>
      <c r="AF180" s="31"/>
      <c r="AG180" s="31"/>
      <c r="AH180" s="31"/>
      <c r="AI180" s="31"/>
      <c r="AJ180" s="31"/>
      <c r="AK180" s="31"/>
      <c r="AL180" s="31"/>
      <c r="AM180" s="31"/>
      <c r="AN180" s="31"/>
      <c r="AO180" s="31"/>
      <c r="AP180" s="31"/>
      <c r="AQ180" s="31"/>
      <c r="AR180" s="31"/>
      <c r="AS180" s="31"/>
    </row>
    <row r="181" spans="1:45" s="40" customFormat="1">
      <c r="A181" s="26" t="s">
        <v>919</v>
      </c>
      <c r="B181" s="27">
        <v>68543006</v>
      </c>
      <c r="C181" s="28" t="s">
        <v>937</v>
      </c>
      <c r="D181" s="29">
        <v>25</v>
      </c>
      <c r="E181" s="30"/>
      <c r="F181" s="31"/>
      <c r="G181" s="31"/>
      <c r="H181" s="27" t="s">
        <v>437</v>
      </c>
      <c r="I181" s="32"/>
      <c r="J181" s="33"/>
      <c r="K181" s="34"/>
      <c r="L181" s="34"/>
      <c r="M181" s="34"/>
      <c r="N181" s="31"/>
      <c r="O181" s="31"/>
      <c r="P181" s="31"/>
      <c r="Q181" s="31"/>
      <c r="R181" s="31"/>
      <c r="S181" s="31"/>
      <c r="T181" s="31"/>
      <c r="U181" s="42"/>
      <c r="V181" s="43"/>
      <c r="W181" s="37"/>
      <c r="X181" s="38" t="s">
        <v>921</v>
      </c>
      <c r="Y181" s="45">
        <v>680487058963</v>
      </c>
      <c r="Z181" s="31"/>
      <c r="AA181" s="31"/>
      <c r="AB181" s="31"/>
      <c r="AC181" s="31"/>
      <c r="AD181" s="31"/>
      <c r="AE181" s="31"/>
      <c r="AF181" s="31"/>
      <c r="AG181" s="31"/>
      <c r="AH181" s="31"/>
      <c r="AI181" s="31"/>
      <c r="AJ181" s="31"/>
      <c r="AK181" s="31"/>
      <c r="AL181" s="31"/>
      <c r="AM181" s="31"/>
      <c r="AN181" s="31"/>
      <c r="AO181" s="31"/>
      <c r="AP181" s="31"/>
      <c r="AQ181" s="31"/>
      <c r="AR181" s="31"/>
      <c r="AS181" s="31"/>
    </row>
    <row r="182" spans="1:45" s="40" customFormat="1">
      <c r="A182" s="26" t="s">
        <v>919</v>
      </c>
      <c r="B182" s="27">
        <v>68543013</v>
      </c>
      <c r="C182" s="28" t="s">
        <v>937</v>
      </c>
      <c r="D182" s="29">
        <v>2</v>
      </c>
      <c r="E182" s="30"/>
      <c r="F182" s="31"/>
      <c r="G182" s="31"/>
      <c r="H182" s="27" t="s">
        <v>408</v>
      </c>
      <c r="I182" s="32"/>
      <c r="J182" s="33"/>
      <c r="K182" s="34"/>
      <c r="L182" s="34"/>
      <c r="M182" s="34"/>
      <c r="N182" s="31"/>
      <c r="O182" s="31"/>
      <c r="P182" s="31"/>
      <c r="Q182" s="31"/>
      <c r="R182" s="31"/>
      <c r="S182" s="31"/>
      <c r="T182" s="31"/>
      <c r="U182" s="42"/>
      <c r="V182" s="43"/>
      <c r="W182" s="37"/>
      <c r="X182" s="38" t="s">
        <v>921</v>
      </c>
      <c r="Y182" s="45">
        <v>680487058970</v>
      </c>
      <c r="Z182" s="31"/>
      <c r="AA182" s="31"/>
      <c r="AB182" s="31"/>
      <c r="AC182" s="31"/>
      <c r="AD182" s="31"/>
      <c r="AE182" s="31"/>
      <c r="AF182" s="31"/>
      <c r="AG182" s="31"/>
      <c r="AH182" s="31"/>
      <c r="AI182" s="31"/>
      <c r="AJ182" s="31"/>
      <c r="AK182" s="31"/>
      <c r="AL182" s="31"/>
      <c r="AM182" s="31"/>
      <c r="AN182" s="31"/>
      <c r="AO182" s="31"/>
      <c r="AP182" s="31"/>
      <c r="AQ182" s="31"/>
      <c r="AR182" s="31"/>
      <c r="AS182" s="31"/>
    </row>
    <row r="183" spans="1:45" s="40" customFormat="1">
      <c r="A183" s="26" t="s">
        <v>919</v>
      </c>
      <c r="B183" s="27">
        <v>68543020</v>
      </c>
      <c r="C183" s="28" t="s">
        <v>937</v>
      </c>
      <c r="D183" s="29">
        <v>4</v>
      </c>
      <c r="E183" s="30"/>
      <c r="F183" s="31"/>
      <c r="G183" s="31"/>
      <c r="H183" s="27" t="s">
        <v>438</v>
      </c>
      <c r="I183" s="32"/>
      <c r="J183" s="33"/>
      <c r="K183" s="34"/>
      <c r="L183" s="34"/>
      <c r="M183" s="34"/>
      <c r="N183" s="31"/>
      <c r="O183" s="31"/>
      <c r="P183" s="31"/>
      <c r="Q183" s="31"/>
      <c r="R183" s="31"/>
      <c r="S183" s="31"/>
      <c r="T183" s="31"/>
      <c r="U183" s="42"/>
      <c r="V183" s="43"/>
      <c r="W183" s="37"/>
      <c r="X183" s="38" t="s">
        <v>921</v>
      </c>
      <c r="Y183" s="45">
        <v>680487058987</v>
      </c>
      <c r="Z183" s="31"/>
      <c r="AA183" s="31"/>
      <c r="AB183" s="31"/>
      <c r="AC183" s="31"/>
      <c r="AD183" s="31"/>
      <c r="AE183" s="31"/>
      <c r="AF183" s="31"/>
      <c r="AG183" s="31"/>
      <c r="AH183" s="31"/>
      <c r="AI183" s="31"/>
      <c r="AJ183" s="31"/>
      <c r="AK183" s="31"/>
      <c r="AL183" s="31"/>
      <c r="AM183" s="31"/>
      <c r="AN183" s="31"/>
      <c r="AO183" s="31"/>
      <c r="AP183" s="31"/>
      <c r="AQ183" s="31"/>
      <c r="AR183" s="31"/>
      <c r="AS183" s="31"/>
    </row>
    <row r="184" spans="1:45" s="40" customFormat="1">
      <c r="A184" s="26" t="s">
        <v>919</v>
      </c>
      <c r="B184" s="27">
        <v>68543037</v>
      </c>
      <c r="C184" s="28" t="s">
        <v>937</v>
      </c>
      <c r="D184" s="29">
        <v>0</v>
      </c>
      <c r="E184" s="30"/>
      <c r="F184" s="31"/>
      <c r="G184" s="31"/>
      <c r="H184" s="27" t="s">
        <v>533</v>
      </c>
      <c r="I184" s="32"/>
      <c r="J184" s="33"/>
      <c r="K184" s="34"/>
      <c r="L184" s="34"/>
      <c r="M184" s="34"/>
      <c r="N184" s="31"/>
      <c r="O184" s="31"/>
      <c r="P184" s="31"/>
      <c r="Q184" s="31"/>
      <c r="R184" s="31"/>
      <c r="S184" s="31"/>
      <c r="T184" s="31"/>
      <c r="U184" s="42"/>
      <c r="V184" s="43"/>
      <c r="W184" s="37"/>
      <c r="X184" s="38" t="s">
        <v>921</v>
      </c>
      <c r="Y184" s="45">
        <v>680487058994</v>
      </c>
      <c r="Z184" s="31"/>
      <c r="AA184" s="31"/>
      <c r="AB184" s="31"/>
      <c r="AC184" s="31"/>
      <c r="AD184" s="31"/>
      <c r="AE184" s="31"/>
      <c r="AF184" s="31"/>
      <c r="AG184" s="31"/>
      <c r="AH184" s="31"/>
      <c r="AI184" s="31"/>
      <c r="AJ184" s="31"/>
      <c r="AK184" s="31"/>
      <c r="AL184" s="31"/>
      <c r="AM184" s="31"/>
      <c r="AN184" s="31"/>
      <c r="AO184" s="31"/>
      <c r="AP184" s="31"/>
      <c r="AQ184" s="31"/>
      <c r="AR184" s="31"/>
      <c r="AS184" s="31"/>
    </row>
    <row r="185" spans="1:45" s="40" customFormat="1">
      <c r="A185" s="26" t="s">
        <v>919</v>
      </c>
      <c r="B185" s="27">
        <v>68543044</v>
      </c>
      <c r="C185" s="28" t="s">
        <v>937</v>
      </c>
      <c r="D185" s="29">
        <v>0</v>
      </c>
      <c r="E185" s="30"/>
      <c r="F185" s="31"/>
      <c r="G185" s="31"/>
      <c r="H185" s="27" t="s">
        <v>439</v>
      </c>
      <c r="I185" s="32"/>
      <c r="J185" s="33"/>
      <c r="K185" s="34"/>
      <c r="L185" s="34"/>
      <c r="M185" s="34"/>
      <c r="N185" s="31"/>
      <c r="O185" s="31"/>
      <c r="P185" s="31"/>
      <c r="Q185" s="31"/>
      <c r="R185" s="31"/>
      <c r="S185" s="31"/>
      <c r="T185" s="31"/>
      <c r="U185" s="42"/>
      <c r="V185" s="43"/>
      <c r="W185" s="37"/>
      <c r="X185" s="38" t="s">
        <v>921</v>
      </c>
      <c r="Y185" s="45">
        <v>680487059007</v>
      </c>
      <c r="Z185" s="31"/>
      <c r="AA185" s="31"/>
      <c r="AB185" s="31"/>
      <c r="AC185" s="31"/>
      <c r="AD185" s="31"/>
      <c r="AE185" s="31"/>
      <c r="AF185" s="31"/>
      <c r="AG185" s="31"/>
      <c r="AH185" s="31"/>
      <c r="AI185" s="31"/>
      <c r="AJ185" s="31"/>
      <c r="AK185" s="31"/>
      <c r="AL185" s="31"/>
      <c r="AM185" s="31"/>
      <c r="AN185" s="31"/>
      <c r="AO185" s="31"/>
      <c r="AP185" s="31"/>
      <c r="AQ185" s="31"/>
      <c r="AR185" s="31"/>
      <c r="AS185" s="31"/>
    </row>
    <row r="186" spans="1:45" s="40" customFormat="1">
      <c r="A186" s="26" t="s">
        <v>919</v>
      </c>
      <c r="B186" s="27">
        <v>68543051</v>
      </c>
      <c r="C186" s="28" t="s">
        <v>937</v>
      </c>
      <c r="D186" s="29">
        <v>2</v>
      </c>
      <c r="E186" s="30"/>
      <c r="F186" s="31"/>
      <c r="G186" s="31"/>
      <c r="H186" s="27" t="s">
        <v>534</v>
      </c>
      <c r="I186" s="32"/>
      <c r="J186" s="33"/>
      <c r="K186" s="34"/>
      <c r="L186" s="34"/>
      <c r="M186" s="34"/>
      <c r="N186" s="31"/>
      <c r="O186" s="31"/>
      <c r="P186" s="31"/>
      <c r="Q186" s="31"/>
      <c r="R186" s="31"/>
      <c r="S186" s="31"/>
      <c r="T186" s="31"/>
      <c r="U186" s="42"/>
      <c r="V186" s="43"/>
      <c r="W186" s="37"/>
      <c r="X186" s="38" t="s">
        <v>921</v>
      </c>
      <c r="Y186" s="45">
        <v>680487059014</v>
      </c>
      <c r="Z186" s="31"/>
      <c r="AA186" s="31"/>
      <c r="AB186" s="31"/>
      <c r="AC186" s="31"/>
      <c r="AD186" s="31"/>
      <c r="AE186" s="31"/>
      <c r="AF186" s="31"/>
      <c r="AG186" s="31"/>
      <c r="AH186" s="31"/>
      <c r="AI186" s="31"/>
      <c r="AJ186" s="31"/>
      <c r="AK186" s="31"/>
      <c r="AL186" s="31"/>
      <c r="AM186" s="31"/>
      <c r="AN186" s="31"/>
      <c r="AO186" s="31"/>
      <c r="AP186" s="31"/>
      <c r="AQ186" s="31"/>
      <c r="AR186" s="31"/>
      <c r="AS186" s="31"/>
    </row>
    <row r="187" spans="1:45" s="40" customFormat="1">
      <c r="A187" s="26" t="s">
        <v>919</v>
      </c>
      <c r="B187" s="27">
        <v>68543068</v>
      </c>
      <c r="C187" s="28" t="s">
        <v>937</v>
      </c>
      <c r="D187" s="29">
        <v>2</v>
      </c>
      <c r="E187" s="30"/>
      <c r="F187" s="31"/>
      <c r="G187" s="31"/>
      <c r="H187" s="27" t="s">
        <v>440</v>
      </c>
      <c r="I187" s="32"/>
      <c r="J187" s="33"/>
      <c r="K187" s="34"/>
      <c r="L187" s="34"/>
      <c r="M187" s="34"/>
      <c r="N187" s="31"/>
      <c r="O187" s="31"/>
      <c r="P187" s="31"/>
      <c r="Q187" s="31"/>
      <c r="R187" s="31"/>
      <c r="S187" s="31"/>
      <c r="T187" s="31"/>
      <c r="U187" s="42"/>
      <c r="V187" s="43"/>
      <c r="W187" s="37"/>
      <c r="X187" s="38" t="s">
        <v>921</v>
      </c>
      <c r="Y187" s="45">
        <v>680487059021</v>
      </c>
      <c r="Z187" s="31"/>
      <c r="AA187" s="31"/>
      <c r="AB187" s="31"/>
      <c r="AC187" s="31"/>
      <c r="AD187" s="31"/>
      <c r="AE187" s="31"/>
      <c r="AF187" s="31"/>
      <c r="AG187" s="31"/>
      <c r="AH187" s="31"/>
      <c r="AI187" s="31"/>
      <c r="AJ187" s="31"/>
      <c r="AK187" s="31"/>
      <c r="AL187" s="31"/>
      <c r="AM187" s="31"/>
      <c r="AN187" s="31"/>
      <c r="AO187" s="31"/>
      <c r="AP187" s="31"/>
      <c r="AQ187" s="31"/>
      <c r="AR187" s="31"/>
      <c r="AS187" s="31"/>
    </row>
    <row r="188" spans="1:45" s="40" customFormat="1">
      <c r="A188" s="26" t="s">
        <v>919</v>
      </c>
      <c r="B188" s="27">
        <v>68543075</v>
      </c>
      <c r="C188" s="28" t="s">
        <v>937</v>
      </c>
      <c r="D188" s="29">
        <v>28</v>
      </c>
      <c r="E188" s="30"/>
      <c r="F188" s="31"/>
      <c r="G188" s="31"/>
      <c r="H188" s="27" t="s">
        <v>409</v>
      </c>
      <c r="I188" s="32"/>
      <c r="J188" s="33"/>
      <c r="K188" s="34"/>
      <c r="L188" s="34"/>
      <c r="M188" s="34"/>
      <c r="N188" s="31"/>
      <c r="O188" s="31"/>
      <c r="P188" s="31"/>
      <c r="Q188" s="31"/>
      <c r="R188" s="31"/>
      <c r="S188" s="31"/>
      <c r="T188" s="31"/>
      <c r="U188" s="42"/>
      <c r="V188" s="43"/>
      <c r="W188" s="37"/>
      <c r="X188" s="38" t="s">
        <v>921</v>
      </c>
      <c r="Y188" s="45">
        <v>680487059038</v>
      </c>
      <c r="Z188" s="31"/>
      <c r="AA188" s="31"/>
      <c r="AB188" s="31"/>
      <c r="AC188" s="31"/>
      <c r="AD188" s="31"/>
      <c r="AE188" s="31"/>
      <c r="AF188" s="31"/>
      <c r="AG188" s="31"/>
      <c r="AH188" s="31"/>
      <c r="AI188" s="31"/>
      <c r="AJ188" s="31"/>
      <c r="AK188" s="31"/>
      <c r="AL188" s="31"/>
      <c r="AM188" s="31"/>
      <c r="AN188" s="31"/>
      <c r="AO188" s="31"/>
      <c r="AP188" s="31"/>
      <c r="AQ188" s="31"/>
      <c r="AR188" s="31"/>
      <c r="AS188" s="31"/>
    </row>
    <row r="189" spans="1:45">
      <c r="A189" s="26" t="s">
        <v>919</v>
      </c>
      <c r="B189" s="27">
        <v>68543082</v>
      </c>
      <c r="C189" s="28" t="s">
        <v>937</v>
      </c>
      <c r="D189" s="29">
        <v>24</v>
      </c>
      <c r="H189" s="27" t="s">
        <v>441</v>
      </c>
      <c r="X189" s="38" t="s">
        <v>921</v>
      </c>
      <c r="Y189" s="45">
        <v>680487059045</v>
      </c>
    </row>
    <row r="190" spans="1:45">
      <c r="A190" s="26" t="s">
        <v>919</v>
      </c>
      <c r="B190" s="27">
        <v>68543099</v>
      </c>
      <c r="C190" s="28" t="s">
        <v>937</v>
      </c>
      <c r="D190" s="29">
        <v>45</v>
      </c>
      <c r="H190" s="27" t="s">
        <v>410</v>
      </c>
      <c r="X190" s="38" t="s">
        <v>921</v>
      </c>
      <c r="Y190" s="45">
        <v>680487059052</v>
      </c>
    </row>
    <row r="191" spans="1:45">
      <c r="A191" s="26" t="s">
        <v>919</v>
      </c>
      <c r="B191" s="27">
        <v>68543105</v>
      </c>
      <c r="C191" s="28" t="s">
        <v>937</v>
      </c>
      <c r="D191" s="29">
        <v>5</v>
      </c>
      <c r="H191" s="27" t="s">
        <v>442</v>
      </c>
      <c r="X191" s="38" t="s">
        <v>921</v>
      </c>
      <c r="Y191" s="45">
        <v>680487059069</v>
      </c>
    </row>
    <row r="192" spans="1:45">
      <c r="A192" s="26" t="s">
        <v>919</v>
      </c>
      <c r="B192" s="27">
        <v>68543112</v>
      </c>
      <c r="C192" s="28" t="s">
        <v>937</v>
      </c>
      <c r="D192" s="29">
        <v>71</v>
      </c>
      <c r="H192" s="27" t="s">
        <v>411</v>
      </c>
      <c r="X192" s="38" t="s">
        <v>921</v>
      </c>
      <c r="Y192" s="45">
        <v>680487135671</v>
      </c>
    </row>
    <row r="193" spans="1:25">
      <c r="A193" s="26" t="s">
        <v>919</v>
      </c>
      <c r="B193" s="27">
        <v>68543129</v>
      </c>
      <c r="C193" s="28" t="s">
        <v>937</v>
      </c>
      <c r="D193" s="29">
        <v>8</v>
      </c>
      <c r="H193" s="27" t="s">
        <v>443</v>
      </c>
      <c r="X193" s="38" t="s">
        <v>921</v>
      </c>
      <c r="Y193" s="45">
        <v>680487135688</v>
      </c>
    </row>
    <row r="194" spans="1:25">
      <c r="A194" s="26" t="s">
        <v>919</v>
      </c>
      <c r="B194" s="27">
        <v>68543136</v>
      </c>
      <c r="C194" s="28" t="s">
        <v>937</v>
      </c>
      <c r="D194" s="29">
        <v>5</v>
      </c>
      <c r="H194" s="27" t="s">
        <v>413</v>
      </c>
      <c r="X194" s="38" t="s">
        <v>921</v>
      </c>
      <c r="Y194" s="45">
        <v>680487059090</v>
      </c>
    </row>
    <row r="195" spans="1:25">
      <c r="A195" s="26" t="s">
        <v>919</v>
      </c>
      <c r="B195" s="27">
        <v>68543143</v>
      </c>
      <c r="C195" s="28" t="s">
        <v>937</v>
      </c>
      <c r="D195" s="29">
        <v>5</v>
      </c>
      <c r="H195" s="27" t="s">
        <v>445</v>
      </c>
      <c r="X195" s="38" t="s">
        <v>921</v>
      </c>
      <c r="Y195" s="45">
        <v>680487059106</v>
      </c>
    </row>
    <row r="196" spans="1:25">
      <c r="A196" s="26" t="s">
        <v>919</v>
      </c>
      <c r="B196" s="27">
        <v>68543150</v>
      </c>
      <c r="C196" s="28" t="s">
        <v>937</v>
      </c>
      <c r="D196" s="29">
        <v>17</v>
      </c>
      <c r="H196" s="27" t="s">
        <v>414</v>
      </c>
      <c r="X196" s="38" t="s">
        <v>921</v>
      </c>
      <c r="Y196" s="45">
        <v>680487059113</v>
      </c>
    </row>
    <row r="197" spans="1:25">
      <c r="A197" s="26" t="s">
        <v>919</v>
      </c>
      <c r="B197" s="27">
        <v>68543167</v>
      </c>
      <c r="C197" s="28" t="s">
        <v>937</v>
      </c>
      <c r="D197" s="29">
        <v>25</v>
      </c>
      <c r="H197" s="27" t="s">
        <v>446</v>
      </c>
      <c r="X197" s="38" t="s">
        <v>921</v>
      </c>
      <c r="Y197" s="45">
        <v>680487059120</v>
      </c>
    </row>
    <row r="198" spans="1:25">
      <c r="A198" s="26" t="s">
        <v>919</v>
      </c>
      <c r="B198" s="27">
        <v>68543174</v>
      </c>
      <c r="C198" s="28" t="s">
        <v>937</v>
      </c>
      <c r="D198" s="29">
        <v>2</v>
      </c>
      <c r="H198" s="27" t="s">
        <v>415</v>
      </c>
      <c r="X198" s="38" t="s">
        <v>921</v>
      </c>
      <c r="Y198" s="45">
        <v>680487059137</v>
      </c>
    </row>
    <row r="199" spans="1:25">
      <c r="A199" s="26" t="s">
        <v>919</v>
      </c>
      <c r="B199" s="27">
        <v>68543181</v>
      </c>
      <c r="C199" s="28" t="s">
        <v>937</v>
      </c>
      <c r="D199" s="29">
        <v>4</v>
      </c>
      <c r="H199" s="27" t="s">
        <v>447</v>
      </c>
      <c r="X199" s="38" t="s">
        <v>921</v>
      </c>
      <c r="Y199" s="45">
        <v>680487059144</v>
      </c>
    </row>
    <row r="200" spans="1:25">
      <c r="A200" s="26" t="s">
        <v>919</v>
      </c>
      <c r="B200" s="27">
        <v>68543198</v>
      </c>
      <c r="C200" s="28" t="s">
        <v>937</v>
      </c>
      <c r="D200" s="29">
        <v>43</v>
      </c>
      <c r="H200" s="27" t="s">
        <v>416</v>
      </c>
      <c r="X200" s="38" t="s">
        <v>921</v>
      </c>
      <c r="Y200" s="45">
        <v>680487059151</v>
      </c>
    </row>
    <row r="201" spans="1:25">
      <c r="A201" s="26" t="s">
        <v>919</v>
      </c>
      <c r="B201" s="27">
        <v>68543204</v>
      </c>
      <c r="C201" s="28" t="s">
        <v>937</v>
      </c>
      <c r="D201" s="29">
        <v>8</v>
      </c>
      <c r="H201" s="27" t="s">
        <v>448</v>
      </c>
      <c r="X201" s="38" t="s">
        <v>921</v>
      </c>
      <c r="Y201" s="45">
        <v>680487059168</v>
      </c>
    </row>
    <row r="202" spans="1:25">
      <c r="A202" s="26" t="s">
        <v>919</v>
      </c>
      <c r="B202" s="27">
        <v>68543211</v>
      </c>
      <c r="C202" s="28" t="s">
        <v>937</v>
      </c>
      <c r="D202" s="29">
        <v>40</v>
      </c>
      <c r="H202" s="27" t="s">
        <v>417</v>
      </c>
      <c r="X202" s="38" t="s">
        <v>921</v>
      </c>
      <c r="Y202" s="45">
        <v>680487059175</v>
      </c>
    </row>
    <row r="203" spans="1:25">
      <c r="A203" s="26" t="s">
        <v>919</v>
      </c>
      <c r="B203" s="27">
        <v>68543228</v>
      </c>
      <c r="C203" s="28" t="s">
        <v>937</v>
      </c>
      <c r="D203" s="29">
        <v>13</v>
      </c>
      <c r="H203" s="27" t="s">
        <v>449</v>
      </c>
      <c r="X203" s="38" t="s">
        <v>921</v>
      </c>
      <c r="Y203" s="45">
        <v>680487059182</v>
      </c>
    </row>
    <row r="204" spans="1:25">
      <c r="A204" s="26" t="s">
        <v>919</v>
      </c>
      <c r="B204" s="27">
        <v>68543235</v>
      </c>
      <c r="C204" s="28" t="s">
        <v>937</v>
      </c>
      <c r="D204" s="29">
        <v>62</v>
      </c>
      <c r="H204" s="27" t="s">
        <v>418</v>
      </c>
      <c r="X204" s="38" t="s">
        <v>921</v>
      </c>
      <c r="Y204" s="45">
        <v>680487059199</v>
      </c>
    </row>
    <row r="205" spans="1:25">
      <c r="A205" s="26" t="s">
        <v>919</v>
      </c>
      <c r="B205" s="27">
        <v>68543242</v>
      </c>
      <c r="C205" s="28" t="s">
        <v>937</v>
      </c>
      <c r="D205" s="29">
        <v>14</v>
      </c>
      <c r="H205" s="27" t="s">
        <v>450</v>
      </c>
      <c r="X205" s="38" t="s">
        <v>921</v>
      </c>
      <c r="Y205" s="45">
        <v>680487059205</v>
      </c>
    </row>
    <row r="206" spans="1:25">
      <c r="A206" s="26" t="s">
        <v>919</v>
      </c>
      <c r="B206" s="27">
        <v>68543259</v>
      </c>
      <c r="C206" s="28" t="s">
        <v>937</v>
      </c>
      <c r="D206" s="29">
        <v>6</v>
      </c>
      <c r="H206" s="27" t="s">
        <v>419</v>
      </c>
      <c r="X206" s="38" t="s">
        <v>921</v>
      </c>
      <c r="Y206" s="45">
        <v>680487059212</v>
      </c>
    </row>
    <row r="207" spans="1:25">
      <c r="A207" s="26" t="s">
        <v>919</v>
      </c>
      <c r="B207" s="27">
        <v>68543266</v>
      </c>
      <c r="C207" s="28" t="s">
        <v>937</v>
      </c>
      <c r="D207" s="29">
        <v>12</v>
      </c>
      <c r="H207" s="27" t="s">
        <v>451</v>
      </c>
      <c r="X207" s="38" t="s">
        <v>921</v>
      </c>
      <c r="Y207" s="45">
        <v>680487059229</v>
      </c>
    </row>
    <row r="208" spans="1:25">
      <c r="A208" s="26" t="s">
        <v>919</v>
      </c>
      <c r="B208" s="27">
        <v>68543273</v>
      </c>
      <c r="C208" s="28" t="s">
        <v>937</v>
      </c>
      <c r="D208" s="29">
        <v>25</v>
      </c>
      <c r="H208" s="27" t="s">
        <v>420</v>
      </c>
      <c r="X208" s="38" t="s">
        <v>921</v>
      </c>
      <c r="Y208" s="45">
        <v>680487059236</v>
      </c>
    </row>
    <row r="209" spans="1:25">
      <c r="A209" s="26" t="s">
        <v>919</v>
      </c>
      <c r="B209" s="27">
        <v>68543280</v>
      </c>
      <c r="C209" s="28" t="s">
        <v>937</v>
      </c>
      <c r="D209" s="29">
        <v>4</v>
      </c>
      <c r="H209" s="27" t="s">
        <v>452</v>
      </c>
      <c r="X209" s="38" t="s">
        <v>921</v>
      </c>
      <c r="Y209" s="45">
        <v>680487059243</v>
      </c>
    </row>
    <row r="210" spans="1:25">
      <c r="A210" s="26" t="s">
        <v>919</v>
      </c>
      <c r="B210" s="27">
        <v>68543297</v>
      </c>
      <c r="C210" s="28" t="s">
        <v>937</v>
      </c>
      <c r="D210" s="29">
        <v>2</v>
      </c>
      <c r="H210" s="27" t="s">
        <v>535</v>
      </c>
      <c r="X210" s="38" t="s">
        <v>921</v>
      </c>
      <c r="Y210" s="45">
        <v>680487059250</v>
      </c>
    </row>
    <row r="211" spans="1:25">
      <c r="A211" s="26" t="s">
        <v>919</v>
      </c>
      <c r="B211" s="27">
        <v>68543303</v>
      </c>
      <c r="C211" s="28" t="s">
        <v>937</v>
      </c>
      <c r="D211" s="29">
        <v>0</v>
      </c>
      <c r="H211" s="27" t="s">
        <v>453</v>
      </c>
      <c r="X211" s="38" t="s">
        <v>921</v>
      </c>
      <c r="Y211" s="45">
        <v>680487059267</v>
      </c>
    </row>
    <row r="212" spans="1:25">
      <c r="A212" s="26" t="s">
        <v>919</v>
      </c>
      <c r="B212" s="27">
        <v>68543310</v>
      </c>
      <c r="C212" s="28" t="s">
        <v>937</v>
      </c>
      <c r="D212" s="29">
        <v>1</v>
      </c>
      <c r="H212" s="27" t="s">
        <v>421</v>
      </c>
      <c r="X212" s="38" t="s">
        <v>921</v>
      </c>
      <c r="Y212" s="45">
        <v>680487059274</v>
      </c>
    </row>
    <row r="213" spans="1:25">
      <c r="A213" s="26" t="s">
        <v>919</v>
      </c>
      <c r="B213" s="27">
        <v>68543327</v>
      </c>
      <c r="C213" s="28" t="s">
        <v>937</v>
      </c>
      <c r="D213" s="29">
        <v>1</v>
      </c>
      <c r="H213" s="27" t="s">
        <v>454</v>
      </c>
      <c r="X213" s="38" t="s">
        <v>921</v>
      </c>
      <c r="Y213" s="45">
        <v>680487059281</v>
      </c>
    </row>
    <row r="214" spans="1:25">
      <c r="A214" s="26" t="s">
        <v>919</v>
      </c>
      <c r="B214" s="27">
        <v>68543334</v>
      </c>
      <c r="C214" s="28" t="s">
        <v>937</v>
      </c>
      <c r="D214" s="29">
        <v>0</v>
      </c>
      <c r="H214" s="27" t="s">
        <v>422</v>
      </c>
      <c r="X214" s="38" t="s">
        <v>921</v>
      </c>
      <c r="Y214" s="45">
        <v>680487059298</v>
      </c>
    </row>
    <row r="215" spans="1:25">
      <c r="A215" s="26" t="s">
        <v>919</v>
      </c>
      <c r="B215" s="27">
        <v>68543341</v>
      </c>
      <c r="C215" s="28" t="s">
        <v>937</v>
      </c>
      <c r="D215" s="29">
        <v>0</v>
      </c>
      <c r="H215" s="27" t="s">
        <v>455</v>
      </c>
      <c r="X215" s="38" t="s">
        <v>921</v>
      </c>
      <c r="Y215" s="45">
        <v>680487059304</v>
      </c>
    </row>
    <row r="216" spans="1:25">
      <c r="A216" s="26" t="s">
        <v>919</v>
      </c>
      <c r="B216" s="27">
        <v>68542719</v>
      </c>
      <c r="C216" s="28" t="s">
        <v>937</v>
      </c>
      <c r="D216" s="29">
        <v>1</v>
      </c>
      <c r="H216" s="90" t="s">
        <v>392</v>
      </c>
      <c r="X216" s="38" t="s">
        <v>921</v>
      </c>
      <c r="Y216" s="91">
        <v>680487135275</v>
      </c>
    </row>
    <row r="217" spans="1:25">
      <c r="A217" s="26" t="s">
        <v>919</v>
      </c>
      <c r="B217" s="27">
        <v>68542726</v>
      </c>
      <c r="C217" s="28" t="s">
        <v>937</v>
      </c>
      <c r="D217" s="29">
        <v>2</v>
      </c>
      <c r="H217" s="90" t="s">
        <v>423</v>
      </c>
      <c r="X217" s="38" t="s">
        <v>921</v>
      </c>
      <c r="Y217" s="91">
        <v>680487058680</v>
      </c>
    </row>
    <row r="218" spans="1:25">
      <c r="A218" s="26" t="s">
        <v>919</v>
      </c>
      <c r="B218" s="27">
        <v>68581497</v>
      </c>
      <c r="C218" s="28" t="s">
        <v>937</v>
      </c>
      <c r="D218" s="29">
        <v>1</v>
      </c>
      <c r="H218" s="90" t="s">
        <v>456</v>
      </c>
      <c r="X218" s="38" t="s">
        <v>921</v>
      </c>
      <c r="Y218" s="91">
        <v>680487057911</v>
      </c>
    </row>
    <row r="219" spans="1:25">
      <c r="A219" s="26" t="s">
        <v>919</v>
      </c>
      <c r="B219" s="27">
        <v>68581503</v>
      </c>
      <c r="C219" s="28" t="s">
        <v>937</v>
      </c>
      <c r="D219" s="29">
        <v>2</v>
      </c>
      <c r="H219" s="90" t="s">
        <v>627</v>
      </c>
      <c r="X219" s="38" t="s">
        <v>921</v>
      </c>
      <c r="Y219" s="91">
        <v>680487057928</v>
      </c>
    </row>
    <row r="220" spans="1:25">
      <c r="A220" s="26" t="s">
        <v>919</v>
      </c>
      <c r="B220" s="27">
        <v>68581510</v>
      </c>
      <c r="C220" s="28" t="s">
        <v>937</v>
      </c>
      <c r="D220" s="29">
        <v>0</v>
      </c>
      <c r="H220" s="90" t="s">
        <v>628</v>
      </c>
      <c r="X220" s="38" t="s">
        <v>921</v>
      </c>
      <c r="Y220" s="91">
        <v>680487057973</v>
      </c>
    </row>
    <row r="221" spans="1:25">
      <c r="A221" s="26" t="s">
        <v>919</v>
      </c>
      <c r="B221" s="27">
        <v>68581527</v>
      </c>
      <c r="C221" s="28" t="s">
        <v>937</v>
      </c>
      <c r="D221" s="29">
        <v>0</v>
      </c>
      <c r="H221" s="90" t="s">
        <v>629</v>
      </c>
      <c r="X221" s="38" t="s">
        <v>921</v>
      </c>
      <c r="Y221" s="91">
        <v>680487057980</v>
      </c>
    </row>
    <row r="222" spans="1:25">
      <c r="A222" s="26" t="s">
        <v>919</v>
      </c>
      <c r="B222" s="27">
        <v>68581534</v>
      </c>
      <c r="C222" s="28" t="s">
        <v>937</v>
      </c>
      <c r="D222" s="29">
        <v>2</v>
      </c>
      <c r="H222" s="90" t="s">
        <v>630</v>
      </c>
      <c r="X222" s="38" t="s">
        <v>921</v>
      </c>
      <c r="Y222" s="91">
        <v>680487058017</v>
      </c>
    </row>
    <row r="223" spans="1:25">
      <c r="A223" s="26" t="s">
        <v>919</v>
      </c>
      <c r="B223" s="27">
        <v>68581541</v>
      </c>
      <c r="C223" s="28" t="s">
        <v>937</v>
      </c>
      <c r="D223" s="29">
        <v>1</v>
      </c>
      <c r="H223" s="90" t="s">
        <v>538</v>
      </c>
      <c r="X223" s="38" t="s">
        <v>921</v>
      </c>
      <c r="Y223" s="91">
        <v>680487058024</v>
      </c>
    </row>
    <row r="224" spans="1:25">
      <c r="A224" s="26" t="s">
        <v>919</v>
      </c>
      <c r="B224" s="27">
        <v>68581558</v>
      </c>
      <c r="C224" s="28" t="s">
        <v>937</v>
      </c>
      <c r="D224" s="29">
        <v>0</v>
      </c>
      <c r="H224" s="90" t="s">
        <v>631</v>
      </c>
      <c r="X224" s="38" t="s">
        <v>921</v>
      </c>
      <c r="Y224" s="91">
        <v>680487058055</v>
      </c>
    </row>
    <row r="225" spans="1:25">
      <c r="A225" s="26" t="s">
        <v>919</v>
      </c>
      <c r="B225" s="27">
        <v>68581565</v>
      </c>
      <c r="C225" s="28" t="s">
        <v>937</v>
      </c>
      <c r="D225" s="29">
        <v>0</v>
      </c>
      <c r="H225" s="90" t="s">
        <v>632</v>
      </c>
      <c r="X225" s="38" t="s">
        <v>921</v>
      </c>
      <c r="Y225" s="91">
        <v>680487058062</v>
      </c>
    </row>
    <row r="226" spans="1:25">
      <c r="A226" s="26" t="s">
        <v>919</v>
      </c>
      <c r="B226" s="27">
        <v>68581572</v>
      </c>
      <c r="C226" s="28" t="s">
        <v>937</v>
      </c>
      <c r="D226" s="29">
        <v>0</v>
      </c>
      <c r="H226" s="90" t="s">
        <v>633</v>
      </c>
      <c r="X226" s="38" t="s">
        <v>921</v>
      </c>
      <c r="Y226" s="91">
        <v>680487058093</v>
      </c>
    </row>
    <row r="227" spans="1:25">
      <c r="A227" s="26" t="s">
        <v>919</v>
      </c>
      <c r="B227" s="27">
        <v>68581589</v>
      </c>
      <c r="C227" s="28" t="s">
        <v>937</v>
      </c>
      <c r="D227" s="29">
        <v>0</v>
      </c>
      <c r="H227" s="90" t="s">
        <v>468</v>
      </c>
      <c r="X227" s="38" t="s">
        <v>921</v>
      </c>
      <c r="Y227" s="91">
        <v>680487058109</v>
      </c>
    </row>
    <row r="228" spans="1:25">
      <c r="A228" s="26" t="s">
        <v>919</v>
      </c>
      <c r="B228" s="27">
        <v>68581596</v>
      </c>
      <c r="C228" s="28" t="s">
        <v>937</v>
      </c>
      <c r="D228" s="29">
        <v>2</v>
      </c>
      <c r="H228" s="90" t="s">
        <v>458</v>
      </c>
      <c r="X228" s="38" t="s">
        <v>921</v>
      </c>
      <c r="Y228" s="91">
        <v>680487058130</v>
      </c>
    </row>
    <row r="229" spans="1:25">
      <c r="A229" s="26" t="s">
        <v>919</v>
      </c>
      <c r="B229" s="27">
        <v>68581602</v>
      </c>
      <c r="C229" s="28" t="s">
        <v>937</v>
      </c>
      <c r="D229" s="29">
        <v>1</v>
      </c>
      <c r="H229" s="90" t="s">
        <v>469</v>
      </c>
      <c r="X229" s="38" t="s">
        <v>921</v>
      </c>
      <c r="Y229" s="91">
        <v>680487058147</v>
      </c>
    </row>
    <row r="230" spans="1:25">
      <c r="A230" s="26" t="s">
        <v>919</v>
      </c>
      <c r="B230" s="27">
        <v>68581619</v>
      </c>
      <c r="C230" s="28" t="s">
        <v>937</v>
      </c>
      <c r="D230" s="29">
        <v>4</v>
      </c>
      <c r="H230" s="90" t="s">
        <v>634</v>
      </c>
      <c r="X230" s="38" t="s">
        <v>921</v>
      </c>
      <c r="Y230" s="91">
        <v>680487058178</v>
      </c>
    </row>
    <row r="231" spans="1:25">
      <c r="A231" s="26" t="s">
        <v>919</v>
      </c>
      <c r="B231" s="27">
        <v>68581626</v>
      </c>
      <c r="C231" s="28" t="s">
        <v>937</v>
      </c>
      <c r="D231" s="29">
        <v>4</v>
      </c>
      <c r="H231" s="90" t="s">
        <v>539</v>
      </c>
      <c r="X231" s="38" t="s">
        <v>921</v>
      </c>
      <c r="Y231" s="91">
        <v>680487058185</v>
      </c>
    </row>
    <row r="232" spans="1:25">
      <c r="A232" s="26" t="s">
        <v>919</v>
      </c>
      <c r="B232" s="27">
        <v>68581633</v>
      </c>
      <c r="C232" s="28" t="s">
        <v>937</v>
      </c>
      <c r="D232" s="29">
        <v>1</v>
      </c>
      <c r="H232" s="90" t="s">
        <v>460</v>
      </c>
      <c r="X232" s="38" t="s">
        <v>921</v>
      </c>
      <c r="Y232" s="91">
        <v>680487058239</v>
      </c>
    </row>
    <row r="233" spans="1:25">
      <c r="A233" s="26" t="s">
        <v>919</v>
      </c>
      <c r="B233" s="27">
        <v>68581640</v>
      </c>
      <c r="C233" s="28" t="s">
        <v>937</v>
      </c>
      <c r="D233" s="29">
        <v>1</v>
      </c>
      <c r="H233" s="90" t="s">
        <v>471</v>
      </c>
      <c r="X233" s="38" t="s">
        <v>921</v>
      </c>
      <c r="Y233" s="91">
        <v>680487058246</v>
      </c>
    </row>
    <row r="234" spans="1:25">
      <c r="A234" s="26" t="s">
        <v>919</v>
      </c>
      <c r="B234" s="27">
        <v>68581657</v>
      </c>
      <c r="C234" s="28" t="s">
        <v>937</v>
      </c>
      <c r="D234" s="29">
        <v>4</v>
      </c>
      <c r="H234" s="90" t="s">
        <v>635</v>
      </c>
      <c r="X234" s="38" t="s">
        <v>921</v>
      </c>
      <c r="Y234" s="91">
        <v>680487058277</v>
      </c>
    </row>
    <row r="235" spans="1:25">
      <c r="A235" s="26" t="s">
        <v>919</v>
      </c>
      <c r="B235" s="27">
        <v>68581664</v>
      </c>
      <c r="C235" s="28" t="s">
        <v>937</v>
      </c>
      <c r="D235" s="29">
        <v>3</v>
      </c>
      <c r="H235" s="90" t="s">
        <v>636</v>
      </c>
      <c r="X235" s="38" t="s">
        <v>921</v>
      </c>
      <c r="Y235" s="91">
        <v>680487058284</v>
      </c>
    </row>
    <row r="236" spans="1:25">
      <c r="A236" s="26" t="s">
        <v>919</v>
      </c>
      <c r="B236" s="27">
        <v>68581671</v>
      </c>
      <c r="C236" s="28" t="s">
        <v>937</v>
      </c>
      <c r="D236" s="29">
        <v>0</v>
      </c>
      <c r="H236" s="90" t="s">
        <v>637</v>
      </c>
      <c r="X236" s="38" t="s">
        <v>921</v>
      </c>
      <c r="Y236" s="91">
        <v>680487058352</v>
      </c>
    </row>
    <row r="237" spans="1:25">
      <c r="A237" s="26" t="s">
        <v>919</v>
      </c>
      <c r="B237" s="27">
        <v>68581688</v>
      </c>
      <c r="C237" s="28" t="s">
        <v>937</v>
      </c>
      <c r="D237" s="29">
        <v>0</v>
      </c>
      <c r="H237" s="90" t="s">
        <v>638</v>
      </c>
      <c r="X237" s="38" t="s">
        <v>921</v>
      </c>
      <c r="Y237" s="91">
        <v>680487058369</v>
      </c>
    </row>
    <row r="238" spans="1:25">
      <c r="A238" s="26" t="s">
        <v>919</v>
      </c>
      <c r="B238" s="27">
        <v>68581695</v>
      </c>
      <c r="C238" s="28" t="s">
        <v>937</v>
      </c>
      <c r="D238" s="29">
        <v>2</v>
      </c>
      <c r="H238" s="90" t="s">
        <v>639</v>
      </c>
      <c r="X238" s="38" t="s">
        <v>921</v>
      </c>
      <c r="Y238" s="91">
        <v>680487058390</v>
      </c>
    </row>
    <row r="239" spans="1:25">
      <c r="A239" s="26" t="s">
        <v>919</v>
      </c>
      <c r="B239" s="27">
        <v>68581701</v>
      </c>
      <c r="C239" s="28" t="s">
        <v>937</v>
      </c>
      <c r="D239" s="29">
        <v>0</v>
      </c>
      <c r="H239" s="90" t="s">
        <v>473</v>
      </c>
      <c r="X239" s="38" t="s">
        <v>921</v>
      </c>
      <c r="Y239" s="91">
        <v>680487058406</v>
      </c>
    </row>
    <row r="240" spans="1:25">
      <c r="A240" s="26" t="s">
        <v>919</v>
      </c>
      <c r="B240" s="27">
        <v>68581718</v>
      </c>
      <c r="C240" s="28" t="s">
        <v>937</v>
      </c>
      <c r="D240" s="29">
        <v>0</v>
      </c>
      <c r="H240" s="90" t="s">
        <v>462</v>
      </c>
      <c r="X240" s="38" t="s">
        <v>921</v>
      </c>
      <c r="Y240" s="91">
        <v>680487058437</v>
      </c>
    </row>
    <row r="241" spans="1:25">
      <c r="A241" s="26" t="s">
        <v>919</v>
      </c>
      <c r="B241" s="27">
        <v>68581725</v>
      </c>
      <c r="C241" s="28" t="s">
        <v>937</v>
      </c>
      <c r="D241" s="29">
        <v>0</v>
      </c>
      <c r="H241" s="90" t="s">
        <v>474</v>
      </c>
      <c r="X241" s="38" t="s">
        <v>921</v>
      </c>
      <c r="Y241" s="91">
        <v>680487058444</v>
      </c>
    </row>
    <row r="242" spans="1:25">
      <c r="A242" s="26" t="s">
        <v>919</v>
      </c>
      <c r="B242" s="27">
        <v>68581732</v>
      </c>
      <c r="C242" s="28" t="s">
        <v>937</v>
      </c>
      <c r="D242" s="29">
        <v>1</v>
      </c>
      <c r="H242" s="90" t="s">
        <v>463</v>
      </c>
      <c r="X242" s="38" t="s">
        <v>921</v>
      </c>
      <c r="Y242" s="91">
        <v>680487058451</v>
      </c>
    </row>
    <row r="243" spans="1:25">
      <c r="A243" s="26" t="s">
        <v>919</v>
      </c>
      <c r="B243" s="27">
        <v>68581749</v>
      </c>
      <c r="C243" s="28" t="s">
        <v>937</v>
      </c>
      <c r="D243" s="29">
        <v>0</v>
      </c>
      <c r="H243" s="90" t="s">
        <v>475</v>
      </c>
      <c r="X243" s="38" t="s">
        <v>921</v>
      </c>
      <c r="Y243" s="91">
        <v>680487058468</v>
      </c>
    </row>
    <row r="244" spans="1:25">
      <c r="A244" s="26" t="s">
        <v>919</v>
      </c>
      <c r="B244" s="27">
        <v>68581756</v>
      </c>
      <c r="C244" s="28" t="s">
        <v>937</v>
      </c>
      <c r="D244" s="29">
        <v>0</v>
      </c>
      <c r="H244" s="90" t="s">
        <v>640</v>
      </c>
      <c r="X244" s="38" t="s">
        <v>921</v>
      </c>
      <c r="Y244" s="91">
        <v>680487058475</v>
      </c>
    </row>
    <row r="245" spans="1:25">
      <c r="A245" s="26" t="s">
        <v>919</v>
      </c>
      <c r="B245" s="27">
        <v>68581763</v>
      </c>
      <c r="C245" s="28" t="s">
        <v>937</v>
      </c>
      <c r="D245" s="29">
        <v>0</v>
      </c>
      <c r="H245" s="90" t="s">
        <v>641</v>
      </c>
      <c r="X245" s="38" t="s">
        <v>921</v>
      </c>
      <c r="Y245" s="91">
        <v>680487058482</v>
      </c>
    </row>
    <row r="246" spans="1:25">
      <c r="A246" s="26" t="s">
        <v>919</v>
      </c>
      <c r="B246" s="27">
        <v>68581770</v>
      </c>
      <c r="C246" s="28" t="s">
        <v>937</v>
      </c>
      <c r="D246" s="29">
        <v>0</v>
      </c>
      <c r="H246" s="90" t="s">
        <v>464</v>
      </c>
      <c r="X246" s="38" t="s">
        <v>921</v>
      </c>
      <c r="Y246" s="91">
        <v>680487058499</v>
      </c>
    </row>
    <row r="247" spans="1:25">
      <c r="A247" s="26" t="s">
        <v>919</v>
      </c>
      <c r="B247" s="27">
        <v>68581787</v>
      </c>
      <c r="C247" s="28" t="s">
        <v>937</v>
      </c>
      <c r="D247" s="29">
        <v>0</v>
      </c>
      <c r="H247" s="90" t="s">
        <v>476</v>
      </c>
      <c r="X247" s="38" t="s">
        <v>921</v>
      </c>
      <c r="Y247" s="91">
        <v>680487058505</v>
      </c>
    </row>
    <row r="248" spans="1:25">
      <c r="A248" s="26" t="s">
        <v>919</v>
      </c>
      <c r="B248" s="27">
        <v>68581794</v>
      </c>
      <c r="C248" s="28" t="s">
        <v>937</v>
      </c>
      <c r="D248" s="29">
        <v>3</v>
      </c>
      <c r="H248" s="90" t="s">
        <v>642</v>
      </c>
      <c r="X248" s="38" t="s">
        <v>921</v>
      </c>
      <c r="Y248" s="91">
        <v>680487058512</v>
      </c>
    </row>
    <row r="249" spans="1:25">
      <c r="A249" s="26" t="s">
        <v>919</v>
      </c>
      <c r="B249" s="27">
        <v>68581800</v>
      </c>
      <c r="C249" s="28" t="s">
        <v>937</v>
      </c>
      <c r="D249" s="29">
        <v>1</v>
      </c>
      <c r="H249" s="90" t="s">
        <v>477</v>
      </c>
      <c r="X249" s="38" t="s">
        <v>921</v>
      </c>
      <c r="Y249" s="91">
        <v>680487058529</v>
      </c>
    </row>
    <row r="250" spans="1:25">
      <c r="A250" s="26" t="s">
        <v>919</v>
      </c>
      <c r="B250" s="27">
        <v>68581817</v>
      </c>
      <c r="C250" s="28" t="s">
        <v>937</v>
      </c>
      <c r="D250" s="29">
        <v>0</v>
      </c>
      <c r="H250" s="90" t="s">
        <v>465</v>
      </c>
      <c r="X250" s="38" t="s">
        <v>921</v>
      </c>
      <c r="Y250" s="91">
        <v>680487058550</v>
      </c>
    </row>
    <row r="251" spans="1:25">
      <c r="A251" s="26" t="s">
        <v>919</v>
      </c>
      <c r="B251" s="27">
        <v>68581824</v>
      </c>
      <c r="C251" s="28" t="s">
        <v>937</v>
      </c>
      <c r="D251" s="29">
        <v>0</v>
      </c>
      <c r="H251" s="90" t="s">
        <v>478</v>
      </c>
      <c r="X251" s="38" t="s">
        <v>921</v>
      </c>
      <c r="Y251" s="91">
        <v>680487058567</v>
      </c>
    </row>
    <row r="252" spans="1:25">
      <c r="A252" s="26" t="s">
        <v>919</v>
      </c>
      <c r="B252" s="27">
        <v>68581831</v>
      </c>
      <c r="C252" s="28" t="s">
        <v>937</v>
      </c>
      <c r="D252" s="29">
        <v>2</v>
      </c>
      <c r="H252" s="90" t="s">
        <v>466</v>
      </c>
      <c r="X252" s="38" t="s">
        <v>921</v>
      </c>
      <c r="Y252" s="91">
        <v>680487058574</v>
      </c>
    </row>
    <row r="253" spans="1:25">
      <c r="A253" s="26" t="s">
        <v>919</v>
      </c>
      <c r="B253" s="27">
        <v>68581848</v>
      </c>
      <c r="C253" s="28" t="s">
        <v>937</v>
      </c>
      <c r="D253" s="29">
        <v>1</v>
      </c>
      <c r="H253" s="90" t="s">
        <v>479</v>
      </c>
      <c r="X253" s="38" t="s">
        <v>921</v>
      </c>
      <c r="Y253" s="91">
        <v>680487058581</v>
      </c>
    </row>
    <row r="254" spans="1:25">
      <c r="A254" s="26" t="s">
        <v>919</v>
      </c>
      <c r="B254" s="27">
        <v>68601140</v>
      </c>
      <c r="C254" s="28" t="s">
        <v>937</v>
      </c>
      <c r="D254" s="29">
        <v>0</v>
      </c>
      <c r="H254" s="90" t="s">
        <v>212</v>
      </c>
      <c r="X254" s="38" t="s">
        <v>921</v>
      </c>
      <c r="Y254" s="91">
        <v>680031615062</v>
      </c>
    </row>
    <row r="255" spans="1:25">
      <c r="A255" s="26" t="s">
        <v>919</v>
      </c>
      <c r="B255" s="27">
        <v>68601157</v>
      </c>
      <c r="C255" s="28" t="s">
        <v>937</v>
      </c>
      <c r="D255" s="29">
        <v>0</v>
      </c>
      <c r="H255" s="90" t="s">
        <v>296</v>
      </c>
      <c r="X255" s="38" t="s">
        <v>921</v>
      </c>
      <c r="Y255" s="91">
        <v>680031615079</v>
      </c>
    </row>
    <row r="256" spans="1:25">
      <c r="A256" s="26" t="s">
        <v>919</v>
      </c>
      <c r="B256" s="27">
        <v>68601164</v>
      </c>
      <c r="C256" s="28" t="s">
        <v>937</v>
      </c>
      <c r="D256" s="29">
        <v>0</v>
      </c>
      <c r="H256" s="90" t="s">
        <v>155</v>
      </c>
      <c r="X256" s="38" t="s">
        <v>921</v>
      </c>
      <c r="Y256" s="91">
        <v>680031615048</v>
      </c>
    </row>
    <row r="257" spans="1:25">
      <c r="A257" s="26" t="s">
        <v>919</v>
      </c>
      <c r="B257" s="27">
        <v>68601171</v>
      </c>
      <c r="C257" s="28" t="s">
        <v>937</v>
      </c>
      <c r="D257" s="29">
        <v>0</v>
      </c>
      <c r="H257" s="90" t="s">
        <v>302</v>
      </c>
      <c r="X257" s="38" t="s">
        <v>921</v>
      </c>
      <c r="Y257" s="91">
        <v>680031615055</v>
      </c>
    </row>
    <row r="258" spans="1:25">
      <c r="A258" s="26" t="s">
        <v>919</v>
      </c>
      <c r="B258" s="27">
        <v>68601188</v>
      </c>
      <c r="C258" s="28" t="s">
        <v>937</v>
      </c>
      <c r="D258" s="29">
        <v>10</v>
      </c>
      <c r="H258" s="90" t="s">
        <v>238</v>
      </c>
      <c r="X258" s="38" t="s">
        <v>921</v>
      </c>
      <c r="Y258" s="91">
        <v>680031615086</v>
      </c>
    </row>
    <row r="259" spans="1:25">
      <c r="A259" s="26" t="s">
        <v>919</v>
      </c>
      <c r="B259" s="27">
        <v>68601195</v>
      </c>
      <c r="C259" s="28" t="s">
        <v>937</v>
      </c>
      <c r="D259" s="29">
        <v>6</v>
      </c>
      <c r="H259" s="90" t="s">
        <v>323</v>
      </c>
      <c r="X259" s="38" t="s">
        <v>921</v>
      </c>
      <c r="Y259" s="91">
        <v>680031615093</v>
      </c>
    </row>
    <row r="260" spans="1:25">
      <c r="A260" s="26" t="s">
        <v>919</v>
      </c>
      <c r="B260" s="27">
        <v>68601201</v>
      </c>
      <c r="C260" s="28" t="s">
        <v>937</v>
      </c>
      <c r="D260" s="29">
        <v>17</v>
      </c>
      <c r="H260" s="90" t="s">
        <v>271</v>
      </c>
      <c r="X260" s="38" t="s">
        <v>921</v>
      </c>
      <c r="Y260" s="91">
        <v>680031615123</v>
      </c>
    </row>
    <row r="261" spans="1:25">
      <c r="A261" s="26" t="s">
        <v>919</v>
      </c>
      <c r="B261" s="27">
        <v>68601218</v>
      </c>
      <c r="C261" s="28" t="s">
        <v>937</v>
      </c>
      <c r="D261" s="29">
        <v>20</v>
      </c>
      <c r="H261" s="90" t="s">
        <v>365</v>
      </c>
      <c r="X261" s="38" t="s">
        <v>921</v>
      </c>
      <c r="Y261" s="91">
        <v>680031615130</v>
      </c>
    </row>
    <row r="262" spans="1:25">
      <c r="A262" s="26" t="s">
        <v>919</v>
      </c>
      <c r="B262" s="27">
        <v>68601225</v>
      </c>
      <c r="C262" s="28" t="s">
        <v>937</v>
      </c>
      <c r="D262" s="29">
        <v>0</v>
      </c>
      <c r="H262" s="90" t="s">
        <v>280</v>
      </c>
      <c r="X262" s="38" t="s">
        <v>921</v>
      </c>
      <c r="Y262" s="91">
        <v>680487165746</v>
      </c>
    </row>
    <row r="263" spans="1:25">
      <c r="A263" s="26" t="s">
        <v>919</v>
      </c>
      <c r="B263" s="27">
        <v>68601232</v>
      </c>
      <c r="C263" s="28" t="s">
        <v>937</v>
      </c>
      <c r="D263" s="29">
        <v>0</v>
      </c>
      <c r="H263" s="90" t="s">
        <v>375</v>
      </c>
      <c r="X263" s="38" t="s">
        <v>921</v>
      </c>
      <c r="Y263" s="91">
        <v>680487165753</v>
      </c>
    </row>
    <row r="264" spans="1:25">
      <c r="A264" s="26" t="s">
        <v>919</v>
      </c>
      <c r="B264" s="27">
        <v>68601249</v>
      </c>
      <c r="C264" s="28" t="s">
        <v>937</v>
      </c>
      <c r="D264" s="29">
        <v>26</v>
      </c>
      <c r="H264" s="90" t="s">
        <v>293</v>
      </c>
      <c r="X264" s="38" t="s">
        <v>921</v>
      </c>
      <c r="Y264" s="91">
        <v>680034189881</v>
      </c>
    </row>
    <row r="265" spans="1:25">
      <c r="A265" s="26" t="s">
        <v>919</v>
      </c>
      <c r="B265" s="27">
        <v>68601256</v>
      </c>
      <c r="C265" s="28" t="s">
        <v>937</v>
      </c>
      <c r="D265" s="29">
        <v>4</v>
      </c>
      <c r="H265" s="90" t="s">
        <v>390</v>
      </c>
      <c r="X265" s="38" t="s">
        <v>921</v>
      </c>
      <c r="Y265" s="91">
        <v>680034189874</v>
      </c>
    </row>
    <row r="266" spans="1:25">
      <c r="A266" s="26" t="s">
        <v>919</v>
      </c>
      <c r="B266" s="27">
        <v>68601263</v>
      </c>
      <c r="C266" s="28" t="s">
        <v>937</v>
      </c>
      <c r="D266" s="29">
        <v>30</v>
      </c>
      <c r="H266" s="90" t="s">
        <v>249</v>
      </c>
      <c r="X266" s="38" t="s">
        <v>921</v>
      </c>
      <c r="Y266" s="91">
        <v>680031615208</v>
      </c>
    </row>
    <row r="267" spans="1:25">
      <c r="A267" s="26" t="s">
        <v>919</v>
      </c>
      <c r="B267" s="27">
        <v>68601270</v>
      </c>
      <c r="C267" s="28" t="s">
        <v>937</v>
      </c>
      <c r="D267" s="29">
        <v>27</v>
      </c>
      <c r="H267" s="90" t="s">
        <v>338</v>
      </c>
      <c r="X267" s="38" t="s">
        <v>921</v>
      </c>
      <c r="Y267" s="91">
        <v>680031615215</v>
      </c>
    </row>
    <row r="268" spans="1:25">
      <c r="A268" s="26" t="s">
        <v>919</v>
      </c>
      <c r="B268" s="27">
        <v>68601287</v>
      </c>
      <c r="C268" s="28" t="s">
        <v>937</v>
      </c>
      <c r="D268" s="29">
        <v>16</v>
      </c>
      <c r="H268" s="90" t="s">
        <v>252</v>
      </c>
      <c r="X268" s="38" t="s">
        <v>921</v>
      </c>
      <c r="Y268" s="91">
        <v>680031615260</v>
      </c>
    </row>
    <row r="269" spans="1:25">
      <c r="A269" s="26" t="s">
        <v>919</v>
      </c>
      <c r="B269" s="27">
        <v>68601294</v>
      </c>
      <c r="C269" s="28" t="s">
        <v>937</v>
      </c>
      <c r="D269" s="29">
        <v>13</v>
      </c>
      <c r="H269" s="90" t="s">
        <v>342</v>
      </c>
      <c r="X269" s="38" t="s">
        <v>921</v>
      </c>
      <c r="Y269" s="91">
        <v>680487043990</v>
      </c>
    </row>
    <row r="270" spans="1:25">
      <c r="A270" s="26" t="s">
        <v>919</v>
      </c>
      <c r="B270" s="27">
        <v>68601300</v>
      </c>
      <c r="C270" s="28" t="s">
        <v>937</v>
      </c>
      <c r="D270" s="29">
        <v>0</v>
      </c>
      <c r="H270" s="90" t="s">
        <v>247</v>
      </c>
      <c r="X270" s="38" t="s">
        <v>921</v>
      </c>
      <c r="Y270" s="91">
        <v>680031615284</v>
      </c>
    </row>
    <row r="271" spans="1:25">
      <c r="A271" s="26" t="s">
        <v>919</v>
      </c>
      <c r="B271" s="27">
        <v>68601317</v>
      </c>
      <c r="C271" s="28" t="s">
        <v>937</v>
      </c>
      <c r="D271" s="29">
        <v>0</v>
      </c>
      <c r="H271" s="90" t="s">
        <v>336</v>
      </c>
      <c r="X271" s="38" t="s">
        <v>921</v>
      </c>
      <c r="Y271" s="91">
        <v>680487135107</v>
      </c>
    </row>
    <row r="272" spans="1:25">
      <c r="A272" s="26" t="s">
        <v>919</v>
      </c>
      <c r="B272" s="27">
        <v>68601324</v>
      </c>
      <c r="C272" s="28" t="s">
        <v>937</v>
      </c>
      <c r="D272" s="29">
        <v>47</v>
      </c>
      <c r="H272" s="90" t="s">
        <v>242</v>
      </c>
      <c r="X272" s="38" t="s">
        <v>921</v>
      </c>
      <c r="Y272" s="91">
        <v>680487044041</v>
      </c>
    </row>
    <row r="273" spans="1:25">
      <c r="A273" s="26" t="s">
        <v>919</v>
      </c>
      <c r="B273" s="27">
        <v>68601331</v>
      </c>
      <c r="C273" s="28" t="s">
        <v>937</v>
      </c>
      <c r="D273" s="29">
        <v>11</v>
      </c>
      <c r="H273" s="90" t="s">
        <v>327</v>
      </c>
      <c r="X273" s="38" t="s">
        <v>921</v>
      </c>
      <c r="Y273" s="91">
        <v>680487045161</v>
      </c>
    </row>
    <row r="274" spans="1:25">
      <c r="A274" s="26" t="s">
        <v>919</v>
      </c>
      <c r="B274" s="27">
        <v>68601348</v>
      </c>
      <c r="C274" s="28" t="s">
        <v>937</v>
      </c>
      <c r="D274" s="29">
        <v>0</v>
      </c>
      <c r="H274" s="90" t="s">
        <v>217</v>
      </c>
      <c r="X274" s="38" t="s">
        <v>921</v>
      </c>
      <c r="Y274" s="91">
        <v>680031615369</v>
      </c>
    </row>
    <row r="275" spans="1:25">
      <c r="A275" s="26" t="s">
        <v>919</v>
      </c>
      <c r="B275" s="27">
        <v>68601355</v>
      </c>
      <c r="C275" s="28" t="s">
        <v>937</v>
      </c>
      <c r="D275" s="29">
        <v>0</v>
      </c>
      <c r="H275" s="90" t="s">
        <v>300</v>
      </c>
      <c r="X275" s="38" t="s">
        <v>921</v>
      </c>
      <c r="Y275" s="91">
        <v>680031615376</v>
      </c>
    </row>
    <row r="276" spans="1:25">
      <c r="A276" s="26" t="s">
        <v>919</v>
      </c>
      <c r="B276" s="27">
        <v>68601362</v>
      </c>
      <c r="C276" s="28" t="s">
        <v>937</v>
      </c>
      <c r="D276" s="29">
        <v>13</v>
      </c>
      <c r="H276" s="90" t="s">
        <v>291</v>
      </c>
      <c r="X276" s="38" t="s">
        <v>921</v>
      </c>
      <c r="Y276" s="91">
        <v>680031615406</v>
      </c>
    </row>
    <row r="277" spans="1:25">
      <c r="A277" s="26" t="s">
        <v>919</v>
      </c>
      <c r="B277" s="27">
        <v>68601379</v>
      </c>
      <c r="C277" s="28" t="s">
        <v>937</v>
      </c>
      <c r="D277" s="29">
        <v>22</v>
      </c>
      <c r="H277" s="90" t="s">
        <v>388</v>
      </c>
      <c r="X277" s="38" t="s">
        <v>921</v>
      </c>
      <c r="Y277" s="91">
        <v>680031615413</v>
      </c>
    </row>
    <row r="278" spans="1:25">
      <c r="A278" s="26" t="s">
        <v>919</v>
      </c>
      <c r="B278" s="27">
        <v>68601386</v>
      </c>
      <c r="C278" s="28" t="s">
        <v>937</v>
      </c>
      <c r="D278" s="29">
        <v>0</v>
      </c>
      <c r="H278" s="90" t="s">
        <v>273</v>
      </c>
      <c r="X278" s="38" t="s">
        <v>921</v>
      </c>
      <c r="Y278" s="91">
        <v>680487045192</v>
      </c>
    </row>
    <row r="279" spans="1:25">
      <c r="A279" s="26" t="s">
        <v>919</v>
      </c>
      <c r="B279" s="27">
        <v>68601393</v>
      </c>
      <c r="C279" s="28" t="s">
        <v>937</v>
      </c>
      <c r="D279" s="29">
        <v>0</v>
      </c>
      <c r="H279" s="90" t="s">
        <v>367</v>
      </c>
      <c r="X279" s="38" t="s">
        <v>921</v>
      </c>
      <c r="Y279" s="91">
        <v>680487045208</v>
      </c>
    </row>
    <row r="280" spans="1:25">
      <c r="A280" s="26" t="s">
        <v>919</v>
      </c>
      <c r="B280" s="27">
        <v>68601409</v>
      </c>
      <c r="C280" s="28" t="s">
        <v>937</v>
      </c>
      <c r="D280" s="29">
        <v>14</v>
      </c>
      <c r="H280" s="90" t="s">
        <v>260</v>
      </c>
      <c r="X280" s="38" t="s">
        <v>921</v>
      </c>
      <c r="Y280" s="91">
        <v>680031615420</v>
      </c>
    </row>
    <row r="281" spans="1:25">
      <c r="A281" s="26" t="s">
        <v>919</v>
      </c>
      <c r="B281" s="27">
        <v>68601416</v>
      </c>
      <c r="C281" s="28" t="s">
        <v>937</v>
      </c>
      <c r="D281" s="29">
        <v>8</v>
      </c>
      <c r="H281" s="90" t="s">
        <v>352</v>
      </c>
      <c r="X281" s="38" t="s">
        <v>921</v>
      </c>
      <c r="Y281" s="91">
        <v>680031615437</v>
      </c>
    </row>
    <row r="282" spans="1:25">
      <c r="A282" s="26" t="s">
        <v>919</v>
      </c>
      <c r="B282" s="27">
        <v>68601423</v>
      </c>
      <c r="C282" s="28" t="s">
        <v>937</v>
      </c>
      <c r="D282" s="29">
        <v>5</v>
      </c>
      <c r="H282" s="90" t="s">
        <v>276</v>
      </c>
      <c r="X282" s="38" t="s">
        <v>921</v>
      </c>
      <c r="Y282" s="91">
        <v>680034186606</v>
      </c>
    </row>
    <row r="283" spans="1:25">
      <c r="A283" s="26" t="s">
        <v>919</v>
      </c>
      <c r="B283" s="27">
        <v>68601430</v>
      </c>
      <c r="C283" s="28" t="s">
        <v>937</v>
      </c>
      <c r="D283" s="29">
        <v>0</v>
      </c>
      <c r="H283" s="90" t="s">
        <v>369</v>
      </c>
      <c r="X283" s="38" t="s">
        <v>921</v>
      </c>
      <c r="Y283" s="91">
        <v>680034186590</v>
      </c>
    </row>
    <row r="284" spans="1:25">
      <c r="A284" s="26" t="s">
        <v>919</v>
      </c>
      <c r="B284" s="27">
        <v>68601447</v>
      </c>
      <c r="C284" s="28" t="s">
        <v>937</v>
      </c>
      <c r="D284" s="29">
        <v>11</v>
      </c>
      <c r="H284" s="90" t="s">
        <v>255</v>
      </c>
      <c r="X284" s="38" t="s">
        <v>921</v>
      </c>
      <c r="Y284" s="91">
        <v>680031615505</v>
      </c>
    </row>
    <row r="285" spans="1:25">
      <c r="A285" s="26" t="s">
        <v>919</v>
      </c>
      <c r="B285" s="27">
        <v>68601454</v>
      </c>
      <c r="C285" s="28" t="s">
        <v>937</v>
      </c>
      <c r="D285" s="29">
        <v>21</v>
      </c>
      <c r="H285" s="90" t="s">
        <v>346</v>
      </c>
      <c r="X285" s="38" t="s">
        <v>921</v>
      </c>
      <c r="Y285" s="91">
        <v>680031615512</v>
      </c>
    </row>
    <row r="286" spans="1:25">
      <c r="A286" s="26" t="s">
        <v>919</v>
      </c>
      <c r="B286" s="27">
        <v>68601461</v>
      </c>
      <c r="C286" s="28" t="s">
        <v>937</v>
      </c>
      <c r="D286" s="29">
        <v>0</v>
      </c>
      <c r="H286" s="90" t="s">
        <v>643</v>
      </c>
      <c r="X286" s="38" t="s">
        <v>921</v>
      </c>
      <c r="Y286" s="91">
        <v>680031615543</v>
      </c>
    </row>
    <row r="287" spans="1:25">
      <c r="A287" s="26" t="s">
        <v>919</v>
      </c>
      <c r="B287" s="27">
        <v>68601478</v>
      </c>
      <c r="C287" s="28" t="s">
        <v>937</v>
      </c>
      <c r="D287" s="29">
        <v>1</v>
      </c>
      <c r="H287" s="90" t="s">
        <v>334</v>
      </c>
      <c r="X287" s="38" t="s">
        <v>921</v>
      </c>
      <c r="Y287" s="91">
        <v>680031615550</v>
      </c>
    </row>
    <row r="288" spans="1:25">
      <c r="A288" s="26" t="s">
        <v>919</v>
      </c>
      <c r="B288" s="27">
        <v>68601485</v>
      </c>
      <c r="C288" s="28" t="s">
        <v>937</v>
      </c>
      <c r="D288" s="29">
        <v>0</v>
      </c>
      <c r="H288" s="90" t="s">
        <v>230</v>
      </c>
      <c r="X288" s="38" t="s">
        <v>921</v>
      </c>
      <c r="Y288" s="91">
        <v>680487165937</v>
      </c>
    </row>
    <row r="289" spans="1:25">
      <c r="A289" s="26" t="s">
        <v>919</v>
      </c>
      <c r="B289" s="27">
        <v>68601492</v>
      </c>
      <c r="C289" s="28" t="s">
        <v>937</v>
      </c>
      <c r="D289" s="29">
        <v>0</v>
      </c>
      <c r="H289" s="90" t="s">
        <v>315</v>
      </c>
      <c r="X289" s="38" t="s">
        <v>921</v>
      </c>
      <c r="Y289" s="91">
        <v>680487165944</v>
      </c>
    </row>
    <row r="290" spans="1:25">
      <c r="A290" s="26" t="s">
        <v>919</v>
      </c>
      <c r="B290" s="27">
        <v>68601508</v>
      </c>
      <c r="C290" s="28" t="s">
        <v>937</v>
      </c>
      <c r="D290" s="29">
        <v>12</v>
      </c>
      <c r="H290" s="90" t="s">
        <v>225</v>
      </c>
      <c r="X290" s="38" t="s">
        <v>921</v>
      </c>
      <c r="Y290" s="91">
        <v>680487044249</v>
      </c>
    </row>
    <row r="291" spans="1:25">
      <c r="A291" s="26" t="s">
        <v>919</v>
      </c>
      <c r="B291" s="27">
        <v>68601515</v>
      </c>
      <c r="C291" s="28" t="s">
        <v>937</v>
      </c>
      <c r="D291" s="29">
        <v>14</v>
      </c>
      <c r="H291" s="90" t="s">
        <v>309</v>
      </c>
      <c r="X291" s="38" t="s">
        <v>921</v>
      </c>
      <c r="Y291" s="91">
        <v>680031615611</v>
      </c>
    </row>
    <row r="292" spans="1:25">
      <c r="A292" s="26" t="s">
        <v>919</v>
      </c>
      <c r="B292" s="27">
        <v>68601522</v>
      </c>
      <c r="C292" s="28" t="s">
        <v>937</v>
      </c>
      <c r="D292" s="29">
        <v>28</v>
      </c>
      <c r="H292" s="90" t="s">
        <v>213</v>
      </c>
      <c r="X292" s="38" t="s">
        <v>921</v>
      </c>
      <c r="Y292" s="91">
        <v>680031615628</v>
      </c>
    </row>
    <row r="293" spans="1:25">
      <c r="A293" s="26" t="s">
        <v>919</v>
      </c>
      <c r="B293" s="27">
        <v>68601539</v>
      </c>
      <c r="C293" s="28" t="s">
        <v>937</v>
      </c>
      <c r="D293" s="29">
        <v>55</v>
      </c>
      <c r="H293" s="90" t="s">
        <v>297</v>
      </c>
      <c r="X293" s="38" t="s">
        <v>921</v>
      </c>
      <c r="Y293" s="91">
        <v>680031615635</v>
      </c>
    </row>
    <row r="294" spans="1:25">
      <c r="A294" s="26" t="s">
        <v>919</v>
      </c>
      <c r="B294" s="27">
        <v>68601546</v>
      </c>
      <c r="C294" s="28" t="s">
        <v>937</v>
      </c>
      <c r="D294" s="29">
        <v>0</v>
      </c>
      <c r="H294" s="90" t="s">
        <v>235</v>
      </c>
      <c r="X294" s="38" t="s">
        <v>921</v>
      </c>
      <c r="Y294" s="91">
        <v>680034189423</v>
      </c>
    </row>
    <row r="295" spans="1:25">
      <c r="A295" s="26" t="s">
        <v>919</v>
      </c>
      <c r="B295" s="27">
        <v>68601553</v>
      </c>
      <c r="C295" s="28" t="s">
        <v>937</v>
      </c>
      <c r="D295" s="29">
        <v>0</v>
      </c>
      <c r="H295" s="90" t="s">
        <v>320</v>
      </c>
      <c r="X295" s="38" t="s">
        <v>921</v>
      </c>
      <c r="Y295" s="91">
        <v>680034189430</v>
      </c>
    </row>
    <row r="296" spans="1:25">
      <c r="A296" s="26" t="s">
        <v>919</v>
      </c>
      <c r="B296" s="27">
        <v>68601560</v>
      </c>
      <c r="C296" s="28" t="s">
        <v>937</v>
      </c>
      <c r="D296" s="29">
        <v>0</v>
      </c>
      <c r="H296" s="90" t="s">
        <v>266</v>
      </c>
      <c r="X296" s="38" t="s">
        <v>921</v>
      </c>
      <c r="Y296" s="91">
        <v>680031615741</v>
      </c>
    </row>
    <row r="297" spans="1:25">
      <c r="A297" s="26" t="s">
        <v>919</v>
      </c>
      <c r="B297" s="27">
        <v>68601577</v>
      </c>
      <c r="C297" s="28" t="s">
        <v>937</v>
      </c>
      <c r="D297" s="29">
        <v>0</v>
      </c>
      <c r="H297" s="90" t="s">
        <v>360</v>
      </c>
      <c r="X297" s="38" t="s">
        <v>921</v>
      </c>
      <c r="Y297" s="91">
        <v>680031615758</v>
      </c>
    </row>
    <row r="298" spans="1:25">
      <c r="A298" s="26" t="s">
        <v>919</v>
      </c>
      <c r="B298" s="27">
        <v>68601584</v>
      </c>
      <c r="C298" s="28" t="s">
        <v>937</v>
      </c>
      <c r="D298" s="29">
        <v>13</v>
      </c>
      <c r="H298" s="90" t="s">
        <v>262</v>
      </c>
      <c r="X298" s="38" t="s">
        <v>921</v>
      </c>
      <c r="Y298" s="91">
        <v>680487032932</v>
      </c>
    </row>
    <row r="299" spans="1:25">
      <c r="A299" s="26" t="s">
        <v>919</v>
      </c>
      <c r="B299" s="27">
        <v>68601591</v>
      </c>
      <c r="C299" s="28" t="s">
        <v>937</v>
      </c>
      <c r="D299" s="29">
        <v>10</v>
      </c>
      <c r="H299" s="90" t="s">
        <v>354</v>
      </c>
      <c r="X299" s="38" t="s">
        <v>921</v>
      </c>
      <c r="Y299" s="91">
        <v>680487032949</v>
      </c>
    </row>
    <row r="300" spans="1:25">
      <c r="A300" s="26" t="s">
        <v>919</v>
      </c>
      <c r="B300" s="27">
        <v>68601607</v>
      </c>
      <c r="C300" s="28" t="s">
        <v>937</v>
      </c>
      <c r="D300" s="29">
        <v>10</v>
      </c>
      <c r="H300" s="90" t="s">
        <v>258</v>
      </c>
      <c r="X300" s="38" t="s">
        <v>921</v>
      </c>
      <c r="Y300" s="91">
        <v>680487057898</v>
      </c>
    </row>
    <row r="301" spans="1:25">
      <c r="A301" s="26" t="s">
        <v>919</v>
      </c>
      <c r="B301" s="27">
        <v>68601614</v>
      </c>
      <c r="C301" s="28" t="s">
        <v>937</v>
      </c>
      <c r="D301" s="29">
        <v>8</v>
      </c>
      <c r="H301" s="90" t="s">
        <v>350</v>
      </c>
      <c r="X301" s="38" t="s">
        <v>921</v>
      </c>
      <c r="Y301" s="91">
        <v>680487057904</v>
      </c>
    </row>
    <row r="302" spans="1:25">
      <c r="A302" s="26" t="s">
        <v>919</v>
      </c>
      <c r="B302" s="27">
        <v>68601621</v>
      </c>
      <c r="C302" s="28" t="s">
        <v>937</v>
      </c>
      <c r="D302" s="29">
        <v>14</v>
      </c>
      <c r="H302" s="90" t="s">
        <v>279</v>
      </c>
      <c r="X302" s="38" t="s">
        <v>921</v>
      </c>
      <c r="Y302" s="91">
        <v>680031615789</v>
      </c>
    </row>
    <row r="303" spans="1:25">
      <c r="A303" s="26" t="s">
        <v>919</v>
      </c>
      <c r="B303" s="27">
        <v>68601638</v>
      </c>
      <c r="C303" s="28" t="s">
        <v>937</v>
      </c>
      <c r="D303" s="29">
        <v>5</v>
      </c>
      <c r="H303" s="90" t="s">
        <v>374</v>
      </c>
      <c r="X303" s="38" t="s">
        <v>921</v>
      </c>
      <c r="Y303" s="91">
        <v>680031615796</v>
      </c>
    </row>
    <row r="304" spans="1:25">
      <c r="A304" s="26" t="s">
        <v>919</v>
      </c>
      <c r="B304" s="27">
        <v>68601645</v>
      </c>
      <c r="C304" s="28" t="s">
        <v>937</v>
      </c>
      <c r="D304" s="29">
        <v>13</v>
      </c>
      <c r="H304" s="90" t="s">
        <v>268</v>
      </c>
      <c r="X304" s="38" t="s">
        <v>921</v>
      </c>
      <c r="Y304" s="91">
        <v>680031615826</v>
      </c>
    </row>
    <row r="305" spans="1:25">
      <c r="A305" s="26" t="s">
        <v>919</v>
      </c>
      <c r="B305" s="27">
        <v>68601652</v>
      </c>
      <c r="C305" s="28" t="s">
        <v>937</v>
      </c>
      <c r="D305" s="29">
        <v>12</v>
      </c>
      <c r="H305" s="90" t="s">
        <v>362</v>
      </c>
      <c r="X305" s="38" t="s">
        <v>921</v>
      </c>
      <c r="Y305" s="91">
        <v>680031615833</v>
      </c>
    </row>
    <row r="306" spans="1:25">
      <c r="A306" s="26" t="s">
        <v>919</v>
      </c>
      <c r="B306" s="27">
        <v>68601669</v>
      </c>
      <c r="C306" s="28" t="s">
        <v>937</v>
      </c>
      <c r="D306" s="29">
        <v>18</v>
      </c>
      <c r="H306" s="90" t="s">
        <v>277</v>
      </c>
      <c r="X306" s="38" t="s">
        <v>921</v>
      </c>
      <c r="Y306" s="91">
        <v>680031615666</v>
      </c>
    </row>
    <row r="307" spans="1:25">
      <c r="A307" s="26" t="s">
        <v>919</v>
      </c>
      <c r="B307" s="27">
        <v>68601676</v>
      </c>
      <c r="C307" s="28" t="s">
        <v>937</v>
      </c>
      <c r="D307" s="29">
        <v>17</v>
      </c>
      <c r="H307" s="90" t="s">
        <v>372</v>
      </c>
      <c r="X307" s="38" t="s">
        <v>921</v>
      </c>
      <c r="Y307" s="91">
        <v>680031615673</v>
      </c>
    </row>
    <row r="308" spans="1:25">
      <c r="A308" s="26" t="s">
        <v>919</v>
      </c>
      <c r="B308" s="27">
        <v>68601683</v>
      </c>
      <c r="C308" s="28" t="s">
        <v>937</v>
      </c>
      <c r="D308" s="29">
        <v>2</v>
      </c>
      <c r="H308" s="90" t="s">
        <v>246</v>
      </c>
      <c r="X308" s="38" t="s">
        <v>921</v>
      </c>
      <c r="Y308" s="91">
        <v>680031615864</v>
      </c>
    </row>
    <row r="309" spans="1:25">
      <c r="A309" s="26" t="s">
        <v>919</v>
      </c>
      <c r="B309" s="27">
        <v>68601690</v>
      </c>
      <c r="C309" s="28" t="s">
        <v>937</v>
      </c>
      <c r="D309" s="29">
        <v>2</v>
      </c>
      <c r="H309" s="90" t="s">
        <v>331</v>
      </c>
      <c r="X309" s="38" t="s">
        <v>921</v>
      </c>
      <c r="Y309" s="91">
        <v>680031615871</v>
      </c>
    </row>
    <row r="310" spans="1:25">
      <c r="A310" s="26" t="s">
        <v>919</v>
      </c>
      <c r="B310" s="27">
        <v>68601706</v>
      </c>
      <c r="C310" s="28" t="s">
        <v>937</v>
      </c>
      <c r="D310" s="29">
        <v>34</v>
      </c>
      <c r="H310" s="90" t="s">
        <v>288</v>
      </c>
      <c r="X310" s="38" t="s">
        <v>921</v>
      </c>
      <c r="Y310" s="91">
        <v>680031615925</v>
      </c>
    </row>
    <row r="311" spans="1:25">
      <c r="A311" s="26" t="s">
        <v>919</v>
      </c>
      <c r="B311" s="27">
        <v>68601713</v>
      </c>
      <c r="C311" s="28" t="s">
        <v>937</v>
      </c>
      <c r="D311" s="29">
        <v>27</v>
      </c>
      <c r="H311" s="90" t="s">
        <v>385</v>
      </c>
      <c r="X311" s="38" t="s">
        <v>921</v>
      </c>
      <c r="Y311" s="91">
        <v>680031615932</v>
      </c>
    </row>
    <row r="312" spans="1:25">
      <c r="A312" s="26" t="s">
        <v>919</v>
      </c>
      <c r="B312" s="27">
        <v>68601720</v>
      </c>
      <c r="C312" s="28" t="s">
        <v>937</v>
      </c>
      <c r="D312" s="29">
        <v>24</v>
      </c>
      <c r="H312" s="90" t="s">
        <v>263</v>
      </c>
      <c r="X312" s="38" t="s">
        <v>921</v>
      </c>
      <c r="Y312" s="91">
        <v>680487086089</v>
      </c>
    </row>
    <row r="313" spans="1:25">
      <c r="A313" s="26" t="s">
        <v>919</v>
      </c>
      <c r="B313" s="27">
        <v>68601737</v>
      </c>
      <c r="C313" s="28" t="s">
        <v>937</v>
      </c>
      <c r="D313" s="29">
        <v>12</v>
      </c>
      <c r="H313" s="90" t="s">
        <v>355</v>
      </c>
      <c r="X313" s="38" t="s">
        <v>921</v>
      </c>
      <c r="Y313" s="91">
        <v>680487086096</v>
      </c>
    </row>
    <row r="314" spans="1:25">
      <c r="A314" s="26" t="s">
        <v>919</v>
      </c>
      <c r="B314" s="27">
        <v>68601744</v>
      </c>
      <c r="C314" s="28" t="s">
        <v>937</v>
      </c>
      <c r="D314" s="29">
        <v>15</v>
      </c>
      <c r="H314" s="90" t="s">
        <v>218</v>
      </c>
      <c r="X314" s="38" t="s">
        <v>921</v>
      </c>
      <c r="Y314" s="91">
        <v>680031615963</v>
      </c>
    </row>
    <row r="315" spans="1:25">
      <c r="A315" s="26" t="s">
        <v>919</v>
      </c>
      <c r="B315" s="27">
        <v>68601751</v>
      </c>
      <c r="C315" s="28" t="s">
        <v>937</v>
      </c>
      <c r="D315" s="29">
        <v>21</v>
      </c>
      <c r="H315" s="90" t="s">
        <v>301</v>
      </c>
      <c r="X315" s="38" t="s">
        <v>921</v>
      </c>
      <c r="Y315" s="91">
        <v>680031615970</v>
      </c>
    </row>
    <row r="316" spans="1:25">
      <c r="A316" s="26" t="s">
        <v>919</v>
      </c>
      <c r="B316" s="27">
        <v>68601768</v>
      </c>
      <c r="C316" s="28" t="s">
        <v>937</v>
      </c>
      <c r="D316" s="29">
        <v>2</v>
      </c>
      <c r="H316" s="90" t="s">
        <v>361</v>
      </c>
      <c r="X316" s="38" t="s">
        <v>921</v>
      </c>
      <c r="Y316" s="91">
        <v>680487135220</v>
      </c>
    </row>
    <row r="317" spans="1:25">
      <c r="A317" s="26" t="s">
        <v>919</v>
      </c>
      <c r="B317" s="27">
        <v>68601775</v>
      </c>
      <c r="C317" s="28" t="s">
        <v>937</v>
      </c>
      <c r="D317" s="29">
        <v>4</v>
      </c>
      <c r="H317" s="90" t="s">
        <v>267</v>
      </c>
      <c r="X317" s="38" t="s">
        <v>921</v>
      </c>
      <c r="Y317" s="91">
        <v>680487045611</v>
      </c>
    </row>
    <row r="318" spans="1:25">
      <c r="A318" s="26" t="s">
        <v>919</v>
      </c>
      <c r="B318" s="27">
        <v>68601782</v>
      </c>
      <c r="C318" s="28" t="s">
        <v>937</v>
      </c>
      <c r="D318" s="29">
        <v>0</v>
      </c>
      <c r="H318" s="90" t="s">
        <v>646</v>
      </c>
      <c r="X318" s="38" t="s">
        <v>921</v>
      </c>
      <c r="Y318" s="91">
        <v>680034190092</v>
      </c>
    </row>
    <row r="319" spans="1:25">
      <c r="A319" s="26" t="s">
        <v>919</v>
      </c>
      <c r="B319" s="27">
        <v>68601799</v>
      </c>
      <c r="C319" s="28" t="s">
        <v>937</v>
      </c>
      <c r="D319" s="29">
        <v>2</v>
      </c>
      <c r="H319" s="90" t="s">
        <v>343</v>
      </c>
      <c r="X319" s="38" t="s">
        <v>921</v>
      </c>
      <c r="Y319" s="91">
        <v>680034190085</v>
      </c>
    </row>
    <row r="320" spans="1:25">
      <c r="A320" s="26" t="s">
        <v>919</v>
      </c>
      <c r="B320" s="27">
        <v>68601805</v>
      </c>
      <c r="C320" s="28" t="s">
        <v>937</v>
      </c>
      <c r="D320" s="29">
        <v>1</v>
      </c>
      <c r="H320" s="90" t="s">
        <v>257</v>
      </c>
      <c r="X320" s="38" t="s">
        <v>921</v>
      </c>
      <c r="Y320" s="91">
        <v>680487044621</v>
      </c>
    </row>
    <row r="321" spans="1:25">
      <c r="A321" s="26" t="s">
        <v>919</v>
      </c>
      <c r="B321" s="27">
        <v>68601812</v>
      </c>
      <c r="C321" s="28" t="s">
        <v>937</v>
      </c>
      <c r="D321" s="29">
        <v>1</v>
      </c>
      <c r="H321" s="90" t="s">
        <v>349</v>
      </c>
      <c r="X321" s="38" t="s">
        <v>921</v>
      </c>
      <c r="Y321" s="91">
        <v>680487044638</v>
      </c>
    </row>
    <row r="322" spans="1:25">
      <c r="A322" s="26" t="s">
        <v>919</v>
      </c>
      <c r="B322" s="27">
        <v>68601829</v>
      </c>
      <c r="C322" s="28" t="s">
        <v>937</v>
      </c>
      <c r="D322" s="29">
        <v>23</v>
      </c>
      <c r="H322" s="90" t="s">
        <v>233</v>
      </c>
      <c r="X322" s="38" t="s">
        <v>921</v>
      </c>
      <c r="Y322" s="91">
        <v>680031616083</v>
      </c>
    </row>
    <row r="323" spans="1:25">
      <c r="A323" s="26" t="s">
        <v>919</v>
      </c>
      <c r="B323" s="27">
        <v>68601836</v>
      </c>
      <c r="C323" s="28" t="s">
        <v>937</v>
      </c>
      <c r="D323" s="29">
        <v>16</v>
      </c>
      <c r="H323" s="90" t="s">
        <v>318</v>
      </c>
      <c r="X323" s="38" t="s">
        <v>921</v>
      </c>
      <c r="Y323" s="91">
        <v>680031616090</v>
      </c>
    </row>
    <row r="324" spans="1:25">
      <c r="A324" s="26" t="s">
        <v>919</v>
      </c>
      <c r="B324" s="27">
        <v>68601843</v>
      </c>
      <c r="C324" s="28" t="s">
        <v>937</v>
      </c>
      <c r="D324" s="29">
        <v>17</v>
      </c>
      <c r="H324" s="90" t="s">
        <v>226</v>
      </c>
      <c r="X324" s="38" t="s">
        <v>921</v>
      </c>
      <c r="Y324" s="91">
        <v>680031616168</v>
      </c>
    </row>
    <row r="325" spans="1:25">
      <c r="A325" s="26" t="s">
        <v>919</v>
      </c>
      <c r="B325" s="27">
        <v>68601850</v>
      </c>
      <c r="C325" s="28" t="s">
        <v>937</v>
      </c>
      <c r="D325" s="29">
        <v>28</v>
      </c>
      <c r="H325" s="90" t="s">
        <v>311</v>
      </c>
      <c r="X325" s="38" t="s">
        <v>921</v>
      </c>
      <c r="Y325" s="91">
        <v>680031616175</v>
      </c>
    </row>
    <row r="326" spans="1:25">
      <c r="A326" s="26" t="s">
        <v>919</v>
      </c>
      <c r="B326" s="27">
        <v>68601867</v>
      </c>
      <c r="C326" s="28" t="s">
        <v>937</v>
      </c>
      <c r="D326" s="29">
        <v>1</v>
      </c>
      <c r="H326" s="90" t="s">
        <v>228</v>
      </c>
      <c r="X326" s="38" t="s">
        <v>921</v>
      </c>
      <c r="Y326" s="91">
        <v>680034186620</v>
      </c>
    </row>
    <row r="327" spans="1:25">
      <c r="A327" s="26" t="s">
        <v>919</v>
      </c>
      <c r="B327" s="27">
        <v>68601874</v>
      </c>
      <c r="C327" s="28" t="s">
        <v>937</v>
      </c>
      <c r="D327" s="29">
        <v>1</v>
      </c>
      <c r="H327" s="90" t="s">
        <v>313</v>
      </c>
      <c r="X327" s="38" t="s">
        <v>921</v>
      </c>
      <c r="Y327" s="91">
        <v>680034186613</v>
      </c>
    </row>
    <row r="328" spans="1:25">
      <c r="A328" s="26" t="s">
        <v>919</v>
      </c>
      <c r="B328" s="27">
        <v>68601881</v>
      </c>
      <c r="C328" s="28" t="s">
        <v>937</v>
      </c>
      <c r="D328" s="29">
        <v>0</v>
      </c>
      <c r="H328" s="90" t="s">
        <v>290</v>
      </c>
      <c r="X328" s="38" t="s">
        <v>921</v>
      </c>
      <c r="Y328" s="91">
        <v>680487165913</v>
      </c>
    </row>
    <row r="329" spans="1:25">
      <c r="A329" s="26" t="s">
        <v>919</v>
      </c>
      <c r="B329" s="27">
        <v>68601898</v>
      </c>
      <c r="C329" s="28" t="s">
        <v>937</v>
      </c>
      <c r="D329" s="29">
        <v>0</v>
      </c>
      <c r="H329" s="90" t="s">
        <v>387</v>
      </c>
      <c r="X329" s="38" t="s">
        <v>921</v>
      </c>
      <c r="Y329" s="91">
        <v>680487167085</v>
      </c>
    </row>
    <row r="330" spans="1:25">
      <c r="A330" s="26" t="s">
        <v>919</v>
      </c>
      <c r="B330" s="27">
        <v>68601904</v>
      </c>
      <c r="C330" s="28" t="s">
        <v>937</v>
      </c>
      <c r="D330" s="29">
        <v>10</v>
      </c>
      <c r="H330" s="90" t="s">
        <v>220</v>
      </c>
      <c r="X330" s="38" t="s">
        <v>921</v>
      </c>
      <c r="Y330" s="91">
        <v>680034189300</v>
      </c>
    </row>
    <row r="331" spans="1:25">
      <c r="A331" s="26" t="s">
        <v>919</v>
      </c>
      <c r="B331" s="27">
        <v>68601911</v>
      </c>
      <c r="C331" s="28" t="s">
        <v>937</v>
      </c>
      <c r="D331" s="29">
        <v>8</v>
      </c>
      <c r="H331" s="90" t="s">
        <v>304</v>
      </c>
      <c r="X331" s="38" t="s">
        <v>921</v>
      </c>
      <c r="Y331" s="91">
        <v>680034189317</v>
      </c>
    </row>
    <row r="332" spans="1:25">
      <c r="A332" s="26" t="s">
        <v>919</v>
      </c>
      <c r="B332" s="27">
        <v>68601928</v>
      </c>
      <c r="C332" s="28" t="s">
        <v>937</v>
      </c>
      <c r="D332" s="29">
        <v>6</v>
      </c>
      <c r="H332" s="90" t="s">
        <v>219</v>
      </c>
      <c r="X332" s="38" t="s">
        <v>921</v>
      </c>
      <c r="Y332" s="91">
        <v>680034189386</v>
      </c>
    </row>
    <row r="333" spans="1:25">
      <c r="A333" s="26" t="s">
        <v>919</v>
      </c>
      <c r="B333" s="27">
        <v>68601935</v>
      </c>
      <c r="C333" s="28" t="s">
        <v>937</v>
      </c>
      <c r="D333" s="29">
        <v>11</v>
      </c>
      <c r="H333" s="90" t="s">
        <v>303</v>
      </c>
      <c r="X333" s="38" t="s">
        <v>921</v>
      </c>
      <c r="Y333" s="91">
        <v>680487045802</v>
      </c>
    </row>
    <row r="334" spans="1:25">
      <c r="A334" s="26" t="s">
        <v>919</v>
      </c>
      <c r="B334" s="27">
        <v>68601942</v>
      </c>
      <c r="C334" s="28" t="s">
        <v>937</v>
      </c>
      <c r="D334" s="29">
        <v>6</v>
      </c>
      <c r="H334" s="90" t="s">
        <v>215</v>
      </c>
      <c r="X334" s="38" t="s">
        <v>921</v>
      </c>
      <c r="Y334" s="91">
        <v>680031616328</v>
      </c>
    </row>
    <row r="335" spans="1:25">
      <c r="A335" s="26" t="s">
        <v>919</v>
      </c>
      <c r="B335" s="27">
        <v>68601959</v>
      </c>
      <c r="C335" s="28" t="s">
        <v>937</v>
      </c>
      <c r="D335" s="29">
        <v>1</v>
      </c>
      <c r="H335" s="90" t="s">
        <v>299</v>
      </c>
      <c r="X335" s="38" t="s">
        <v>921</v>
      </c>
      <c r="Y335" s="91">
        <v>680031616335</v>
      </c>
    </row>
    <row r="336" spans="1:25">
      <c r="A336" s="26" t="s">
        <v>919</v>
      </c>
      <c r="B336" s="27">
        <v>68601966</v>
      </c>
      <c r="C336" s="28" t="s">
        <v>937</v>
      </c>
      <c r="D336" s="29">
        <v>10</v>
      </c>
      <c r="H336" s="90" t="s">
        <v>264</v>
      </c>
      <c r="X336" s="38" t="s">
        <v>921</v>
      </c>
      <c r="Y336" s="91">
        <v>680031616366</v>
      </c>
    </row>
    <row r="337" spans="1:25">
      <c r="A337" s="26" t="s">
        <v>919</v>
      </c>
      <c r="B337" s="27">
        <v>68601973</v>
      </c>
      <c r="C337" s="28" t="s">
        <v>937</v>
      </c>
      <c r="D337" s="29">
        <v>16</v>
      </c>
      <c r="H337" s="90" t="s">
        <v>357</v>
      </c>
      <c r="X337" s="38" t="s">
        <v>921</v>
      </c>
      <c r="Y337" s="91">
        <v>680031616373</v>
      </c>
    </row>
    <row r="338" spans="1:25">
      <c r="A338" s="26" t="s">
        <v>919</v>
      </c>
      <c r="B338" s="27">
        <v>68601980</v>
      </c>
      <c r="C338" s="28" t="s">
        <v>937</v>
      </c>
      <c r="D338" s="29">
        <v>18</v>
      </c>
      <c r="H338" s="90" t="s">
        <v>254</v>
      </c>
      <c r="X338" s="38" t="s">
        <v>921</v>
      </c>
      <c r="Y338" s="91">
        <v>680034189089</v>
      </c>
    </row>
    <row r="339" spans="1:25">
      <c r="A339" s="26" t="s">
        <v>919</v>
      </c>
      <c r="B339" s="27">
        <v>68601997</v>
      </c>
      <c r="C339" s="28" t="s">
        <v>937</v>
      </c>
      <c r="D339" s="29">
        <v>14</v>
      </c>
      <c r="H339" s="90" t="s">
        <v>345</v>
      </c>
      <c r="X339" s="38" t="s">
        <v>921</v>
      </c>
      <c r="Y339" s="91">
        <v>680034189072</v>
      </c>
    </row>
    <row r="340" spans="1:25">
      <c r="A340" s="26" t="s">
        <v>919</v>
      </c>
      <c r="B340" s="27">
        <v>68602000</v>
      </c>
      <c r="C340" s="28" t="s">
        <v>937</v>
      </c>
      <c r="D340" s="29">
        <v>13</v>
      </c>
      <c r="H340" s="90" t="s">
        <v>240</v>
      </c>
      <c r="X340" s="38" t="s">
        <v>921</v>
      </c>
      <c r="Y340" s="91">
        <v>680031616380</v>
      </c>
    </row>
    <row r="341" spans="1:25">
      <c r="A341" s="26" t="s">
        <v>919</v>
      </c>
      <c r="B341" s="27">
        <v>68602017</v>
      </c>
      <c r="C341" s="28" t="s">
        <v>937</v>
      </c>
      <c r="D341" s="29">
        <v>15</v>
      </c>
      <c r="H341" s="90" t="s">
        <v>325</v>
      </c>
      <c r="X341" s="38" t="s">
        <v>921</v>
      </c>
      <c r="Y341" s="91">
        <v>680031616397</v>
      </c>
    </row>
    <row r="342" spans="1:25">
      <c r="A342" s="26" t="s">
        <v>919</v>
      </c>
      <c r="B342" t="s">
        <v>156</v>
      </c>
      <c r="C342" s="28" t="s">
        <v>937</v>
      </c>
      <c r="D342">
        <v>26</v>
      </c>
      <c r="H342" t="s">
        <v>156</v>
      </c>
      <c r="X342" s="38" t="s">
        <v>921</v>
      </c>
      <c r="Y342" t="s">
        <v>701</v>
      </c>
    </row>
    <row r="343" spans="1:25">
      <c r="A343" s="26" t="s">
        <v>919</v>
      </c>
      <c r="B343" t="s">
        <v>157</v>
      </c>
      <c r="C343" s="28" t="s">
        <v>937</v>
      </c>
      <c r="D343">
        <v>0</v>
      </c>
      <c r="H343" t="s">
        <v>157</v>
      </c>
      <c r="X343" s="38" t="s">
        <v>921</v>
      </c>
      <c r="Y343" t="s">
        <v>703</v>
      </c>
    </row>
    <row r="344" spans="1:25">
      <c r="A344" s="26" t="s">
        <v>919</v>
      </c>
      <c r="B344" t="s">
        <v>159</v>
      </c>
      <c r="C344" s="28" t="s">
        <v>937</v>
      </c>
      <c r="D344">
        <v>20</v>
      </c>
      <c r="H344" t="s">
        <v>159</v>
      </c>
      <c r="X344" s="38" t="s">
        <v>921</v>
      </c>
      <c r="Y344" t="s">
        <v>707</v>
      </c>
    </row>
    <row r="345" spans="1:25">
      <c r="A345" s="26" t="s">
        <v>919</v>
      </c>
      <c r="B345" t="s">
        <v>160</v>
      </c>
      <c r="C345" s="28" t="s">
        <v>937</v>
      </c>
      <c r="D345">
        <v>7</v>
      </c>
      <c r="H345" t="s">
        <v>160</v>
      </c>
      <c r="X345" s="38" t="s">
        <v>921</v>
      </c>
      <c r="Y345" t="s">
        <v>709</v>
      </c>
    </row>
    <row r="346" spans="1:25">
      <c r="A346" s="26" t="s">
        <v>919</v>
      </c>
      <c r="B346" t="s">
        <v>161</v>
      </c>
      <c r="C346" s="28" t="s">
        <v>937</v>
      </c>
      <c r="D346">
        <v>26</v>
      </c>
      <c r="H346" t="s">
        <v>161</v>
      </c>
      <c r="X346" s="38" t="s">
        <v>921</v>
      </c>
      <c r="Y346" t="s">
        <v>711</v>
      </c>
    </row>
    <row r="347" spans="1:25">
      <c r="A347" s="26" t="s">
        <v>919</v>
      </c>
      <c r="B347" t="s">
        <v>162</v>
      </c>
      <c r="C347" s="28" t="s">
        <v>937</v>
      </c>
      <c r="D347">
        <v>3</v>
      </c>
      <c r="H347" t="s">
        <v>162</v>
      </c>
      <c r="X347" s="38" t="s">
        <v>921</v>
      </c>
      <c r="Y347" t="s">
        <v>713</v>
      </c>
    </row>
    <row r="348" spans="1:25">
      <c r="A348" s="26" t="s">
        <v>919</v>
      </c>
      <c r="B348" t="s">
        <v>163</v>
      </c>
      <c r="C348" s="28" t="s">
        <v>937</v>
      </c>
      <c r="D348" s="52">
        <v>6</v>
      </c>
      <c r="E348" s="52"/>
      <c r="F348" s="52"/>
      <c r="G348" s="52"/>
      <c r="H348" t="s">
        <v>163</v>
      </c>
      <c r="X348" s="38" t="s">
        <v>921</v>
      </c>
      <c r="Y348" t="s">
        <v>719</v>
      </c>
    </row>
    <row r="349" spans="1:25">
      <c r="A349" s="26" t="s">
        <v>919</v>
      </c>
      <c r="B349" t="s">
        <v>164</v>
      </c>
      <c r="C349" s="28" t="s">
        <v>937</v>
      </c>
      <c r="D349" s="52">
        <v>3</v>
      </c>
      <c r="E349" s="52"/>
      <c r="F349" s="52"/>
      <c r="G349" s="52"/>
      <c r="H349" t="s">
        <v>164</v>
      </c>
      <c r="X349" s="38" t="s">
        <v>921</v>
      </c>
      <c r="Y349" t="s">
        <v>721</v>
      </c>
    </row>
    <row r="350" spans="1:25">
      <c r="A350" s="26" t="s">
        <v>919</v>
      </c>
      <c r="B350" t="s">
        <v>165</v>
      </c>
      <c r="C350" s="28" t="s">
        <v>937</v>
      </c>
      <c r="D350" s="52">
        <v>25</v>
      </c>
      <c r="E350" s="52"/>
      <c r="F350" s="52"/>
      <c r="G350" s="52"/>
      <c r="H350" t="s">
        <v>165</v>
      </c>
      <c r="X350" s="38" t="s">
        <v>921</v>
      </c>
      <c r="Y350" t="s">
        <v>723</v>
      </c>
    </row>
    <row r="351" spans="1:25">
      <c r="A351" s="26" t="s">
        <v>919</v>
      </c>
      <c r="B351" t="s">
        <v>166</v>
      </c>
      <c r="C351" s="28" t="s">
        <v>937</v>
      </c>
      <c r="D351" s="52">
        <v>0</v>
      </c>
      <c r="E351" s="52"/>
      <c r="F351" s="52"/>
      <c r="G351" s="52"/>
      <c r="H351" t="s">
        <v>166</v>
      </c>
      <c r="X351" s="38" t="s">
        <v>921</v>
      </c>
      <c r="Y351" t="s">
        <v>725</v>
      </c>
    </row>
    <row r="352" spans="1:25">
      <c r="A352" s="26" t="s">
        <v>919</v>
      </c>
      <c r="B352" t="s">
        <v>541</v>
      </c>
      <c r="C352" s="28" t="s">
        <v>937</v>
      </c>
      <c r="D352" s="52">
        <v>12</v>
      </c>
      <c r="E352" s="52"/>
      <c r="F352" s="52"/>
      <c r="G352" s="52"/>
      <c r="H352" t="s">
        <v>541</v>
      </c>
      <c r="X352" s="38" t="s">
        <v>921</v>
      </c>
      <c r="Y352" t="s">
        <v>727</v>
      </c>
    </row>
    <row r="353" spans="1:25">
      <c r="A353" s="26" t="s">
        <v>919</v>
      </c>
      <c r="B353" t="s">
        <v>167</v>
      </c>
      <c r="C353" s="28" t="s">
        <v>937</v>
      </c>
      <c r="D353" s="52">
        <v>20</v>
      </c>
      <c r="E353" s="52"/>
      <c r="F353" s="52"/>
      <c r="G353" s="52"/>
      <c r="H353" t="s">
        <v>167</v>
      </c>
      <c r="X353" s="38" t="s">
        <v>921</v>
      </c>
      <c r="Y353" t="s">
        <v>729</v>
      </c>
    </row>
    <row r="354" spans="1:25">
      <c r="A354" s="26" t="s">
        <v>919</v>
      </c>
      <c r="B354" t="s">
        <v>168</v>
      </c>
      <c r="C354" s="28" t="s">
        <v>937</v>
      </c>
      <c r="D354" s="52">
        <v>0</v>
      </c>
      <c r="E354" s="52"/>
      <c r="F354" s="52"/>
      <c r="G354" s="52"/>
      <c r="H354" t="s">
        <v>168</v>
      </c>
      <c r="X354" s="38" t="s">
        <v>921</v>
      </c>
      <c r="Y354" t="s">
        <v>731</v>
      </c>
    </row>
    <row r="355" spans="1:25">
      <c r="A355" s="26" t="s">
        <v>919</v>
      </c>
      <c r="B355" t="s">
        <v>169</v>
      </c>
      <c r="C355" s="28" t="s">
        <v>937</v>
      </c>
      <c r="D355" s="52">
        <v>8</v>
      </c>
      <c r="E355" s="52"/>
      <c r="F355" s="52"/>
      <c r="G355" s="52"/>
      <c r="H355" t="s">
        <v>169</v>
      </c>
      <c r="X355" s="38" t="s">
        <v>921</v>
      </c>
      <c r="Y355" t="s">
        <v>735</v>
      </c>
    </row>
    <row r="356" spans="1:25">
      <c r="A356" s="26" t="s">
        <v>919</v>
      </c>
      <c r="B356" t="s">
        <v>171</v>
      </c>
      <c r="C356" s="28" t="s">
        <v>937</v>
      </c>
      <c r="D356" s="52">
        <v>9</v>
      </c>
      <c r="E356" s="52"/>
      <c r="F356" s="52"/>
      <c r="G356" s="52"/>
      <c r="H356" t="s">
        <v>171</v>
      </c>
      <c r="X356" s="38" t="s">
        <v>921</v>
      </c>
      <c r="Y356" t="s">
        <v>741</v>
      </c>
    </row>
    <row r="357" spans="1:25">
      <c r="A357" s="26" t="s">
        <v>919</v>
      </c>
      <c r="B357" t="s">
        <v>172</v>
      </c>
      <c r="C357" s="28" t="s">
        <v>937</v>
      </c>
      <c r="D357" s="52">
        <v>0</v>
      </c>
      <c r="E357" s="52"/>
      <c r="F357" s="52"/>
      <c r="G357" s="52"/>
      <c r="H357" t="s">
        <v>172</v>
      </c>
      <c r="X357" s="38" t="s">
        <v>921</v>
      </c>
      <c r="Y357" t="s">
        <v>743</v>
      </c>
    </row>
    <row r="358" spans="1:25">
      <c r="A358" s="26" t="s">
        <v>919</v>
      </c>
      <c r="B358" t="s">
        <v>543</v>
      </c>
      <c r="C358" s="28" t="s">
        <v>937</v>
      </c>
      <c r="D358" s="52">
        <v>4</v>
      </c>
      <c r="E358" s="52"/>
      <c r="F358" s="52"/>
      <c r="G358" s="52"/>
      <c r="H358" t="s">
        <v>543</v>
      </c>
      <c r="X358" s="38" t="s">
        <v>921</v>
      </c>
      <c r="Y358" t="s">
        <v>747</v>
      </c>
    </row>
    <row r="359" spans="1:25">
      <c r="A359" s="26" t="s">
        <v>919</v>
      </c>
      <c r="B359" t="s">
        <v>175</v>
      </c>
      <c r="C359" s="28" t="s">
        <v>937</v>
      </c>
      <c r="D359" s="52">
        <v>5</v>
      </c>
      <c r="E359" s="52"/>
      <c r="F359" s="52"/>
      <c r="G359" s="52"/>
      <c r="H359" t="s">
        <v>175</v>
      </c>
      <c r="X359" s="38" t="s">
        <v>921</v>
      </c>
      <c r="Y359" t="s">
        <v>751</v>
      </c>
    </row>
    <row r="360" spans="1:25">
      <c r="A360" s="26" t="s">
        <v>919</v>
      </c>
      <c r="B360" t="s">
        <v>176</v>
      </c>
      <c r="C360" s="28" t="s">
        <v>937</v>
      </c>
      <c r="D360" s="52">
        <v>15</v>
      </c>
      <c r="E360" s="52"/>
      <c r="F360" s="52"/>
      <c r="G360" s="52"/>
      <c r="H360" t="s">
        <v>176</v>
      </c>
      <c r="X360" s="38" t="s">
        <v>921</v>
      </c>
      <c r="Y360" t="s">
        <v>753</v>
      </c>
    </row>
    <row r="361" spans="1:25">
      <c r="A361" s="26" t="s">
        <v>919</v>
      </c>
      <c r="B361" t="s">
        <v>177</v>
      </c>
      <c r="C361" s="28" t="s">
        <v>937</v>
      </c>
      <c r="D361" s="52">
        <v>0</v>
      </c>
      <c r="E361" s="52"/>
      <c r="F361" s="52"/>
      <c r="G361" s="52"/>
      <c r="H361" t="s">
        <v>177</v>
      </c>
      <c r="X361" s="38" t="s">
        <v>921</v>
      </c>
      <c r="Y361" t="s">
        <v>755</v>
      </c>
    </row>
    <row r="362" spans="1:25">
      <c r="A362" s="26" t="s">
        <v>919</v>
      </c>
      <c r="B362" t="s">
        <v>178</v>
      </c>
      <c r="C362" s="28" t="s">
        <v>937</v>
      </c>
      <c r="D362" s="52">
        <v>20</v>
      </c>
      <c r="E362" s="52"/>
      <c r="F362" s="52"/>
      <c r="G362" s="52"/>
      <c r="H362" t="s">
        <v>178</v>
      </c>
      <c r="X362" s="38" t="s">
        <v>921</v>
      </c>
      <c r="Y362" t="s">
        <v>757</v>
      </c>
    </row>
    <row r="363" spans="1:25">
      <c r="A363" s="26" t="s">
        <v>919</v>
      </c>
      <c r="B363" t="s">
        <v>179</v>
      </c>
      <c r="C363" s="28" t="s">
        <v>937</v>
      </c>
      <c r="D363" s="52">
        <v>5</v>
      </c>
      <c r="E363" s="52"/>
      <c r="F363" s="52"/>
      <c r="G363" s="52"/>
      <c r="H363" t="s">
        <v>179</v>
      </c>
      <c r="X363" s="38" t="s">
        <v>921</v>
      </c>
      <c r="Y363" t="s">
        <v>759</v>
      </c>
    </row>
    <row r="364" spans="1:25">
      <c r="A364" s="26" t="s">
        <v>919</v>
      </c>
      <c r="B364" t="s">
        <v>544</v>
      </c>
      <c r="C364" s="28" t="s">
        <v>937</v>
      </c>
      <c r="D364" s="52">
        <v>2</v>
      </c>
      <c r="E364" s="52"/>
      <c r="F364" s="52"/>
      <c r="G364" s="52"/>
      <c r="H364" t="s">
        <v>544</v>
      </c>
      <c r="X364" s="38" t="s">
        <v>921</v>
      </c>
      <c r="Y364" t="s">
        <v>763</v>
      </c>
    </row>
    <row r="365" spans="1:25">
      <c r="A365" s="26" t="s">
        <v>919</v>
      </c>
      <c r="B365" t="s">
        <v>550</v>
      </c>
      <c r="C365" s="28" t="s">
        <v>937</v>
      </c>
      <c r="D365" s="52">
        <v>0</v>
      </c>
      <c r="E365" s="52"/>
      <c r="F365" s="52"/>
      <c r="G365" s="52"/>
      <c r="H365" t="s">
        <v>550</v>
      </c>
      <c r="X365" s="38" t="s">
        <v>921</v>
      </c>
      <c r="Y365" t="s">
        <v>765</v>
      </c>
    </row>
    <row r="366" spans="1:25">
      <c r="A366" s="26" t="s">
        <v>919</v>
      </c>
      <c r="B366" t="s">
        <v>181</v>
      </c>
      <c r="C366" s="28" t="s">
        <v>937</v>
      </c>
      <c r="D366" s="52">
        <v>6</v>
      </c>
      <c r="E366" s="52"/>
      <c r="F366" s="52"/>
      <c r="G366" s="52"/>
      <c r="H366" t="s">
        <v>181</v>
      </c>
      <c r="X366" s="38" t="s">
        <v>921</v>
      </c>
      <c r="Y366" t="s">
        <v>769</v>
      </c>
    </row>
    <row r="367" spans="1:25">
      <c r="A367" s="26" t="s">
        <v>919</v>
      </c>
      <c r="B367" t="s">
        <v>182</v>
      </c>
      <c r="C367" s="28" t="s">
        <v>937</v>
      </c>
      <c r="D367" s="52">
        <v>5</v>
      </c>
      <c r="E367" s="52"/>
      <c r="F367" s="52"/>
      <c r="G367" s="52"/>
      <c r="H367" t="s">
        <v>182</v>
      </c>
      <c r="X367" s="38" t="s">
        <v>921</v>
      </c>
      <c r="Y367" t="s">
        <v>771</v>
      </c>
    </row>
    <row r="368" spans="1:25">
      <c r="A368" s="26" t="s">
        <v>919</v>
      </c>
      <c r="B368" t="s">
        <v>183</v>
      </c>
      <c r="C368" s="28" t="s">
        <v>937</v>
      </c>
      <c r="D368" s="52">
        <v>8</v>
      </c>
      <c r="E368" s="52"/>
      <c r="F368" s="52"/>
      <c r="G368" s="52"/>
      <c r="H368" t="s">
        <v>183</v>
      </c>
      <c r="X368" s="38" t="s">
        <v>921</v>
      </c>
      <c r="Y368" t="s">
        <v>773</v>
      </c>
    </row>
    <row r="369" spans="1:25">
      <c r="A369" s="26" t="s">
        <v>919</v>
      </c>
      <c r="B369" t="s">
        <v>184</v>
      </c>
      <c r="C369" s="28" t="s">
        <v>937</v>
      </c>
      <c r="D369" s="52">
        <v>20</v>
      </c>
      <c r="E369" s="52"/>
      <c r="F369" s="52"/>
      <c r="G369" s="52"/>
      <c r="H369" t="s">
        <v>184</v>
      </c>
      <c r="X369" s="38" t="s">
        <v>921</v>
      </c>
      <c r="Y369" t="s">
        <v>775</v>
      </c>
    </row>
    <row r="370" spans="1:25">
      <c r="A370" s="26" t="s">
        <v>919</v>
      </c>
      <c r="B370" t="s">
        <v>185</v>
      </c>
      <c r="C370" s="28" t="s">
        <v>937</v>
      </c>
      <c r="D370" s="52">
        <v>21</v>
      </c>
      <c r="E370" s="52"/>
      <c r="F370" s="52"/>
      <c r="G370" s="52"/>
      <c r="H370" t="s">
        <v>185</v>
      </c>
      <c r="X370" s="38" t="s">
        <v>921</v>
      </c>
      <c r="Y370" t="s">
        <v>779</v>
      </c>
    </row>
    <row r="371" spans="1:25">
      <c r="A371" s="26" t="s">
        <v>919</v>
      </c>
      <c r="B371" t="s">
        <v>186</v>
      </c>
      <c r="C371" s="28" t="s">
        <v>937</v>
      </c>
      <c r="D371" s="52">
        <v>9</v>
      </c>
      <c r="E371" s="52"/>
      <c r="F371" s="52"/>
      <c r="G371" s="52"/>
      <c r="H371" t="s">
        <v>186</v>
      </c>
      <c r="X371" s="38" t="s">
        <v>921</v>
      </c>
      <c r="Y371" t="s">
        <v>781</v>
      </c>
    </row>
    <row r="372" spans="1:25">
      <c r="A372" s="26" t="s">
        <v>919</v>
      </c>
      <c r="B372" t="s">
        <v>187</v>
      </c>
      <c r="C372" s="28" t="s">
        <v>937</v>
      </c>
      <c r="D372" s="52">
        <v>17</v>
      </c>
      <c r="E372" s="52"/>
      <c r="F372" s="52"/>
      <c r="G372" s="52"/>
      <c r="H372" t="s">
        <v>187</v>
      </c>
      <c r="X372" s="38" t="s">
        <v>921</v>
      </c>
      <c r="Y372" t="s">
        <v>783</v>
      </c>
    </row>
    <row r="373" spans="1:25">
      <c r="A373" s="26" t="s">
        <v>919</v>
      </c>
      <c r="B373" t="s">
        <v>188</v>
      </c>
      <c r="C373" s="28" t="s">
        <v>937</v>
      </c>
      <c r="D373" s="52">
        <v>2</v>
      </c>
      <c r="E373" s="52"/>
      <c r="F373" s="52"/>
      <c r="G373" s="52"/>
      <c r="H373" t="s">
        <v>188</v>
      </c>
      <c r="X373" s="38" t="s">
        <v>921</v>
      </c>
      <c r="Y373" t="s">
        <v>785</v>
      </c>
    </row>
    <row r="374" spans="1:25">
      <c r="A374" s="26" t="s">
        <v>919</v>
      </c>
      <c r="B374" t="s">
        <v>189</v>
      </c>
      <c r="C374" s="28" t="s">
        <v>937</v>
      </c>
      <c r="D374" s="52">
        <v>5</v>
      </c>
      <c r="E374" s="52"/>
      <c r="F374" s="52"/>
      <c r="G374" s="52"/>
      <c r="H374" t="s">
        <v>189</v>
      </c>
      <c r="X374" s="38" t="s">
        <v>921</v>
      </c>
      <c r="Y374" t="s">
        <v>787</v>
      </c>
    </row>
    <row r="375" spans="1:25">
      <c r="A375" s="26" t="s">
        <v>919</v>
      </c>
      <c r="B375" t="s">
        <v>190</v>
      </c>
      <c r="C375" s="28" t="s">
        <v>937</v>
      </c>
      <c r="D375" s="52">
        <v>35</v>
      </c>
      <c r="E375" s="52"/>
      <c r="F375" s="52"/>
      <c r="G375" s="52"/>
      <c r="H375" t="s">
        <v>190</v>
      </c>
      <c r="X375" s="38" t="s">
        <v>921</v>
      </c>
      <c r="Y375" t="s">
        <v>789</v>
      </c>
    </row>
    <row r="376" spans="1:25">
      <c r="A376" s="26" t="s">
        <v>919</v>
      </c>
      <c r="B376" t="s">
        <v>191</v>
      </c>
      <c r="C376" s="28" t="s">
        <v>937</v>
      </c>
      <c r="D376" s="52">
        <v>4</v>
      </c>
      <c r="E376" s="52"/>
      <c r="F376" s="52"/>
      <c r="G376" s="52"/>
      <c r="H376" t="s">
        <v>191</v>
      </c>
      <c r="X376" s="38" t="s">
        <v>921</v>
      </c>
      <c r="Y376" t="s">
        <v>791</v>
      </c>
    </row>
    <row r="377" spans="1:25">
      <c r="A377" s="26" t="s">
        <v>919</v>
      </c>
      <c r="B377" t="s">
        <v>194</v>
      </c>
      <c r="C377" s="28" t="s">
        <v>937</v>
      </c>
      <c r="D377" s="52">
        <v>4</v>
      </c>
      <c r="E377" s="52"/>
      <c r="F377" s="52"/>
      <c r="G377" s="52"/>
      <c r="H377" t="s">
        <v>194</v>
      </c>
      <c r="X377" s="38" t="s">
        <v>921</v>
      </c>
      <c r="Y377" t="s">
        <v>799</v>
      </c>
    </row>
    <row r="378" spans="1:25">
      <c r="A378" s="26" t="s">
        <v>919</v>
      </c>
      <c r="B378" t="s">
        <v>195</v>
      </c>
      <c r="C378" s="28" t="s">
        <v>937</v>
      </c>
      <c r="D378" s="52">
        <v>4</v>
      </c>
      <c r="E378" s="52"/>
      <c r="F378" s="52"/>
      <c r="G378" s="52"/>
      <c r="H378" t="s">
        <v>195</v>
      </c>
      <c r="X378" s="38" t="s">
        <v>921</v>
      </c>
      <c r="Y378" t="s">
        <v>801</v>
      </c>
    </row>
    <row r="379" spans="1:25">
      <c r="A379" s="26" t="s">
        <v>919</v>
      </c>
      <c r="B379" t="s">
        <v>196</v>
      </c>
      <c r="C379" s="28" t="s">
        <v>937</v>
      </c>
      <c r="D379" s="52">
        <v>11</v>
      </c>
      <c r="E379" s="52"/>
      <c r="F379" s="52"/>
      <c r="G379" s="52"/>
      <c r="H379" t="s">
        <v>196</v>
      </c>
      <c r="X379" s="38" t="s">
        <v>921</v>
      </c>
      <c r="Y379" t="s">
        <v>803</v>
      </c>
    </row>
    <row r="380" spans="1:25">
      <c r="A380" s="26" t="s">
        <v>919</v>
      </c>
      <c r="B380" t="s">
        <v>197</v>
      </c>
      <c r="C380" s="28" t="s">
        <v>937</v>
      </c>
      <c r="D380" s="52">
        <v>10</v>
      </c>
      <c r="E380" s="52"/>
      <c r="F380" s="52"/>
      <c r="G380" s="52"/>
      <c r="H380" t="s">
        <v>197</v>
      </c>
      <c r="X380" s="38" t="s">
        <v>921</v>
      </c>
      <c r="Y380" t="s">
        <v>805</v>
      </c>
    </row>
    <row r="381" spans="1:25">
      <c r="A381" s="26" t="s">
        <v>919</v>
      </c>
      <c r="B381" t="s">
        <v>198</v>
      </c>
      <c r="C381" s="28" t="s">
        <v>937</v>
      </c>
      <c r="D381" s="52">
        <v>14</v>
      </c>
      <c r="E381" s="52"/>
      <c r="F381" s="52"/>
      <c r="G381" s="52"/>
      <c r="H381" t="s">
        <v>198</v>
      </c>
      <c r="X381" s="38" t="s">
        <v>921</v>
      </c>
      <c r="Y381" t="s">
        <v>807</v>
      </c>
    </row>
    <row r="382" spans="1:25">
      <c r="A382" s="26" t="s">
        <v>919</v>
      </c>
      <c r="B382" t="s">
        <v>199</v>
      </c>
      <c r="C382" s="28" t="s">
        <v>937</v>
      </c>
      <c r="D382" s="52">
        <v>0</v>
      </c>
      <c r="E382" s="52"/>
      <c r="F382" s="52"/>
      <c r="G382" s="52"/>
      <c r="H382" t="s">
        <v>199</v>
      </c>
      <c r="X382" s="38" t="s">
        <v>921</v>
      </c>
      <c r="Y382" t="s">
        <v>811</v>
      </c>
    </row>
    <row r="383" spans="1:25">
      <c r="A383" s="26" t="s">
        <v>919</v>
      </c>
      <c r="B383" t="s">
        <v>200</v>
      </c>
      <c r="C383" s="28" t="s">
        <v>937</v>
      </c>
      <c r="D383" s="52">
        <v>4</v>
      </c>
      <c r="E383" s="52"/>
      <c r="F383" s="52"/>
      <c r="G383" s="52"/>
      <c r="H383" t="s">
        <v>200</v>
      </c>
      <c r="X383" s="38" t="s">
        <v>921</v>
      </c>
      <c r="Y383" t="s">
        <v>813</v>
      </c>
    </row>
    <row r="384" spans="1:25">
      <c r="A384" s="26" t="s">
        <v>919</v>
      </c>
      <c r="B384" t="s">
        <v>201</v>
      </c>
      <c r="C384" s="28" t="s">
        <v>937</v>
      </c>
      <c r="D384" s="52">
        <v>0</v>
      </c>
      <c r="E384" s="52"/>
      <c r="F384" s="52"/>
      <c r="G384" s="52"/>
      <c r="H384" t="s">
        <v>201</v>
      </c>
      <c r="X384" s="38" t="s">
        <v>921</v>
      </c>
      <c r="Y384" t="s">
        <v>815</v>
      </c>
    </row>
    <row r="385" spans="1:25">
      <c r="A385" s="26" t="s">
        <v>919</v>
      </c>
      <c r="B385" t="s">
        <v>202</v>
      </c>
      <c r="C385" s="28" t="s">
        <v>937</v>
      </c>
      <c r="D385" s="52">
        <v>23</v>
      </c>
      <c r="E385" s="52"/>
      <c r="F385" s="52"/>
      <c r="G385" s="52"/>
      <c r="H385" t="s">
        <v>202</v>
      </c>
      <c r="X385" s="38" t="s">
        <v>921</v>
      </c>
      <c r="Y385" t="s">
        <v>817</v>
      </c>
    </row>
    <row r="386" spans="1:25">
      <c r="A386" s="26" t="s">
        <v>919</v>
      </c>
      <c r="B386" t="s">
        <v>204</v>
      </c>
      <c r="C386" s="28" t="s">
        <v>937</v>
      </c>
      <c r="D386" s="52">
        <v>13</v>
      </c>
      <c r="E386" s="52"/>
      <c r="F386" s="52"/>
      <c r="G386" s="52"/>
      <c r="H386" t="s">
        <v>204</v>
      </c>
      <c r="X386" s="38" t="s">
        <v>921</v>
      </c>
      <c r="Y386" t="s">
        <v>823</v>
      </c>
    </row>
    <row r="387" spans="1:25">
      <c r="A387" s="26" t="s">
        <v>919</v>
      </c>
      <c r="B387" t="s">
        <v>205</v>
      </c>
      <c r="C387" s="28" t="s">
        <v>937</v>
      </c>
      <c r="D387" s="52">
        <v>10</v>
      </c>
      <c r="E387" s="52"/>
      <c r="F387" s="52"/>
      <c r="G387" s="52"/>
      <c r="H387" t="s">
        <v>205</v>
      </c>
      <c r="X387" s="38" t="s">
        <v>921</v>
      </c>
      <c r="Y387" t="s">
        <v>825</v>
      </c>
    </row>
    <row r="388" spans="1:25">
      <c r="A388" s="26" t="s">
        <v>919</v>
      </c>
      <c r="B388" t="s">
        <v>207</v>
      </c>
      <c r="C388" s="28" t="s">
        <v>937</v>
      </c>
      <c r="D388" s="52">
        <v>4</v>
      </c>
      <c r="E388" s="52"/>
      <c r="F388" s="52"/>
      <c r="G388" s="52"/>
      <c r="H388" t="s">
        <v>207</v>
      </c>
      <c r="X388" s="38" t="s">
        <v>921</v>
      </c>
      <c r="Y388" t="s">
        <v>829</v>
      </c>
    </row>
    <row r="389" spans="1:25">
      <c r="A389" s="26" t="s">
        <v>919</v>
      </c>
      <c r="B389" t="s">
        <v>555</v>
      </c>
      <c r="C389" s="28" t="s">
        <v>937</v>
      </c>
      <c r="D389" s="52">
        <v>1</v>
      </c>
      <c r="E389" s="52"/>
      <c r="F389" s="52"/>
      <c r="G389" s="52"/>
      <c r="H389" t="s">
        <v>555</v>
      </c>
      <c r="X389" s="38" t="s">
        <v>921</v>
      </c>
      <c r="Y389" t="s">
        <v>1299</v>
      </c>
    </row>
    <row r="390" spans="1:25">
      <c r="A390" s="26" t="s">
        <v>919</v>
      </c>
      <c r="B390" t="s">
        <v>556</v>
      </c>
      <c r="C390" s="28" t="s">
        <v>937</v>
      </c>
      <c r="D390" s="52">
        <v>9</v>
      </c>
      <c r="E390" s="52"/>
      <c r="F390" s="52"/>
      <c r="G390" s="52"/>
      <c r="H390" t="s">
        <v>556</v>
      </c>
      <c r="X390" s="38" t="s">
        <v>921</v>
      </c>
      <c r="Y390" t="s">
        <v>1300</v>
      </c>
    </row>
    <row r="391" spans="1:25">
      <c r="A391" s="26" t="s">
        <v>919</v>
      </c>
      <c r="B391" t="s">
        <v>680</v>
      </c>
      <c r="C391" s="28" t="s">
        <v>937</v>
      </c>
      <c r="D391" s="52">
        <v>4</v>
      </c>
      <c r="E391" s="52"/>
      <c r="F391" s="52"/>
      <c r="G391" s="52"/>
      <c r="H391" t="s">
        <v>680</v>
      </c>
      <c r="X391" s="38" t="s">
        <v>921</v>
      </c>
      <c r="Y391" t="s">
        <v>1301</v>
      </c>
    </row>
    <row r="392" spans="1:25">
      <c r="A392" s="26" t="s">
        <v>919</v>
      </c>
      <c r="B392" t="s">
        <v>557</v>
      </c>
      <c r="C392" s="28" t="s">
        <v>937</v>
      </c>
      <c r="D392" s="52">
        <v>17</v>
      </c>
      <c r="E392" s="52"/>
      <c r="F392" s="52"/>
      <c r="G392" s="52"/>
      <c r="H392" t="s">
        <v>557</v>
      </c>
      <c r="X392" s="38" t="s">
        <v>921</v>
      </c>
      <c r="Y392" t="s">
        <v>1302</v>
      </c>
    </row>
    <row r="393" spans="1:25">
      <c r="A393" s="26" t="s">
        <v>919</v>
      </c>
      <c r="B393" t="s">
        <v>664</v>
      </c>
      <c r="C393" s="28" t="s">
        <v>937</v>
      </c>
      <c r="D393" s="52">
        <v>56</v>
      </c>
      <c r="E393" s="52"/>
      <c r="F393" s="52"/>
      <c r="G393" s="52"/>
      <c r="H393" t="s">
        <v>664</v>
      </c>
      <c r="X393" s="38" t="s">
        <v>921</v>
      </c>
      <c r="Y393" t="s">
        <v>1303</v>
      </c>
    </row>
    <row r="394" spans="1:25">
      <c r="A394" s="26" t="s">
        <v>919</v>
      </c>
      <c r="B394" t="s">
        <v>558</v>
      </c>
      <c r="C394" s="28" t="s">
        <v>937</v>
      </c>
      <c r="D394" s="52">
        <v>3</v>
      </c>
      <c r="E394" s="52"/>
      <c r="F394" s="52"/>
      <c r="G394" s="52"/>
      <c r="H394" t="s">
        <v>558</v>
      </c>
      <c r="X394" s="38" t="s">
        <v>921</v>
      </c>
      <c r="Y394" t="s">
        <v>1304</v>
      </c>
    </row>
    <row r="395" spans="1:25">
      <c r="A395" s="26" t="s">
        <v>919</v>
      </c>
      <c r="B395" t="s">
        <v>559</v>
      </c>
      <c r="C395" s="28" t="s">
        <v>937</v>
      </c>
      <c r="D395" s="52">
        <v>5</v>
      </c>
      <c r="E395" s="52"/>
      <c r="F395" s="52"/>
      <c r="G395" s="52"/>
      <c r="H395" t="s">
        <v>559</v>
      </c>
      <c r="X395" s="38" t="s">
        <v>921</v>
      </c>
      <c r="Y395" t="s">
        <v>1305</v>
      </c>
    </row>
    <row r="396" spans="1:25">
      <c r="A396" s="26" t="s">
        <v>919</v>
      </c>
      <c r="B396" t="s">
        <v>560</v>
      </c>
      <c r="C396" s="28" t="s">
        <v>937</v>
      </c>
      <c r="D396" s="52">
        <v>1</v>
      </c>
      <c r="E396" s="52"/>
      <c r="F396" s="52"/>
      <c r="G396" s="52"/>
      <c r="H396" t="s">
        <v>560</v>
      </c>
      <c r="X396" s="38" t="s">
        <v>921</v>
      </c>
      <c r="Y396" t="s">
        <v>1306</v>
      </c>
    </row>
    <row r="397" spans="1:25">
      <c r="A397" s="26" t="s">
        <v>919</v>
      </c>
      <c r="B397" t="s">
        <v>561</v>
      </c>
      <c r="C397" s="28" t="s">
        <v>937</v>
      </c>
      <c r="D397" s="52">
        <v>4</v>
      </c>
      <c r="E397" s="52"/>
      <c r="F397" s="52"/>
      <c r="G397" s="52"/>
      <c r="H397" t="s">
        <v>561</v>
      </c>
      <c r="X397" s="38" t="s">
        <v>921</v>
      </c>
      <c r="Y397" t="s">
        <v>1307</v>
      </c>
    </row>
    <row r="398" spans="1:25">
      <c r="A398" s="26" t="s">
        <v>919</v>
      </c>
      <c r="B398" t="s">
        <v>562</v>
      </c>
      <c r="C398" s="28" t="s">
        <v>937</v>
      </c>
      <c r="D398" s="52">
        <v>4</v>
      </c>
      <c r="E398" s="52"/>
      <c r="F398" s="52"/>
      <c r="G398" s="52"/>
      <c r="H398" t="s">
        <v>562</v>
      </c>
      <c r="X398" s="38" t="s">
        <v>921</v>
      </c>
      <c r="Y398" t="s">
        <v>1308</v>
      </c>
    </row>
    <row r="399" spans="1:25">
      <c r="A399" s="26" t="s">
        <v>919</v>
      </c>
      <c r="B399" t="s">
        <v>563</v>
      </c>
      <c r="C399" s="28" t="s">
        <v>937</v>
      </c>
      <c r="D399" s="52">
        <v>15</v>
      </c>
      <c r="E399" s="52"/>
      <c r="F399" s="52"/>
      <c r="G399" s="52"/>
      <c r="H399" t="s">
        <v>563</v>
      </c>
      <c r="X399" s="38" t="s">
        <v>921</v>
      </c>
      <c r="Y399" t="s">
        <v>1309</v>
      </c>
    </row>
    <row r="400" spans="1:25">
      <c r="A400" s="26" t="s">
        <v>919</v>
      </c>
      <c r="B400" t="s">
        <v>564</v>
      </c>
      <c r="C400" s="28" t="s">
        <v>937</v>
      </c>
      <c r="D400" s="52">
        <v>5</v>
      </c>
      <c r="E400" s="52"/>
      <c r="F400" s="52"/>
      <c r="G400" s="52"/>
      <c r="H400" t="s">
        <v>564</v>
      </c>
      <c r="X400" s="38" t="s">
        <v>921</v>
      </c>
      <c r="Y400" t="s">
        <v>1310</v>
      </c>
    </row>
    <row r="401" spans="1:25">
      <c r="A401" s="26" t="s">
        <v>919</v>
      </c>
      <c r="B401" t="s">
        <v>665</v>
      </c>
      <c r="C401" s="28" t="s">
        <v>937</v>
      </c>
      <c r="D401" s="52">
        <v>36</v>
      </c>
      <c r="E401" s="52"/>
      <c r="F401" s="52"/>
      <c r="G401" s="52"/>
      <c r="H401" t="s">
        <v>665</v>
      </c>
      <c r="X401" s="38" t="s">
        <v>921</v>
      </c>
      <c r="Y401" t="s">
        <v>1311</v>
      </c>
    </row>
    <row r="402" spans="1:25">
      <c r="A402" s="26" t="s">
        <v>919</v>
      </c>
      <c r="B402" t="s">
        <v>565</v>
      </c>
      <c r="C402" s="28" t="s">
        <v>937</v>
      </c>
      <c r="D402" s="52">
        <v>4</v>
      </c>
      <c r="E402" s="52"/>
      <c r="F402" s="52"/>
      <c r="G402" s="52"/>
      <c r="H402" t="s">
        <v>565</v>
      </c>
      <c r="X402" s="38" t="s">
        <v>921</v>
      </c>
      <c r="Y402" t="s">
        <v>1312</v>
      </c>
    </row>
    <row r="403" spans="1:25">
      <c r="A403" s="26" t="s">
        <v>919</v>
      </c>
      <c r="B403" t="s">
        <v>566</v>
      </c>
      <c r="C403" s="28" t="s">
        <v>937</v>
      </c>
      <c r="D403" s="52">
        <v>4</v>
      </c>
      <c r="E403" s="52"/>
      <c r="F403" s="52"/>
      <c r="G403" s="52"/>
      <c r="H403" t="s">
        <v>566</v>
      </c>
      <c r="X403" s="38" t="s">
        <v>921</v>
      </c>
      <c r="Y403" t="s">
        <v>1313</v>
      </c>
    </row>
    <row r="404" spans="1:25">
      <c r="A404" s="26" t="s">
        <v>919</v>
      </c>
      <c r="B404" t="s">
        <v>567</v>
      </c>
      <c r="C404" s="28" t="s">
        <v>937</v>
      </c>
      <c r="D404" s="52">
        <v>4</v>
      </c>
      <c r="E404" s="52"/>
      <c r="F404" s="52"/>
      <c r="G404" s="52"/>
      <c r="H404" t="s">
        <v>567</v>
      </c>
      <c r="X404" s="38" t="s">
        <v>921</v>
      </c>
      <c r="Y404" t="s">
        <v>1314</v>
      </c>
    </row>
    <row r="405" spans="1:25">
      <c r="A405" s="26" t="s">
        <v>919</v>
      </c>
      <c r="B405" t="s">
        <v>568</v>
      </c>
      <c r="C405" s="28" t="s">
        <v>937</v>
      </c>
      <c r="D405" s="52">
        <v>4</v>
      </c>
      <c r="E405" s="52"/>
      <c r="F405" s="52"/>
      <c r="G405" s="52"/>
      <c r="H405" t="s">
        <v>568</v>
      </c>
      <c r="X405" s="38" t="s">
        <v>921</v>
      </c>
      <c r="Y405" t="s">
        <v>1315</v>
      </c>
    </row>
    <row r="406" spans="1:25">
      <c r="A406" s="26" t="s">
        <v>919</v>
      </c>
      <c r="B406" t="s">
        <v>666</v>
      </c>
      <c r="C406" s="28" t="s">
        <v>937</v>
      </c>
      <c r="D406" s="52">
        <v>51</v>
      </c>
      <c r="E406" s="52"/>
      <c r="F406" s="52"/>
      <c r="G406" s="52"/>
      <c r="H406" t="s">
        <v>666</v>
      </c>
      <c r="X406" s="38" t="s">
        <v>921</v>
      </c>
      <c r="Y406" t="s">
        <v>1316</v>
      </c>
    </row>
    <row r="407" spans="1:25">
      <c r="A407" s="26" t="s">
        <v>919</v>
      </c>
      <c r="B407" t="s">
        <v>569</v>
      </c>
      <c r="C407" s="28" t="s">
        <v>937</v>
      </c>
      <c r="D407" s="52">
        <v>8</v>
      </c>
      <c r="E407" s="52"/>
      <c r="F407" s="52"/>
      <c r="G407" s="52"/>
      <c r="H407" t="s">
        <v>569</v>
      </c>
      <c r="X407" s="38" t="s">
        <v>921</v>
      </c>
      <c r="Y407" t="s">
        <v>1317</v>
      </c>
    </row>
    <row r="408" spans="1:25">
      <c r="A408" s="26" t="s">
        <v>919</v>
      </c>
      <c r="B408" t="s">
        <v>570</v>
      </c>
      <c r="C408" s="28" t="s">
        <v>937</v>
      </c>
      <c r="D408" s="52">
        <v>7</v>
      </c>
      <c r="E408" s="52"/>
      <c r="F408" s="52"/>
      <c r="G408" s="52"/>
      <c r="H408" t="s">
        <v>570</v>
      </c>
      <c r="X408" s="38" t="s">
        <v>921</v>
      </c>
      <c r="Y408" t="s">
        <v>1318</v>
      </c>
    </row>
    <row r="409" spans="1:25">
      <c r="A409" s="26" t="s">
        <v>919</v>
      </c>
      <c r="B409" t="s">
        <v>571</v>
      </c>
      <c r="C409" s="28" t="s">
        <v>937</v>
      </c>
      <c r="D409" s="52">
        <v>11</v>
      </c>
      <c r="E409" s="52"/>
      <c r="F409" s="52"/>
      <c r="G409" s="52"/>
      <c r="H409" t="s">
        <v>571</v>
      </c>
      <c r="X409" s="38" t="s">
        <v>921</v>
      </c>
      <c r="Y409" t="s">
        <v>1319</v>
      </c>
    </row>
    <row r="410" spans="1:25">
      <c r="A410" s="26" t="s">
        <v>919</v>
      </c>
      <c r="B410" t="s">
        <v>681</v>
      </c>
      <c r="C410" s="28" t="s">
        <v>937</v>
      </c>
      <c r="D410" s="52">
        <v>3</v>
      </c>
      <c r="E410" s="52"/>
      <c r="F410" s="52"/>
      <c r="G410" s="52"/>
      <c r="H410" t="s">
        <v>681</v>
      </c>
      <c r="X410" s="38" t="s">
        <v>921</v>
      </c>
      <c r="Y410" t="s">
        <v>1320</v>
      </c>
    </row>
    <row r="411" spans="1:25">
      <c r="A411" s="26" t="s">
        <v>919</v>
      </c>
      <c r="B411" t="s">
        <v>572</v>
      </c>
      <c r="C411" s="28" t="s">
        <v>937</v>
      </c>
      <c r="D411" s="52">
        <v>4</v>
      </c>
      <c r="E411" s="52"/>
      <c r="F411" s="52"/>
      <c r="G411" s="52"/>
      <c r="H411" t="s">
        <v>572</v>
      </c>
      <c r="X411" s="38" t="s">
        <v>921</v>
      </c>
      <c r="Y411" t="s">
        <v>1321</v>
      </c>
    </row>
    <row r="412" spans="1:25">
      <c r="A412" s="26" t="s">
        <v>919</v>
      </c>
      <c r="B412" t="s">
        <v>573</v>
      </c>
      <c r="C412" s="28" t="s">
        <v>937</v>
      </c>
      <c r="D412" s="52">
        <v>0</v>
      </c>
      <c r="E412" s="52"/>
      <c r="F412" s="52"/>
      <c r="G412" s="52"/>
      <c r="H412" t="s">
        <v>573</v>
      </c>
      <c r="X412" s="38" t="s">
        <v>921</v>
      </c>
      <c r="Y412" t="s">
        <v>1322</v>
      </c>
    </row>
    <row r="413" spans="1:25">
      <c r="A413" s="26" t="s">
        <v>919</v>
      </c>
      <c r="B413" t="s">
        <v>574</v>
      </c>
      <c r="C413" s="28" t="s">
        <v>937</v>
      </c>
      <c r="D413" s="52">
        <v>23</v>
      </c>
      <c r="E413" s="52"/>
      <c r="F413" s="52"/>
      <c r="G413" s="52"/>
      <c r="H413" t="s">
        <v>574</v>
      </c>
      <c r="X413" s="38" t="s">
        <v>921</v>
      </c>
      <c r="Y413" t="s">
        <v>1323</v>
      </c>
    </row>
    <row r="414" spans="1:25">
      <c r="A414" s="26" t="s">
        <v>919</v>
      </c>
      <c r="B414" t="s">
        <v>575</v>
      </c>
      <c r="C414" s="28" t="s">
        <v>937</v>
      </c>
      <c r="D414" s="52">
        <v>17</v>
      </c>
      <c r="E414" s="52"/>
      <c r="F414" s="52"/>
      <c r="G414" s="52"/>
      <c r="H414" t="s">
        <v>575</v>
      </c>
      <c r="X414" s="38" t="s">
        <v>921</v>
      </c>
      <c r="Y414" t="s">
        <v>1324</v>
      </c>
    </row>
    <row r="415" spans="1:25">
      <c r="A415" s="26" t="s">
        <v>919</v>
      </c>
      <c r="B415" t="s">
        <v>576</v>
      </c>
      <c r="C415" s="28" t="s">
        <v>937</v>
      </c>
      <c r="D415" s="52">
        <v>4</v>
      </c>
      <c r="E415" s="52"/>
      <c r="F415" s="52"/>
      <c r="G415" s="52"/>
      <c r="H415" t="s">
        <v>576</v>
      </c>
      <c r="X415" s="38" t="s">
        <v>921</v>
      </c>
      <c r="Y415" t="s">
        <v>1325</v>
      </c>
    </row>
    <row r="416" spans="1:25">
      <c r="A416" s="26" t="s">
        <v>919</v>
      </c>
      <c r="B416" t="s">
        <v>577</v>
      </c>
      <c r="C416" s="28" t="s">
        <v>937</v>
      </c>
      <c r="D416" s="52">
        <v>4</v>
      </c>
      <c r="E416" s="52"/>
      <c r="F416" s="52"/>
      <c r="G416" s="52"/>
      <c r="H416" t="s">
        <v>577</v>
      </c>
      <c r="X416" s="38" t="s">
        <v>921</v>
      </c>
      <c r="Y416" t="s">
        <v>1326</v>
      </c>
    </row>
    <row r="417" spans="1:25">
      <c r="A417" s="26" t="s">
        <v>919</v>
      </c>
      <c r="B417" t="s">
        <v>578</v>
      </c>
      <c r="C417" s="28" t="s">
        <v>937</v>
      </c>
      <c r="D417" s="52">
        <v>1</v>
      </c>
      <c r="E417" s="52"/>
      <c r="F417" s="52"/>
      <c r="G417" s="52"/>
      <c r="H417" t="s">
        <v>578</v>
      </c>
      <c r="X417" s="38" t="s">
        <v>921</v>
      </c>
      <c r="Y417" t="s">
        <v>1327</v>
      </c>
    </row>
    <row r="418" spans="1:25">
      <c r="A418" s="26" t="s">
        <v>919</v>
      </c>
      <c r="B418" t="s">
        <v>667</v>
      </c>
      <c r="C418" s="28" t="s">
        <v>937</v>
      </c>
      <c r="D418" s="52">
        <v>16</v>
      </c>
      <c r="E418" s="52"/>
      <c r="F418" s="52"/>
      <c r="G418" s="52"/>
      <c r="H418" t="s">
        <v>667</v>
      </c>
      <c r="X418" s="38" t="s">
        <v>921</v>
      </c>
      <c r="Y418" t="s">
        <v>1328</v>
      </c>
    </row>
    <row r="419" spans="1:25">
      <c r="A419" s="26" t="s">
        <v>919</v>
      </c>
      <c r="B419" t="s">
        <v>1134</v>
      </c>
      <c r="C419" s="28" t="s">
        <v>937</v>
      </c>
      <c r="D419" s="52">
        <v>11</v>
      </c>
      <c r="E419" s="52"/>
      <c r="F419" s="52"/>
      <c r="G419" s="52"/>
      <c r="H419" t="s">
        <v>1134</v>
      </c>
      <c r="X419" s="38" t="s">
        <v>921</v>
      </c>
      <c r="Y419" t="s">
        <v>1329</v>
      </c>
    </row>
    <row r="420" spans="1:25">
      <c r="A420" s="26" t="s">
        <v>919</v>
      </c>
      <c r="B420" t="s">
        <v>1137</v>
      </c>
      <c r="C420" s="28" t="s">
        <v>937</v>
      </c>
      <c r="D420">
        <v>20</v>
      </c>
      <c r="H420" t="s">
        <v>1137</v>
      </c>
      <c r="X420" s="38" t="s">
        <v>921</v>
      </c>
      <c r="Y420" t="s">
        <v>1330</v>
      </c>
    </row>
    <row r="421" spans="1:25">
      <c r="A421" s="26" t="s">
        <v>919</v>
      </c>
      <c r="B421" t="s">
        <v>1139</v>
      </c>
      <c r="C421" s="28" t="s">
        <v>937</v>
      </c>
      <c r="D421">
        <v>9</v>
      </c>
      <c r="H421" t="s">
        <v>1139</v>
      </c>
      <c r="X421" s="38" t="s">
        <v>921</v>
      </c>
      <c r="Y421" t="s">
        <v>1331</v>
      </c>
    </row>
    <row r="422" spans="1:25">
      <c r="A422" s="26" t="s">
        <v>919</v>
      </c>
      <c r="B422" t="s">
        <v>1141</v>
      </c>
      <c r="C422" s="28" t="s">
        <v>937</v>
      </c>
      <c r="D422">
        <v>40</v>
      </c>
      <c r="H422" t="s">
        <v>1141</v>
      </c>
      <c r="X422" s="38" t="s">
        <v>921</v>
      </c>
      <c r="Y422" t="s">
        <v>1332</v>
      </c>
    </row>
    <row r="423" spans="1:25">
      <c r="A423" s="26" t="s">
        <v>919</v>
      </c>
      <c r="B423" t="s">
        <v>1143</v>
      </c>
      <c r="C423" s="28" t="s">
        <v>937</v>
      </c>
      <c r="D423">
        <v>6</v>
      </c>
      <c r="H423" t="s">
        <v>1143</v>
      </c>
      <c r="X423" s="38" t="s">
        <v>921</v>
      </c>
      <c r="Y423" t="s">
        <v>1333</v>
      </c>
    </row>
    <row r="424" spans="1:25">
      <c r="A424" s="26" t="s">
        <v>919</v>
      </c>
      <c r="B424" t="s">
        <v>1145</v>
      </c>
      <c r="C424" s="28" t="s">
        <v>937</v>
      </c>
      <c r="D424">
        <v>10</v>
      </c>
      <c r="H424" t="s">
        <v>1145</v>
      </c>
      <c r="X424" s="38" t="s">
        <v>921</v>
      </c>
      <c r="Y424" t="s">
        <v>1334</v>
      </c>
    </row>
    <row r="425" spans="1:25">
      <c r="A425" s="26" t="s">
        <v>919</v>
      </c>
      <c r="B425" t="s">
        <v>1147</v>
      </c>
      <c r="C425" s="28" t="s">
        <v>937</v>
      </c>
      <c r="D425">
        <v>7</v>
      </c>
      <c r="H425" t="s">
        <v>1147</v>
      </c>
      <c r="X425" s="38" t="s">
        <v>921</v>
      </c>
      <c r="Y425" t="s">
        <v>1335</v>
      </c>
    </row>
    <row r="426" spans="1:25">
      <c r="A426" s="26" t="s">
        <v>919</v>
      </c>
      <c r="B426" t="s">
        <v>1149</v>
      </c>
      <c r="C426" s="28" t="s">
        <v>937</v>
      </c>
      <c r="D426">
        <v>8</v>
      </c>
      <c r="H426" t="s">
        <v>1149</v>
      </c>
      <c r="X426" s="38" t="s">
        <v>921</v>
      </c>
      <c r="Y426" t="s">
        <v>1336</v>
      </c>
    </row>
    <row r="427" spans="1:25">
      <c r="A427" s="26" t="s">
        <v>919</v>
      </c>
      <c r="B427" t="s">
        <v>1151</v>
      </c>
      <c r="C427" s="28" t="s">
        <v>937</v>
      </c>
      <c r="D427">
        <v>126</v>
      </c>
      <c r="H427" t="s">
        <v>1151</v>
      </c>
      <c r="X427" s="38" t="s">
        <v>921</v>
      </c>
      <c r="Y427" t="s">
        <v>1337</v>
      </c>
    </row>
    <row r="428" spans="1:25">
      <c r="A428" s="26" t="s">
        <v>919</v>
      </c>
      <c r="B428" t="s">
        <v>1153</v>
      </c>
      <c r="C428" s="28" t="s">
        <v>937</v>
      </c>
      <c r="D428">
        <v>26</v>
      </c>
      <c r="H428" t="s">
        <v>1153</v>
      </c>
      <c r="X428" s="38" t="s">
        <v>921</v>
      </c>
      <c r="Y428" t="s">
        <v>1338</v>
      </c>
    </row>
    <row r="429" spans="1:25">
      <c r="A429" s="26" t="s">
        <v>919</v>
      </c>
      <c r="B429" t="s">
        <v>1155</v>
      </c>
      <c r="C429" s="28" t="s">
        <v>937</v>
      </c>
      <c r="D429">
        <v>1</v>
      </c>
      <c r="H429" t="s">
        <v>1155</v>
      </c>
      <c r="X429" s="38" t="s">
        <v>921</v>
      </c>
      <c r="Y429" t="s">
        <v>1339</v>
      </c>
    </row>
    <row r="430" spans="1:25">
      <c r="A430" s="26" t="s">
        <v>919</v>
      </c>
      <c r="B430" t="s">
        <v>1157</v>
      </c>
      <c r="C430" s="28" t="s">
        <v>937</v>
      </c>
      <c r="D430">
        <v>40</v>
      </c>
      <c r="H430" t="s">
        <v>1157</v>
      </c>
      <c r="X430" s="38" t="s">
        <v>921</v>
      </c>
      <c r="Y430" t="s">
        <v>1340</v>
      </c>
    </row>
    <row r="431" spans="1:25">
      <c r="A431" s="26" t="s">
        <v>919</v>
      </c>
      <c r="B431" t="s">
        <v>1159</v>
      </c>
      <c r="C431" s="28" t="s">
        <v>937</v>
      </c>
      <c r="D431">
        <v>6</v>
      </c>
      <c r="H431" t="s">
        <v>1159</v>
      </c>
      <c r="X431" s="38" t="s">
        <v>921</v>
      </c>
      <c r="Y431" t="s">
        <v>1341</v>
      </c>
    </row>
    <row r="432" spans="1:25">
      <c r="A432" s="26" t="s">
        <v>919</v>
      </c>
      <c r="B432" t="s">
        <v>1161</v>
      </c>
      <c r="C432" s="28" t="s">
        <v>937</v>
      </c>
      <c r="D432">
        <v>6</v>
      </c>
      <c r="H432" t="s">
        <v>1161</v>
      </c>
      <c r="X432" s="38" t="s">
        <v>921</v>
      </c>
      <c r="Y432" t="s">
        <v>1342</v>
      </c>
    </row>
    <row r="433" spans="1:25">
      <c r="A433" s="26" t="s">
        <v>919</v>
      </c>
      <c r="B433" t="s">
        <v>1163</v>
      </c>
      <c r="C433" s="28" t="s">
        <v>937</v>
      </c>
      <c r="D433">
        <v>4</v>
      </c>
      <c r="H433" t="s">
        <v>1163</v>
      </c>
      <c r="X433" s="38" t="s">
        <v>921</v>
      </c>
      <c r="Y433" t="s">
        <v>1343</v>
      </c>
    </row>
    <row r="434" spans="1:25">
      <c r="A434" s="26" t="s">
        <v>919</v>
      </c>
      <c r="B434" t="s">
        <v>1165</v>
      </c>
      <c r="C434" s="28" t="s">
        <v>937</v>
      </c>
      <c r="D434">
        <v>19</v>
      </c>
      <c r="H434" t="s">
        <v>1165</v>
      </c>
      <c r="X434" s="38" t="s">
        <v>921</v>
      </c>
      <c r="Y434" t="s">
        <v>1344</v>
      </c>
    </row>
    <row r="435" spans="1:25">
      <c r="A435" s="26" t="s">
        <v>919</v>
      </c>
      <c r="B435" t="s">
        <v>1167</v>
      </c>
      <c r="C435" s="28" t="s">
        <v>937</v>
      </c>
      <c r="D435">
        <v>0</v>
      </c>
      <c r="H435" t="s">
        <v>1167</v>
      </c>
      <c r="X435" s="38" t="s">
        <v>921</v>
      </c>
      <c r="Y435" t="s">
        <v>1345</v>
      </c>
    </row>
    <row r="436" spans="1:25">
      <c r="A436" s="26" t="s">
        <v>919</v>
      </c>
      <c r="B436" t="s">
        <v>1169</v>
      </c>
      <c r="C436" s="28" t="s">
        <v>937</v>
      </c>
      <c r="D436">
        <v>9</v>
      </c>
      <c r="H436" t="s">
        <v>1169</v>
      </c>
      <c r="X436" s="38" t="s">
        <v>921</v>
      </c>
      <c r="Y436" t="s">
        <v>1346</v>
      </c>
    </row>
    <row r="437" spans="1:25">
      <c r="A437" s="26" t="s">
        <v>919</v>
      </c>
      <c r="B437" t="s">
        <v>1171</v>
      </c>
      <c r="C437" s="28" t="s">
        <v>937</v>
      </c>
      <c r="D437">
        <v>10</v>
      </c>
      <c r="H437" t="s">
        <v>1171</v>
      </c>
      <c r="X437" s="38" t="s">
        <v>921</v>
      </c>
      <c r="Y437" t="s">
        <v>1347</v>
      </c>
    </row>
    <row r="438" spans="1:25">
      <c r="A438" s="26" t="s">
        <v>919</v>
      </c>
      <c r="B438" t="s">
        <v>1173</v>
      </c>
      <c r="C438" s="28" t="s">
        <v>937</v>
      </c>
      <c r="D438">
        <v>21</v>
      </c>
      <c r="H438" t="s">
        <v>1173</v>
      </c>
      <c r="X438" s="38" t="s">
        <v>921</v>
      </c>
      <c r="Y438" t="s">
        <v>1348</v>
      </c>
    </row>
    <row r="439" spans="1:25">
      <c r="A439" s="26" t="s">
        <v>919</v>
      </c>
      <c r="B439" t="s">
        <v>1175</v>
      </c>
      <c r="C439" s="28" t="s">
        <v>937</v>
      </c>
      <c r="D439">
        <v>24</v>
      </c>
      <c r="H439" t="s">
        <v>1175</v>
      </c>
      <c r="X439" s="38" t="s">
        <v>921</v>
      </c>
      <c r="Y439" t="s">
        <v>1349</v>
      </c>
    </row>
    <row r="440" spans="1:25">
      <c r="A440" s="26" t="s">
        <v>919</v>
      </c>
      <c r="B440" t="s">
        <v>1177</v>
      </c>
      <c r="C440" s="28" t="s">
        <v>937</v>
      </c>
      <c r="D440">
        <v>39</v>
      </c>
      <c r="H440" t="s">
        <v>1177</v>
      </c>
      <c r="X440" s="38" t="s">
        <v>921</v>
      </c>
      <c r="Y440" t="s">
        <v>1350</v>
      </c>
    </row>
    <row r="441" spans="1:25">
      <c r="A441" s="26" t="s">
        <v>919</v>
      </c>
      <c r="B441" t="s">
        <v>1179</v>
      </c>
      <c r="C441" s="28" t="s">
        <v>937</v>
      </c>
      <c r="D441">
        <v>59</v>
      </c>
      <c r="H441" t="s">
        <v>1179</v>
      </c>
      <c r="X441" s="38" t="s">
        <v>921</v>
      </c>
      <c r="Y441" t="s">
        <v>1351</v>
      </c>
    </row>
    <row r="442" spans="1:25">
      <c r="A442" s="26" t="s">
        <v>919</v>
      </c>
      <c r="B442" t="s">
        <v>1181</v>
      </c>
      <c r="C442" s="28" t="s">
        <v>937</v>
      </c>
      <c r="D442">
        <v>12</v>
      </c>
      <c r="H442" t="s">
        <v>1181</v>
      </c>
      <c r="X442" s="38" t="s">
        <v>921</v>
      </c>
      <c r="Y442" t="s">
        <v>1352</v>
      </c>
    </row>
    <row r="443" spans="1:25">
      <c r="A443" s="26" t="s">
        <v>919</v>
      </c>
      <c r="B443" t="s">
        <v>1183</v>
      </c>
      <c r="C443" s="28" t="s">
        <v>937</v>
      </c>
      <c r="D443">
        <v>53</v>
      </c>
      <c r="H443" t="s">
        <v>1183</v>
      </c>
      <c r="X443" s="38" t="s">
        <v>921</v>
      </c>
      <c r="Y443" t="s">
        <v>1353</v>
      </c>
    </row>
    <row r="444" spans="1:25">
      <c r="A444" s="26" t="s">
        <v>919</v>
      </c>
      <c r="B444" t="s">
        <v>1185</v>
      </c>
      <c r="C444" s="28" t="s">
        <v>937</v>
      </c>
      <c r="D444">
        <v>115</v>
      </c>
      <c r="H444" t="s">
        <v>1185</v>
      </c>
      <c r="X444" s="38" t="s">
        <v>921</v>
      </c>
      <c r="Y444" t="s">
        <v>1354</v>
      </c>
    </row>
    <row r="445" spans="1:25">
      <c r="A445" s="26" t="s">
        <v>919</v>
      </c>
      <c r="B445" t="s">
        <v>1187</v>
      </c>
      <c r="C445" s="28" t="s">
        <v>937</v>
      </c>
      <c r="D445">
        <v>27</v>
      </c>
      <c r="H445" t="s">
        <v>1187</v>
      </c>
      <c r="X445" s="38" t="s">
        <v>921</v>
      </c>
      <c r="Y445" t="s">
        <v>1355</v>
      </c>
    </row>
    <row r="446" spans="1:25">
      <c r="A446" s="26" t="s">
        <v>919</v>
      </c>
      <c r="B446" t="s">
        <v>1189</v>
      </c>
      <c r="C446" s="28" t="s">
        <v>937</v>
      </c>
      <c r="D446">
        <v>8</v>
      </c>
      <c r="H446" t="s">
        <v>1189</v>
      </c>
      <c r="X446" s="38" t="s">
        <v>921</v>
      </c>
      <c r="Y446" t="s">
        <v>1356</v>
      </c>
    </row>
    <row r="447" spans="1:25">
      <c r="A447" s="26" t="s">
        <v>919</v>
      </c>
      <c r="B447" t="s">
        <v>1191</v>
      </c>
      <c r="C447" s="28" t="s">
        <v>937</v>
      </c>
      <c r="D447">
        <v>25</v>
      </c>
      <c r="H447" t="s">
        <v>1191</v>
      </c>
      <c r="X447" s="38" t="s">
        <v>921</v>
      </c>
      <c r="Y447" t="s">
        <v>1357</v>
      </c>
    </row>
    <row r="448" spans="1:25">
      <c r="A448" s="26" t="s">
        <v>919</v>
      </c>
      <c r="B448" t="s">
        <v>1193</v>
      </c>
      <c r="C448" s="28" t="s">
        <v>937</v>
      </c>
      <c r="D448">
        <v>12</v>
      </c>
      <c r="H448" t="s">
        <v>1193</v>
      </c>
      <c r="X448" s="38" t="s">
        <v>921</v>
      </c>
      <c r="Y448" t="s">
        <v>1358</v>
      </c>
    </row>
    <row r="449" spans="1:25">
      <c r="A449" s="26" t="s">
        <v>919</v>
      </c>
      <c r="B449" t="s">
        <v>1195</v>
      </c>
      <c r="C449" s="28" t="s">
        <v>937</v>
      </c>
      <c r="D449">
        <v>10</v>
      </c>
      <c r="H449" t="s">
        <v>1195</v>
      </c>
      <c r="X449" s="38" t="s">
        <v>921</v>
      </c>
      <c r="Y449" t="s">
        <v>1359</v>
      </c>
    </row>
    <row r="450" spans="1:25">
      <c r="A450" s="26" t="s">
        <v>919</v>
      </c>
      <c r="B450" t="s">
        <v>1197</v>
      </c>
      <c r="C450" s="28" t="s">
        <v>937</v>
      </c>
      <c r="D450">
        <v>0</v>
      </c>
      <c r="H450" t="s">
        <v>1197</v>
      </c>
      <c r="X450" s="38" t="s">
        <v>921</v>
      </c>
      <c r="Y450" t="s">
        <v>1360</v>
      </c>
    </row>
    <row r="451" spans="1:25">
      <c r="A451" s="26" t="s">
        <v>919</v>
      </c>
      <c r="B451" t="s">
        <v>1265</v>
      </c>
      <c r="C451" s="28" t="s">
        <v>937</v>
      </c>
      <c r="D451">
        <v>0</v>
      </c>
      <c r="H451" t="s">
        <v>1265</v>
      </c>
      <c r="X451" s="38" t="s">
        <v>921</v>
      </c>
      <c r="Y451" t="s">
        <v>1361</v>
      </c>
    </row>
    <row r="452" spans="1:25">
      <c r="A452" s="26" t="s">
        <v>919</v>
      </c>
      <c r="B452" t="s">
        <v>1266</v>
      </c>
      <c r="C452" s="28" t="s">
        <v>937</v>
      </c>
      <c r="D452">
        <v>11</v>
      </c>
      <c r="H452" t="s">
        <v>1266</v>
      </c>
      <c r="X452" s="38" t="s">
        <v>921</v>
      </c>
      <c r="Y452" t="s">
        <v>1362</v>
      </c>
    </row>
    <row r="453" spans="1:25">
      <c r="A453" s="26" t="s">
        <v>919</v>
      </c>
      <c r="B453" t="s">
        <v>1267</v>
      </c>
      <c r="C453" s="28" t="s">
        <v>937</v>
      </c>
      <c r="D453">
        <v>19</v>
      </c>
      <c r="H453" t="s">
        <v>1267</v>
      </c>
      <c r="X453" s="38" t="s">
        <v>921</v>
      </c>
      <c r="Y453" t="s">
        <v>1363</v>
      </c>
    </row>
    <row r="454" spans="1:25">
      <c r="A454" s="26" t="s">
        <v>919</v>
      </c>
      <c r="B454" t="s">
        <v>1268</v>
      </c>
      <c r="C454" s="28" t="s">
        <v>937</v>
      </c>
      <c r="D454">
        <v>7</v>
      </c>
      <c r="H454" t="s">
        <v>1268</v>
      </c>
      <c r="X454" s="38" t="s">
        <v>921</v>
      </c>
      <c r="Y454" t="s">
        <v>1364</v>
      </c>
    </row>
    <row r="455" spans="1:25">
      <c r="A455" s="26" t="s">
        <v>919</v>
      </c>
      <c r="B455" t="s">
        <v>1269</v>
      </c>
      <c r="C455" s="28" t="s">
        <v>937</v>
      </c>
      <c r="D455">
        <v>24</v>
      </c>
      <c r="H455" t="s">
        <v>1269</v>
      </c>
      <c r="X455" s="38" t="s">
        <v>921</v>
      </c>
      <c r="Y455" t="s">
        <v>1365</v>
      </c>
    </row>
    <row r="456" spans="1:25">
      <c r="A456" s="26" t="s">
        <v>919</v>
      </c>
      <c r="B456" t="s">
        <v>1270</v>
      </c>
      <c r="C456" s="28" t="s">
        <v>937</v>
      </c>
      <c r="D456">
        <v>1</v>
      </c>
      <c r="H456" t="s">
        <v>1270</v>
      </c>
      <c r="X456" s="38" t="s">
        <v>921</v>
      </c>
      <c r="Y456" t="s">
        <v>1366</v>
      </c>
    </row>
    <row r="457" spans="1:25">
      <c r="A457" s="26" t="s">
        <v>919</v>
      </c>
      <c r="B457" t="s">
        <v>1271</v>
      </c>
      <c r="C457" s="28" t="s">
        <v>937</v>
      </c>
      <c r="D457">
        <v>3</v>
      </c>
      <c r="H457" t="s">
        <v>1271</v>
      </c>
      <c r="X457" s="38" t="s">
        <v>921</v>
      </c>
      <c r="Y457" t="s">
        <v>1367</v>
      </c>
    </row>
    <row r="458" spans="1:25">
      <c r="A458" s="26" t="s">
        <v>919</v>
      </c>
      <c r="B458" t="s">
        <v>1272</v>
      </c>
      <c r="C458" s="28" t="s">
        <v>937</v>
      </c>
      <c r="D458">
        <v>70</v>
      </c>
      <c r="H458" t="s">
        <v>1272</v>
      </c>
      <c r="X458" s="38" t="s">
        <v>921</v>
      </c>
      <c r="Y458" t="s">
        <v>1368</v>
      </c>
    </row>
    <row r="459" spans="1:25">
      <c r="A459" s="26" t="s">
        <v>919</v>
      </c>
      <c r="B459" t="s">
        <v>1273</v>
      </c>
      <c r="C459" s="28" t="s">
        <v>937</v>
      </c>
      <c r="D459">
        <v>0</v>
      </c>
      <c r="H459" t="s">
        <v>1273</v>
      </c>
      <c r="X459" s="38" t="s">
        <v>921</v>
      </c>
      <c r="Y459" t="s">
        <v>1369</v>
      </c>
    </row>
  </sheetData>
  <dataValidations count="1">
    <dataValidation allowBlank="1" showInputMessage="1" showErrorMessage="1" promptTitle="Vendor SKU" prompt="This is a unique identifier defined by you the supplier for your product." sqref="Y342:Y343" xr:uid="{00000000-0002-0000-0500-000000000000}"/>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AS290"/>
  <sheetViews>
    <sheetView workbookViewId="0">
      <selection activeCell="A3" sqref="A3:XFD5"/>
    </sheetView>
  </sheetViews>
  <sheetFormatPr baseColWidth="10" defaultColWidth="11" defaultRowHeight="16"/>
  <cols>
    <col min="1" max="1" width="13.1640625" style="84" customWidth="1"/>
    <col min="2" max="2" width="14.33203125" style="65" customWidth="1"/>
    <col min="3" max="3" width="10.5" style="66" customWidth="1"/>
    <col min="4" max="4" width="9.6640625" style="65" customWidth="1"/>
    <col min="5" max="5" width="12.5" style="65" customWidth="1"/>
    <col min="6" max="6" width="19.83203125" style="66" customWidth="1"/>
    <col min="7" max="7" width="12.5" style="66" customWidth="1"/>
    <col min="8" max="8" width="12.5" style="65" customWidth="1"/>
    <col min="9" max="9" width="11" style="66" customWidth="1"/>
    <col min="10" max="10" width="14.5" style="68" customWidth="1"/>
    <col min="11" max="11" width="11" style="69" customWidth="1"/>
    <col min="12" max="12" width="8.83203125" style="69" customWidth="1"/>
    <col min="13" max="13" width="9.5" style="69" customWidth="1"/>
    <col min="14" max="14" width="16.5" style="66" customWidth="1"/>
    <col min="15" max="15" width="20.33203125" style="66" bestFit="1" customWidth="1"/>
    <col min="16" max="16" width="25.33203125" style="66" bestFit="1" customWidth="1"/>
    <col min="17" max="17" width="23.33203125" style="66" bestFit="1" customWidth="1"/>
    <col min="18" max="18" width="18.1640625" style="66" bestFit="1" customWidth="1"/>
    <col min="19" max="19" width="18.6640625" style="66" bestFit="1" customWidth="1"/>
    <col min="20" max="20" width="16.83203125" style="66" bestFit="1" customWidth="1"/>
    <col min="21" max="21" width="10.5" style="70" customWidth="1"/>
    <col min="22" max="22" width="12.83203125" style="81" customWidth="1"/>
    <col min="23" max="23" width="14.5" style="65" customWidth="1"/>
    <col min="24" max="24" width="13.83203125" style="70" customWidth="1"/>
    <col min="25" max="25" width="17.5" style="65" customWidth="1"/>
    <col min="26" max="26" width="16.33203125" style="66" customWidth="1"/>
    <col min="27" max="27" width="20.5" style="66" customWidth="1"/>
    <col min="28" max="28" width="29.1640625" style="66" bestFit="1" customWidth="1"/>
    <col min="29" max="29" width="29.33203125" style="66" bestFit="1" customWidth="1"/>
    <col min="30" max="30" width="14.5" style="66" bestFit="1" customWidth="1"/>
    <col min="31" max="31" width="16.5" style="66" bestFit="1" customWidth="1"/>
    <col min="32" max="32" width="29.1640625" style="66" bestFit="1" customWidth="1"/>
    <col min="33" max="33" width="30.5" style="66" bestFit="1" customWidth="1"/>
    <col min="34" max="34" width="14.5" style="66" bestFit="1" customWidth="1"/>
    <col min="35" max="35" width="16.5" style="66" bestFit="1" customWidth="1"/>
    <col min="36" max="36" width="29.1640625" style="66" bestFit="1" customWidth="1"/>
    <col min="37" max="37" width="30.5" style="66" bestFit="1" customWidth="1"/>
    <col min="38" max="38" width="14.5" style="66" bestFit="1" customWidth="1"/>
    <col min="39" max="39" width="16.5" style="66" bestFit="1" customWidth="1"/>
    <col min="40" max="40" width="29.1640625" style="66" bestFit="1" customWidth="1"/>
    <col min="41" max="41" width="29.33203125" style="66" bestFit="1" customWidth="1"/>
    <col min="42" max="42" width="14.5" style="66" bestFit="1" customWidth="1"/>
    <col min="43" max="43" width="16.5" style="66" bestFit="1" customWidth="1"/>
    <col min="44" max="44" width="29.1640625" style="66" bestFit="1" customWidth="1"/>
    <col min="45" max="45" width="29.33203125" style="66" bestFit="1" customWidth="1"/>
    <col min="46" max="256" width="8.83203125" customWidth="1"/>
    <col min="257" max="257" width="13.1640625" customWidth="1"/>
    <col min="258" max="258" width="14.33203125" customWidth="1"/>
    <col min="259" max="259" width="10.5" customWidth="1"/>
    <col min="260" max="260" width="9.6640625" customWidth="1"/>
    <col min="261" max="261" width="12.5" customWidth="1"/>
    <col min="262" max="262" width="19.83203125" customWidth="1"/>
    <col min="263" max="264" width="12.5" customWidth="1"/>
    <col min="265" max="265" width="11" customWidth="1"/>
    <col min="266" max="266" width="14.5" customWidth="1"/>
    <col min="267" max="267" width="11" customWidth="1"/>
    <col min="268" max="268" width="8.83203125" customWidth="1"/>
    <col min="269" max="269" width="9.5" customWidth="1"/>
    <col min="270" max="270" width="16.5" customWidth="1"/>
    <col min="271" max="271" width="20.33203125" bestFit="1" customWidth="1"/>
    <col min="272" max="272" width="25.33203125" bestFit="1" customWidth="1"/>
    <col min="273" max="273" width="23.33203125" bestFit="1" customWidth="1"/>
    <col min="274" max="274" width="18.1640625" bestFit="1" customWidth="1"/>
    <col min="275" max="275" width="18.6640625" bestFit="1" customWidth="1"/>
    <col min="276" max="276" width="16.83203125" bestFit="1" customWidth="1"/>
    <col min="277" max="277" width="10.5" customWidth="1"/>
    <col min="278" max="278" width="12.83203125" customWidth="1"/>
    <col min="279" max="279" width="14.5" customWidth="1"/>
    <col min="280" max="280" width="13.83203125" customWidth="1"/>
    <col min="281" max="281" width="17.5" customWidth="1"/>
    <col min="282" max="282" width="16.33203125" customWidth="1"/>
    <col min="283" max="283" width="20.5" customWidth="1"/>
    <col min="284" max="284" width="29.1640625" bestFit="1" customWidth="1"/>
    <col min="285" max="285" width="29.33203125" bestFit="1" customWidth="1"/>
    <col min="286" max="286" width="14.5" bestFit="1" customWidth="1"/>
    <col min="287" max="287" width="16.5" bestFit="1" customWidth="1"/>
    <col min="288" max="288" width="29.1640625" bestFit="1" customWidth="1"/>
    <col min="289" max="289" width="30.5" bestFit="1" customWidth="1"/>
    <col min="290" max="290" width="14.5" bestFit="1" customWidth="1"/>
    <col min="291" max="291" width="16.5" bestFit="1" customWidth="1"/>
    <col min="292" max="292" width="29.1640625" bestFit="1" customWidth="1"/>
    <col min="293" max="293" width="30.5" bestFit="1" customWidth="1"/>
    <col min="294" max="294" width="14.5" bestFit="1" customWidth="1"/>
    <col min="295" max="295" width="16.5" bestFit="1" customWidth="1"/>
    <col min="296" max="296" width="29.1640625" bestFit="1" customWidth="1"/>
    <col min="297" max="297" width="29.33203125" bestFit="1" customWidth="1"/>
    <col min="298" max="298" width="14.5" bestFit="1" customWidth="1"/>
    <col min="299" max="299" width="16.5" bestFit="1" customWidth="1"/>
    <col min="300" max="300" width="29.1640625" bestFit="1" customWidth="1"/>
    <col min="301" max="301" width="29.33203125" bestFit="1" customWidth="1"/>
    <col min="302" max="512" width="8.83203125" customWidth="1"/>
    <col min="513" max="513" width="13.1640625" customWidth="1"/>
    <col min="514" max="514" width="14.33203125" customWidth="1"/>
    <col min="515" max="515" width="10.5" customWidth="1"/>
    <col min="516" max="516" width="9.6640625" customWidth="1"/>
    <col min="517" max="517" width="12.5" customWidth="1"/>
    <col min="518" max="518" width="19.83203125" customWidth="1"/>
    <col min="519" max="520" width="12.5" customWidth="1"/>
    <col min="521" max="521" width="11" customWidth="1"/>
    <col min="522" max="522" width="14.5" customWidth="1"/>
    <col min="523" max="523" width="11" customWidth="1"/>
    <col min="524" max="524" width="8.83203125" customWidth="1"/>
    <col min="525" max="525" width="9.5" customWidth="1"/>
    <col min="526" max="526" width="16.5" customWidth="1"/>
    <col min="527" max="527" width="20.33203125" bestFit="1" customWidth="1"/>
    <col min="528" max="528" width="25.33203125" bestFit="1" customWidth="1"/>
    <col min="529" max="529" width="23.33203125" bestFit="1" customWidth="1"/>
    <col min="530" max="530" width="18.1640625" bestFit="1" customWidth="1"/>
    <col min="531" max="531" width="18.6640625" bestFit="1" customWidth="1"/>
    <col min="532" max="532" width="16.83203125" bestFit="1" customWidth="1"/>
    <col min="533" max="533" width="10.5" customWidth="1"/>
    <col min="534" max="534" width="12.83203125" customWidth="1"/>
    <col min="535" max="535" width="14.5" customWidth="1"/>
    <col min="536" max="536" width="13.83203125" customWidth="1"/>
    <col min="537" max="537" width="17.5" customWidth="1"/>
    <col min="538" max="538" width="16.33203125" customWidth="1"/>
    <col min="539" max="539" width="20.5" customWidth="1"/>
    <col min="540" max="540" width="29.1640625" bestFit="1" customWidth="1"/>
    <col min="541" max="541" width="29.33203125" bestFit="1" customWidth="1"/>
    <col min="542" max="542" width="14.5" bestFit="1" customWidth="1"/>
    <col min="543" max="543" width="16.5" bestFit="1" customWidth="1"/>
    <col min="544" max="544" width="29.1640625" bestFit="1" customWidth="1"/>
    <col min="545" max="545" width="30.5" bestFit="1" customWidth="1"/>
    <col min="546" max="546" width="14.5" bestFit="1" customWidth="1"/>
    <col min="547" max="547" width="16.5" bestFit="1" customWidth="1"/>
    <col min="548" max="548" width="29.1640625" bestFit="1" customWidth="1"/>
    <col min="549" max="549" width="30.5" bestFit="1" customWidth="1"/>
    <col min="550" max="550" width="14.5" bestFit="1" customWidth="1"/>
    <col min="551" max="551" width="16.5" bestFit="1" customWidth="1"/>
    <col min="552" max="552" width="29.1640625" bestFit="1" customWidth="1"/>
    <col min="553" max="553" width="29.33203125" bestFit="1" customWidth="1"/>
    <col min="554" max="554" width="14.5" bestFit="1" customWidth="1"/>
    <col min="555" max="555" width="16.5" bestFit="1" customWidth="1"/>
    <col min="556" max="556" width="29.1640625" bestFit="1" customWidth="1"/>
    <col min="557" max="557" width="29.33203125" bestFit="1" customWidth="1"/>
    <col min="558" max="768" width="8.83203125" customWidth="1"/>
    <col min="769" max="769" width="13.1640625" customWidth="1"/>
    <col min="770" max="770" width="14.33203125" customWidth="1"/>
    <col min="771" max="771" width="10.5" customWidth="1"/>
    <col min="772" max="772" width="9.6640625" customWidth="1"/>
    <col min="773" max="773" width="12.5" customWidth="1"/>
    <col min="774" max="774" width="19.83203125" customWidth="1"/>
    <col min="775" max="776" width="12.5" customWidth="1"/>
    <col min="777" max="777" width="11" customWidth="1"/>
    <col min="778" max="778" width="14.5" customWidth="1"/>
    <col min="779" max="779" width="11" customWidth="1"/>
    <col min="780" max="780" width="8.83203125" customWidth="1"/>
    <col min="781" max="781" width="9.5" customWidth="1"/>
    <col min="782" max="782" width="16.5" customWidth="1"/>
    <col min="783" max="783" width="20.33203125" bestFit="1" customWidth="1"/>
    <col min="784" max="784" width="25.33203125" bestFit="1" customWidth="1"/>
    <col min="785" max="785" width="23.33203125" bestFit="1" customWidth="1"/>
    <col min="786" max="786" width="18.1640625" bestFit="1" customWidth="1"/>
    <col min="787" max="787" width="18.6640625" bestFit="1" customWidth="1"/>
    <col min="788" max="788" width="16.83203125" bestFit="1" customWidth="1"/>
    <col min="789" max="789" width="10.5" customWidth="1"/>
    <col min="790" max="790" width="12.83203125" customWidth="1"/>
    <col min="791" max="791" width="14.5" customWidth="1"/>
    <col min="792" max="792" width="13.83203125" customWidth="1"/>
    <col min="793" max="793" width="17.5" customWidth="1"/>
    <col min="794" max="794" width="16.33203125" customWidth="1"/>
    <col min="795" max="795" width="20.5" customWidth="1"/>
    <col min="796" max="796" width="29.1640625" bestFit="1" customWidth="1"/>
    <col min="797" max="797" width="29.33203125" bestFit="1" customWidth="1"/>
    <col min="798" max="798" width="14.5" bestFit="1" customWidth="1"/>
    <col min="799" max="799" width="16.5" bestFit="1" customWidth="1"/>
    <col min="800" max="800" width="29.1640625" bestFit="1" customWidth="1"/>
    <col min="801" max="801" width="30.5" bestFit="1" customWidth="1"/>
    <col min="802" max="802" width="14.5" bestFit="1" customWidth="1"/>
    <col min="803" max="803" width="16.5" bestFit="1" customWidth="1"/>
    <col min="804" max="804" width="29.1640625" bestFit="1" customWidth="1"/>
    <col min="805" max="805" width="30.5" bestFit="1" customWidth="1"/>
    <col min="806" max="806" width="14.5" bestFit="1" customWidth="1"/>
    <col min="807" max="807" width="16.5" bestFit="1" customWidth="1"/>
    <col min="808" max="808" width="29.1640625" bestFit="1" customWidth="1"/>
    <col min="809" max="809" width="29.33203125" bestFit="1" customWidth="1"/>
    <col min="810" max="810" width="14.5" bestFit="1" customWidth="1"/>
    <col min="811" max="811" width="16.5" bestFit="1" customWidth="1"/>
    <col min="812" max="812" width="29.1640625" bestFit="1" customWidth="1"/>
    <col min="813" max="813" width="29.33203125" bestFit="1" customWidth="1"/>
    <col min="814" max="1024" width="8.83203125" customWidth="1"/>
    <col min="1025" max="1025" width="13.1640625" customWidth="1"/>
    <col min="1026" max="1026" width="14.33203125" customWidth="1"/>
    <col min="1027" max="1027" width="10.5" customWidth="1"/>
    <col min="1028" max="1028" width="9.6640625" customWidth="1"/>
    <col min="1029" max="1029" width="12.5" customWidth="1"/>
    <col min="1030" max="1030" width="19.83203125" customWidth="1"/>
    <col min="1031" max="1032" width="12.5" customWidth="1"/>
    <col min="1033" max="1033" width="11" customWidth="1"/>
    <col min="1034" max="1034" width="14.5" customWidth="1"/>
    <col min="1035" max="1035" width="11" customWidth="1"/>
    <col min="1036" max="1036" width="8.83203125" customWidth="1"/>
    <col min="1037" max="1037" width="9.5" customWidth="1"/>
    <col min="1038" max="1038" width="16.5" customWidth="1"/>
    <col min="1039" max="1039" width="20.33203125" bestFit="1" customWidth="1"/>
    <col min="1040" max="1040" width="25.33203125" bestFit="1" customWidth="1"/>
    <col min="1041" max="1041" width="23.33203125" bestFit="1" customWidth="1"/>
    <col min="1042" max="1042" width="18.1640625" bestFit="1" customWidth="1"/>
    <col min="1043" max="1043" width="18.6640625" bestFit="1" customWidth="1"/>
    <col min="1044" max="1044" width="16.83203125" bestFit="1" customWidth="1"/>
    <col min="1045" max="1045" width="10.5" customWidth="1"/>
    <col min="1046" max="1046" width="12.83203125" customWidth="1"/>
    <col min="1047" max="1047" width="14.5" customWidth="1"/>
    <col min="1048" max="1048" width="13.83203125" customWidth="1"/>
    <col min="1049" max="1049" width="17.5" customWidth="1"/>
    <col min="1050" max="1050" width="16.33203125" customWidth="1"/>
    <col min="1051" max="1051" width="20.5" customWidth="1"/>
    <col min="1052" max="1052" width="29.1640625" bestFit="1" customWidth="1"/>
    <col min="1053" max="1053" width="29.33203125" bestFit="1" customWidth="1"/>
    <col min="1054" max="1054" width="14.5" bestFit="1" customWidth="1"/>
    <col min="1055" max="1055" width="16.5" bestFit="1" customWidth="1"/>
    <col min="1056" max="1056" width="29.1640625" bestFit="1" customWidth="1"/>
    <col min="1057" max="1057" width="30.5" bestFit="1" customWidth="1"/>
    <col min="1058" max="1058" width="14.5" bestFit="1" customWidth="1"/>
    <col min="1059" max="1059" width="16.5" bestFit="1" customWidth="1"/>
    <col min="1060" max="1060" width="29.1640625" bestFit="1" customWidth="1"/>
    <col min="1061" max="1061" width="30.5" bestFit="1" customWidth="1"/>
    <col min="1062" max="1062" width="14.5" bestFit="1" customWidth="1"/>
    <col min="1063" max="1063" width="16.5" bestFit="1" customWidth="1"/>
    <col min="1064" max="1064" width="29.1640625" bestFit="1" customWidth="1"/>
    <col min="1065" max="1065" width="29.33203125" bestFit="1" customWidth="1"/>
    <col min="1066" max="1066" width="14.5" bestFit="1" customWidth="1"/>
    <col min="1067" max="1067" width="16.5" bestFit="1" customWidth="1"/>
    <col min="1068" max="1068" width="29.1640625" bestFit="1" customWidth="1"/>
    <col min="1069" max="1069" width="29.33203125" bestFit="1" customWidth="1"/>
    <col min="1070" max="1280" width="8.83203125" customWidth="1"/>
    <col min="1281" max="1281" width="13.1640625" customWidth="1"/>
    <col min="1282" max="1282" width="14.33203125" customWidth="1"/>
    <col min="1283" max="1283" width="10.5" customWidth="1"/>
    <col min="1284" max="1284" width="9.6640625" customWidth="1"/>
    <col min="1285" max="1285" width="12.5" customWidth="1"/>
    <col min="1286" max="1286" width="19.83203125" customWidth="1"/>
    <col min="1287" max="1288" width="12.5" customWidth="1"/>
    <col min="1289" max="1289" width="11" customWidth="1"/>
    <col min="1290" max="1290" width="14.5" customWidth="1"/>
    <col min="1291" max="1291" width="11" customWidth="1"/>
    <col min="1292" max="1292" width="8.83203125" customWidth="1"/>
    <col min="1293" max="1293" width="9.5" customWidth="1"/>
    <col min="1294" max="1294" width="16.5" customWidth="1"/>
    <col min="1295" max="1295" width="20.33203125" bestFit="1" customWidth="1"/>
    <col min="1296" max="1296" width="25.33203125" bestFit="1" customWidth="1"/>
    <col min="1297" max="1297" width="23.33203125" bestFit="1" customWidth="1"/>
    <col min="1298" max="1298" width="18.1640625" bestFit="1" customWidth="1"/>
    <col min="1299" max="1299" width="18.6640625" bestFit="1" customWidth="1"/>
    <col min="1300" max="1300" width="16.83203125" bestFit="1" customWidth="1"/>
    <col min="1301" max="1301" width="10.5" customWidth="1"/>
    <col min="1302" max="1302" width="12.83203125" customWidth="1"/>
    <col min="1303" max="1303" width="14.5" customWidth="1"/>
    <col min="1304" max="1304" width="13.83203125" customWidth="1"/>
    <col min="1305" max="1305" width="17.5" customWidth="1"/>
    <col min="1306" max="1306" width="16.33203125" customWidth="1"/>
    <col min="1307" max="1307" width="20.5" customWidth="1"/>
    <col min="1308" max="1308" width="29.1640625" bestFit="1" customWidth="1"/>
    <col min="1309" max="1309" width="29.33203125" bestFit="1" customWidth="1"/>
    <col min="1310" max="1310" width="14.5" bestFit="1" customWidth="1"/>
    <col min="1311" max="1311" width="16.5" bestFit="1" customWidth="1"/>
    <col min="1312" max="1312" width="29.1640625" bestFit="1" customWidth="1"/>
    <col min="1313" max="1313" width="30.5" bestFit="1" customWidth="1"/>
    <col min="1314" max="1314" width="14.5" bestFit="1" customWidth="1"/>
    <col min="1315" max="1315" width="16.5" bestFit="1" customWidth="1"/>
    <col min="1316" max="1316" width="29.1640625" bestFit="1" customWidth="1"/>
    <col min="1317" max="1317" width="30.5" bestFit="1" customWidth="1"/>
    <col min="1318" max="1318" width="14.5" bestFit="1" customWidth="1"/>
    <col min="1319" max="1319" width="16.5" bestFit="1" customWidth="1"/>
    <col min="1320" max="1320" width="29.1640625" bestFit="1" customWidth="1"/>
    <col min="1321" max="1321" width="29.33203125" bestFit="1" customWidth="1"/>
    <col min="1322" max="1322" width="14.5" bestFit="1" customWidth="1"/>
    <col min="1323" max="1323" width="16.5" bestFit="1" customWidth="1"/>
    <col min="1324" max="1324" width="29.1640625" bestFit="1" customWidth="1"/>
    <col min="1325" max="1325" width="29.33203125" bestFit="1" customWidth="1"/>
    <col min="1326" max="1536" width="8.83203125" customWidth="1"/>
    <col min="1537" max="1537" width="13.1640625" customWidth="1"/>
    <col min="1538" max="1538" width="14.33203125" customWidth="1"/>
    <col min="1539" max="1539" width="10.5" customWidth="1"/>
    <col min="1540" max="1540" width="9.6640625" customWidth="1"/>
    <col min="1541" max="1541" width="12.5" customWidth="1"/>
    <col min="1542" max="1542" width="19.83203125" customWidth="1"/>
    <col min="1543" max="1544" width="12.5" customWidth="1"/>
    <col min="1545" max="1545" width="11" customWidth="1"/>
    <col min="1546" max="1546" width="14.5" customWidth="1"/>
    <col min="1547" max="1547" width="11" customWidth="1"/>
    <col min="1548" max="1548" width="8.83203125" customWidth="1"/>
    <col min="1549" max="1549" width="9.5" customWidth="1"/>
    <col min="1550" max="1550" width="16.5" customWidth="1"/>
    <col min="1551" max="1551" width="20.33203125" bestFit="1" customWidth="1"/>
    <col min="1552" max="1552" width="25.33203125" bestFit="1" customWidth="1"/>
    <col min="1553" max="1553" width="23.33203125" bestFit="1" customWidth="1"/>
    <col min="1554" max="1554" width="18.1640625" bestFit="1" customWidth="1"/>
    <col min="1555" max="1555" width="18.6640625" bestFit="1" customWidth="1"/>
    <col min="1556" max="1556" width="16.83203125" bestFit="1" customWidth="1"/>
    <col min="1557" max="1557" width="10.5" customWidth="1"/>
    <col min="1558" max="1558" width="12.83203125" customWidth="1"/>
    <col min="1559" max="1559" width="14.5" customWidth="1"/>
    <col min="1560" max="1560" width="13.83203125" customWidth="1"/>
    <col min="1561" max="1561" width="17.5" customWidth="1"/>
    <col min="1562" max="1562" width="16.33203125" customWidth="1"/>
    <col min="1563" max="1563" width="20.5" customWidth="1"/>
    <col min="1564" max="1564" width="29.1640625" bestFit="1" customWidth="1"/>
    <col min="1565" max="1565" width="29.33203125" bestFit="1" customWidth="1"/>
    <col min="1566" max="1566" width="14.5" bestFit="1" customWidth="1"/>
    <col min="1567" max="1567" width="16.5" bestFit="1" customWidth="1"/>
    <col min="1568" max="1568" width="29.1640625" bestFit="1" customWidth="1"/>
    <col min="1569" max="1569" width="30.5" bestFit="1" customWidth="1"/>
    <col min="1570" max="1570" width="14.5" bestFit="1" customWidth="1"/>
    <col min="1571" max="1571" width="16.5" bestFit="1" customWidth="1"/>
    <col min="1572" max="1572" width="29.1640625" bestFit="1" customWidth="1"/>
    <col min="1573" max="1573" width="30.5" bestFit="1" customWidth="1"/>
    <col min="1574" max="1574" width="14.5" bestFit="1" customWidth="1"/>
    <col min="1575" max="1575" width="16.5" bestFit="1" customWidth="1"/>
    <col min="1576" max="1576" width="29.1640625" bestFit="1" customWidth="1"/>
    <col min="1577" max="1577" width="29.33203125" bestFit="1" customWidth="1"/>
    <col min="1578" max="1578" width="14.5" bestFit="1" customWidth="1"/>
    <col min="1579" max="1579" width="16.5" bestFit="1" customWidth="1"/>
    <col min="1580" max="1580" width="29.1640625" bestFit="1" customWidth="1"/>
    <col min="1581" max="1581" width="29.33203125" bestFit="1" customWidth="1"/>
    <col min="1582" max="1792" width="8.83203125" customWidth="1"/>
    <col min="1793" max="1793" width="13.1640625" customWidth="1"/>
    <col min="1794" max="1794" width="14.33203125" customWidth="1"/>
    <col min="1795" max="1795" width="10.5" customWidth="1"/>
    <col min="1796" max="1796" width="9.6640625" customWidth="1"/>
    <col min="1797" max="1797" width="12.5" customWidth="1"/>
    <col min="1798" max="1798" width="19.83203125" customWidth="1"/>
    <col min="1799" max="1800" width="12.5" customWidth="1"/>
    <col min="1801" max="1801" width="11" customWidth="1"/>
    <col min="1802" max="1802" width="14.5" customWidth="1"/>
    <col min="1803" max="1803" width="11" customWidth="1"/>
    <col min="1804" max="1804" width="8.83203125" customWidth="1"/>
    <col min="1805" max="1805" width="9.5" customWidth="1"/>
    <col min="1806" max="1806" width="16.5" customWidth="1"/>
    <col min="1807" max="1807" width="20.33203125" bestFit="1" customWidth="1"/>
    <col min="1808" max="1808" width="25.33203125" bestFit="1" customWidth="1"/>
    <col min="1809" max="1809" width="23.33203125" bestFit="1" customWidth="1"/>
    <col min="1810" max="1810" width="18.1640625" bestFit="1" customWidth="1"/>
    <col min="1811" max="1811" width="18.6640625" bestFit="1" customWidth="1"/>
    <col min="1812" max="1812" width="16.83203125" bestFit="1" customWidth="1"/>
    <col min="1813" max="1813" width="10.5" customWidth="1"/>
    <col min="1814" max="1814" width="12.83203125" customWidth="1"/>
    <col min="1815" max="1815" width="14.5" customWidth="1"/>
    <col min="1816" max="1816" width="13.83203125" customWidth="1"/>
    <col min="1817" max="1817" width="17.5" customWidth="1"/>
    <col min="1818" max="1818" width="16.33203125" customWidth="1"/>
    <col min="1819" max="1819" width="20.5" customWidth="1"/>
    <col min="1820" max="1820" width="29.1640625" bestFit="1" customWidth="1"/>
    <col min="1821" max="1821" width="29.33203125" bestFit="1" customWidth="1"/>
    <col min="1822" max="1822" width="14.5" bestFit="1" customWidth="1"/>
    <col min="1823" max="1823" width="16.5" bestFit="1" customWidth="1"/>
    <col min="1824" max="1824" width="29.1640625" bestFit="1" customWidth="1"/>
    <col min="1825" max="1825" width="30.5" bestFit="1" customWidth="1"/>
    <col min="1826" max="1826" width="14.5" bestFit="1" customWidth="1"/>
    <col min="1827" max="1827" width="16.5" bestFit="1" customWidth="1"/>
    <col min="1828" max="1828" width="29.1640625" bestFit="1" customWidth="1"/>
    <col min="1829" max="1829" width="30.5" bestFit="1" customWidth="1"/>
    <col min="1830" max="1830" width="14.5" bestFit="1" customWidth="1"/>
    <col min="1831" max="1831" width="16.5" bestFit="1" customWidth="1"/>
    <col min="1832" max="1832" width="29.1640625" bestFit="1" customWidth="1"/>
    <col min="1833" max="1833" width="29.33203125" bestFit="1" customWidth="1"/>
    <col min="1834" max="1834" width="14.5" bestFit="1" customWidth="1"/>
    <col min="1835" max="1835" width="16.5" bestFit="1" customWidth="1"/>
    <col min="1836" max="1836" width="29.1640625" bestFit="1" customWidth="1"/>
    <col min="1837" max="1837" width="29.33203125" bestFit="1" customWidth="1"/>
    <col min="1838" max="2048" width="8.83203125" customWidth="1"/>
    <col min="2049" max="2049" width="13.1640625" customWidth="1"/>
    <col min="2050" max="2050" width="14.33203125" customWidth="1"/>
    <col min="2051" max="2051" width="10.5" customWidth="1"/>
    <col min="2052" max="2052" width="9.6640625" customWidth="1"/>
    <col min="2053" max="2053" width="12.5" customWidth="1"/>
    <col min="2054" max="2054" width="19.83203125" customWidth="1"/>
    <col min="2055" max="2056" width="12.5" customWidth="1"/>
    <col min="2057" max="2057" width="11" customWidth="1"/>
    <col min="2058" max="2058" width="14.5" customWidth="1"/>
    <col min="2059" max="2059" width="11" customWidth="1"/>
    <col min="2060" max="2060" width="8.83203125" customWidth="1"/>
    <col min="2061" max="2061" width="9.5" customWidth="1"/>
    <col min="2062" max="2062" width="16.5" customWidth="1"/>
    <col min="2063" max="2063" width="20.33203125" bestFit="1" customWidth="1"/>
    <col min="2064" max="2064" width="25.33203125" bestFit="1" customWidth="1"/>
    <col min="2065" max="2065" width="23.33203125" bestFit="1" customWidth="1"/>
    <col min="2066" max="2066" width="18.1640625" bestFit="1" customWidth="1"/>
    <col min="2067" max="2067" width="18.6640625" bestFit="1" customWidth="1"/>
    <col min="2068" max="2068" width="16.83203125" bestFit="1" customWidth="1"/>
    <col min="2069" max="2069" width="10.5" customWidth="1"/>
    <col min="2070" max="2070" width="12.83203125" customWidth="1"/>
    <col min="2071" max="2071" width="14.5" customWidth="1"/>
    <col min="2072" max="2072" width="13.83203125" customWidth="1"/>
    <col min="2073" max="2073" width="17.5" customWidth="1"/>
    <col min="2074" max="2074" width="16.33203125" customWidth="1"/>
    <col min="2075" max="2075" width="20.5" customWidth="1"/>
    <col min="2076" max="2076" width="29.1640625" bestFit="1" customWidth="1"/>
    <col min="2077" max="2077" width="29.33203125" bestFit="1" customWidth="1"/>
    <col min="2078" max="2078" width="14.5" bestFit="1" customWidth="1"/>
    <col min="2079" max="2079" width="16.5" bestFit="1" customWidth="1"/>
    <col min="2080" max="2080" width="29.1640625" bestFit="1" customWidth="1"/>
    <col min="2081" max="2081" width="30.5" bestFit="1" customWidth="1"/>
    <col min="2082" max="2082" width="14.5" bestFit="1" customWidth="1"/>
    <col min="2083" max="2083" width="16.5" bestFit="1" customWidth="1"/>
    <col min="2084" max="2084" width="29.1640625" bestFit="1" customWidth="1"/>
    <col min="2085" max="2085" width="30.5" bestFit="1" customWidth="1"/>
    <col min="2086" max="2086" width="14.5" bestFit="1" customWidth="1"/>
    <col min="2087" max="2087" width="16.5" bestFit="1" customWidth="1"/>
    <col min="2088" max="2088" width="29.1640625" bestFit="1" customWidth="1"/>
    <col min="2089" max="2089" width="29.33203125" bestFit="1" customWidth="1"/>
    <col min="2090" max="2090" width="14.5" bestFit="1" customWidth="1"/>
    <col min="2091" max="2091" width="16.5" bestFit="1" customWidth="1"/>
    <col min="2092" max="2092" width="29.1640625" bestFit="1" customWidth="1"/>
    <col min="2093" max="2093" width="29.33203125" bestFit="1" customWidth="1"/>
    <col min="2094" max="2304" width="8.83203125" customWidth="1"/>
    <col min="2305" max="2305" width="13.1640625" customWidth="1"/>
    <col min="2306" max="2306" width="14.33203125" customWidth="1"/>
    <col min="2307" max="2307" width="10.5" customWidth="1"/>
    <col min="2308" max="2308" width="9.6640625" customWidth="1"/>
    <col min="2309" max="2309" width="12.5" customWidth="1"/>
    <col min="2310" max="2310" width="19.83203125" customWidth="1"/>
    <col min="2311" max="2312" width="12.5" customWidth="1"/>
    <col min="2313" max="2313" width="11" customWidth="1"/>
    <col min="2314" max="2314" width="14.5" customWidth="1"/>
    <col min="2315" max="2315" width="11" customWidth="1"/>
    <col min="2316" max="2316" width="8.83203125" customWidth="1"/>
    <col min="2317" max="2317" width="9.5" customWidth="1"/>
    <col min="2318" max="2318" width="16.5" customWidth="1"/>
    <col min="2319" max="2319" width="20.33203125" bestFit="1" customWidth="1"/>
    <col min="2320" max="2320" width="25.33203125" bestFit="1" customWidth="1"/>
    <col min="2321" max="2321" width="23.33203125" bestFit="1" customWidth="1"/>
    <col min="2322" max="2322" width="18.1640625" bestFit="1" customWidth="1"/>
    <col min="2323" max="2323" width="18.6640625" bestFit="1" customWidth="1"/>
    <col min="2324" max="2324" width="16.83203125" bestFit="1" customWidth="1"/>
    <col min="2325" max="2325" width="10.5" customWidth="1"/>
    <col min="2326" max="2326" width="12.83203125" customWidth="1"/>
    <col min="2327" max="2327" width="14.5" customWidth="1"/>
    <col min="2328" max="2328" width="13.83203125" customWidth="1"/>
    <col min="2329" max="2329" width="17.5" customWidth="1"/>
    <col min="2330" max="2330" width="16.33203125" customWidth="1"/>
    <col min="2331" max="2331" width="20.5" customWidth="1"/>
    <col min="2332" max="2332" width="29.1640625" bestFit="1" customWidth="1"/>
    <col min="2333" max="2333" width="29.33203125" bestFit="1" customWidth="1"/>
    <col min="2334" max="2334" width="14.5" bestFit="1" customWidth="1"/>
    <col min="2335" max="2335" width="16.5" bestFit="1" customWidth="1"/>
    <col min="2336" max="2336" width="29.1640625" bestFit="1" customWidth="1"/>
    <col min="2337" max="2337" width="30.5" bestFit="1" customWidth="1"/>
    <col min="2338" max="2338" width="14.5" bestFit="1" customWidth="1"/>
    <col min="2339" max="2339" width="16.5" bestFit="1" customWidth="1"/>
    <col min="2340" max="2340" width="29.1640625" bestFit="1" customWidth="1"/>
    <col min="2341" max="2341" width="30.5" bestFit="1" customWidth="1"/>
    <col min="2342" max="2342" width="14.5" bestFit="1" customWidth="1"/>
    <col min="2343" max="2343" width="16.5" bestFit="1" customWidth="1"/>
    <col min="2344" max="2344" width="29.1640625" bestFit="1" customWidth="1"/>
    <col min="2345" max="2345" width="29.33203125" bestFit="1" customWidth="1"/>
    <col min="2346" max="2346" width="14.5" bestFit="1" customWidth="1"/>
    <col min="2347" max="2347" width="16.5" bestFit="1" customWidth="1"/>
    <col min="2348" max="2348" width="29.1640625" bestFit="1" customWidth="1"/>
    <col min="2349" max="2349" width="29.33203125" bestFit="1" customWidth="1"/>
    <col min="2350" max="2560" width="8.83203125" customWidth="1"/>
    <col min="2561" max="2561" width="13.1640625" customWidth="1"/>
    <col min="2562" max="2562" width="14.33203125" customWidth="1"/>
    <col min="2563" max="2563" width="10.5" customWidth="1"/>
    <col min="2564" max="2564" width="9.6640625" customWidth="1"/>
    <col min="2565" max="2565" width="12.5" customWidth="1"/>
    <col min="2566" max="2566" width="19.83203125" customWidth="1"/>
    <col min="2567" max="2568" width="12.5" customWidth="1"/>
    <col min="2569" max="2569" width="11" customWidth="1"/>
    <col min="2570" max="2570" width="14.5" customWidth="1"/>
    <col min="2571" max="2571" width="11" customWidth="1"/>
    <col min="2572" max="2572" width="8.83203125" customWidth="1"/>
    <col min="2573" max="2573" width="9.5" customWidth="1"/>
    <col min="2574" max="2574" width="16.5" customWidth="1"/>
    <col min="2575" max="2575" width="20.33203125" bestFit="1" customWidth="1"/>
    <col min="2576" max="2576" width="25.33203125" bestFit="1" customWidth="1"/>
    <col min="2577" max="2577" width="23.33203125" bestFit="1" customWidth="1"/>
    <col min="2578" max="2578" width="18.1640625" bestFit="1" customWidth="1"/>
    <col min="2579" max="2579" width="18.6640625" bestFit="1" customWidth="1"/>
    <col min="2580" max="2580" width="16.83203125" bestFit="1" customWidth="1"/>
    <col min="2581" max="2581" width="10.5" customWidth="1"/>
    <col min="2582" max="2582" width="12.83203125" customWidth="1"/>
    <col min="2583" max="2583" width="14.5" customWidth="1"/>
    <col min="2584" max="2584" width="13.83203125" customWidth="1"/>
    <col min="2585" max="2585" width="17.5" customWidth="1"/>
    <col min="2586" max="2586" width="16.33203125" customWidth="1"/>
    <col min="2587" max="2587" width="20.5" customWidth="1"/>
    <col min="2588" max="2588" width="29.1640625" bestFit="1" customWidth="1"/>
    <col min="2589" max="2589" width="29.33203125" bestFit="1" customWidth="1"/>
    <col min="2590" max="2590" width="14.5" bestFit="1" customWidth="1"/>
    <col min="2591" max="2591" width="16.5" bestFit="1" customWidth="1"/>
    <col min="2592" max="2592" width="29.1640625" bestFit="1" customWidth="1"/>
    <col min="2593" max="2593" width="30.5" bestFit="1" customWidth="1"/>
    <col min="2594" max="2594" width="14.5" bestFit="1" customWidth="1"/>
    <col min="2595" max="2595" width="16.5" bestFit="1" customWidth="1"/>
    <col min="2596" max="2596" width="29.1640625" bestFit="1" customWidth="1"/>
    <col min="2597" max="2597" width="30.5" bestFit="1" customWidth="1"/>
    <col min="2598" max="2598" width="14.5" bestFit="1" customWidth="1"/>
    <col min="2599" max="2599" width="16.5" bestFit="1" customWidth="1"/>
    <col min="2600" max="2600" width="29.1640625" bestFit="1" customWidth="1"/>
    <col min="2601" max="2601" width="29.33203125" bestFit="1" customWidth="1"/>
    <col min="2602" max="2602" width="14.5" bestFit="1" customWidth="1"/>
    <col min="2603" max="2603" width="16.5" bestFit="1" customWidth="1"/>
    <col min="2604" max="2604" width="29.1640625" bestFit="1" customWidth="1"/>
    <col min="2605" max="2605" width="29.33203125" bestFit="1" customWidth="1"/>
    <col min="2606" max="2816" width="8.83203125" customWidth="1"/>
    <col min="2817" max="2817" width="13.1640625" customWidth="1"/>
    <col min="2818" max="2818" width="14.33203125" customWidth="1"/>
    <col min="2819" max="2819" width="10.5" customWidth="1"/>
    <col min="2820" max="2820" width="9.6640625" customWidth="1"/>
    <col min="2821" max="2821" width="12.5" customWidth="1"/>
    <col min="2822" max="2822" width="19.83203125" customWidth="1"/>
    <col min="2823" max="2824" width="12.5" customWidth="1"/>
    <col min="2825" max="2825" width="11" customWidth="1"/>
    <col min="2826" max="2826" width="14.5" customWidth="1"/>
    <col min="2827" max="2827" width="11" customWidth="1"/>
    <col min="2828" max="2828" width="8.83203125" customWidth="1"/>
    <col min="2829" max="2829" width="9.5" customWidth="1"/>
    <col min="2830" max="2830" width="16.5" customWidth="1"/>
    <col min="2831" max="2831" width="20.33203125" bestFit="1" customWidth="1"/>
    <col min="2832" max="2832" width="25.33203125" bestFit="1" customWidth="1"/>
    <col min="2833" max="2833" width="23.33203125" bestFit="1" customWidth="1"/>
    <col min="2834" max="2834" width="18.1640625" bestFit="1" customWidth="1"/>
    <col min="2835" max="2835" width="18.6640625" bestFit="1" customWidth="1"/>
    <col min="2836" max="2836" width="16.83203125" bestFit="1" customWidth="1"/>
    <col min="2837" max="2837" width="10.5" customWidth="1"/>
    <col min="2838" max="2838" width="12.83203125" customWidth="1"/>
    <col min="2839" max="2839" width="14.5" customWidth="1"/>
    <col min="2840" max="2840" width="13.83203125" customWidth="1"/>
    <col min="2841" max="2841" width="17.5" customWidth="1"/>
    <col min="2842" max="2842" width="16.33203125" customWidth="1"/>
    <col min="2843" max="2843" width="20.5" customWidth="1"/>
    <col min="2844" max="2844" width="29.1640625" bestFit="1" customWidth="1"/>
    <col min="2845" max="2845" width="29.33203125" bestFit="1" customWidth="1"/>
    <col min="2846" max="2846" width="14.5" bestFit="1" customWidth="1"/>
    <col min="2847" max="2847" width="16.5" bestFit="1" customWidth="1"/>
    <col min="2848" max="2848" width="29.1640625" bestFit="1" customWidth="1"/>
    <col min="2849" max="2849" width="30.5" bestFit="1" customWidth="1"/>
    <col min="2850" max="2850" width="14.5" bestFit="1" customWidth="1"/>
    <col min="2851" max="2851" width="16.5" bestFit="1" customWidth="1"/>
    <col min="2852" max="2852" width="29.1640625" bestFit="1" customWidth="1"/>
    <col min="2853" max="2853" width="30.5" bestFit="1" customWidth="1"/>
    <col min="2854" max="2854" width="14.5" bestFit="1" customWidth="1"/>
    <col min="2855" max="2855" width="16.5" bestFit="1" customWidth="1"/>
    <col min="2856" max="2856" width="29.1640625" bestFit="1" customWidth="1"/>
    <col min="2857" max="2857" width="29.33203125" bestFit="1" customWidth="1"/>
    <col min="2858" max="2858" width="14.5" bestFit="1" customWidth="1"/>
    <col min="2859" max="2859" width="16.5" bestFit="1" customWidth="1"/>
    <col min="2860" max="2860" width="29.1640625" bestFit="1" customWidth="1"/>
    <col min="2861" max="2861" width="29.33203125" bestFit="1" customWidth="1"/>
    <col min="2862" max="3072" width="8.83203125" customWidth="1"/>
    <col min="3073" max="3073" width="13.1640625" customWidth="1"/>
    <col min="3074" max="3074" width="14.33203125" customWidth="1"/>
    <col min="3075" max="3075" width="10.5" customWidth="1"/>
    <col min="3076" max="3076" width="9.6640625" customWidth="1"/>
    <col min="3077" max="3077" width="12.5" customWidth="1"/>
    <col min="3078" max="3078" width="19.83203125" customWidth="1"/>
    <col min="3079" max="3080" width="12.5" customWidth="1"/>
    <col min="3081" max="3081" width="11" customWidth="1"/>
    <col min="3082" max="3082" width="14.5" customWidth="1"/>
    <col min="3083" max="3083" width="11" customWidth="1"/>
    <col min="3084" max="3084" width="8.83203125" customWidth="1"/>
    <col min="3085" max="3085" width="9.5" customWidth="1"/>
    <col min="3086" max="3086" width="16.5" customWidth="1"/>
    <col min="3087" max="3087" width="20.33203125" bestFit="1" customWidth="1"/>
    <col min="3088" max="3088" width="25.33203125" bestFit="1" customWidth="1"/>
    <col min="3089" max="3089" width="23.33203125" bestFit="1" customWidth="1"/>
    <col min="3090" max="3090" width="18.1640625" bestFit="1" customWidth="1"/>
    <col min="3091" max="3091" width="18.6640625" bestFit="1" customWidth="1"/>
    <col min="3092" max="3092" width="16.83203125" bestFit="1" customWidth="1"/>
    <col min="3093" max="3093" width="10.5" customWidth="1"/>
    <col min="3094" max="3094" width="12.83203125" customWidth="1"/>
    <col min="3095" max="3095" width="14.5" customWidth="1"/>
    <col min="3096" max="3096" width="13.83203125" customWidth="1"/>
    <col min="3097" max="3097" width="17.5" customWidth="1"/>
    <col min="3098" max="3098" width="16.33203125" customWidth="1"/>
    <col min="3099" max="3099" width="20.5" customWidth="1"/>
    <col min="3100" max="3100" width="29.1640625" bestFit="1" customWidth="1"/>
    <col min="3101" max="3101" width="29.33203125" bestFit="1" customWidth="1"/>
    <col min="3102" max="3102" width="14.5" bestFit="1" customWidth="1"/>
    <col min="3103" max="3103" width="16.5" bestFit="1" customWidth="1"/>
    <col min="3104" max="3104" width="29.1640625" bestFit="1" customWidth="1"/>
    <col min="3105" max="3105" width="30.5" bestFit="1" customWidth="1"/>
    <col min="3106" max="3106" width="14.5" bestFit="1" customWidth="1"/>
    <col min="3107" max="3107" width="16.5" bestFit="1" customWidth="1"/>
    <col min="3108" max="3108" width="29.1640625" bestFit="1" customWidth="1"/>
    <col min="3109" max="3109" width="30.5" bestFit="1" customWidth="1"/>
    <col min="3110" max="3110" width="14.5" bestFit="1" customWidth="1"/>
    <col min="3111" max="3111" width="16.5" bestFit="1" customWidth="1"/>
    <col min="3112" max="3112" width="29.1640625" bestFit="1" customWidth="1"/>
    <col min="3113" max="3113" width="29.33203125" bestFit="1" customWidth="1"/>
    <col min="3114" max="3114" width="14.5" bestFit="1" customWidth="1"/>
    <col min="3115" max="3115" width="16.5" bestFit="1" customWidth="1"/>
    <col min="3116" max="3116" width="29.1640625" bestFit="1" customWidth="1"/>
    <col min="3117" max="3117" width="29.33203125" bestFit="1" customWidth="1"/>
    <col min="3118" max="3328" width="8.83203125" customWidth="1"/>
    <col min="3329" max="3329" width="13.1640625" customWidth="1"/>
    <col min="3330" max="3330" width="14.33203125" customWidth="1"/>
    <col min="3331" max="3331" width="10.5" customWidth="1"/>
    <col min="3332" max="3332" width="9.6640625" customWidth="1"/>
    <col min="3333" max="3333" width="12.5" customWidth="1"/>
    <col min="3334" max="3334" width="19.83203125" customWidth="1"/>
    <col min="3335" max="3336" width="12.5" customWidth="1"/>
    <col min="3337" max="3337" width="11" customWidth="1"/>
    <col min="3338" max="3338" width="14.5" customWidth="1"/>
    <col min="3339" max="3339" width="11" customWidth="1"/>
    <col min="3340" max="3340" width="8.83203125" customWidth="1"/>
    <col min="3341" max="3341" width="9.5" customWidth="1"/>
    <col min="3342" max="3342" width="16.5" customWidth="1"/>
    <col min="3343" max="3343" width="20.33203125" bestFit="1" customWidth="1"/>
    <col min="3344" max="3344" width="25.33203125" bestFit="1" customWidth="1"/>
    <col min="3345" max="3345" width="23.33203125" bestFit="1" customWidth="1"/>
    <col min="3346" max="3346" width="18.1640625" bestFit="1" customWidth="1"/>
    <col min="3347" max="3347" width="18.6640625" bestFit="1" customWidth="1"/>
    <col min="3348" max="3348" width="16.83203125" bestFit="1" customWidth="1"/>
    <col min="3349" max="3349" width="10.5" customWidth="1"/>
    <col min="3350" max="3350" width="12.83203125" customWidth="1"/>
    <col min="3351" max="3351" width="14.5" customWidth="1"/>
    <col min="3352" max="3352" width="13.83203125" customWidth="1"/>
    <col min="3353" max="3353" width="17.5" customWidth="1"/>
    <col min="3354" max="3354" width="16.33203125" customWidth="1"/>
    <col min="3355" max="3355" width="20.5" customWidth="1"/>
    <col min="3356" max="3356" width="29.1640625" bestFit="1" customWidth="1"/>
    <col min="3357" max="3357" width="29.33203125" bestFit="1" customWidth="1"/>
    <col min="3358" max="3358" width="14.5" bestFit="1" customWidth="1"/>
    <col min="3359" max="3359" width="16.5" bestFit="1" customWidth="1"/>
    <col min="3360" max="3360" width="29.1640625" bestFit="1" customWidth="1"/>
    <col min="3361" max="3361" width="30.5" bestFit="1" customWidth="1"/>
    <col min="3362" max="3362" width="14.5" bestFit="1" customWidth="1"/>
    <col min="3363" max="3363" width="16.5" bestFit="1" customWidth="1"/>
    <col min="3364" max="3364" width="29.1640625" bestFit="1" customWidth="1"/>
    <col min="3365" max="3365" width="30.5" bestFit="1" customWidth="1"/>
    <col min="3366" max="3366" width="14.5" bestFit="1" customWidth="1"/>
    <col min="3367" max="3367" width="16.5" bestFit="1" customWidth="1"/>
    <col min="3368" max="3368" width="29.1640625" bestFit="1" customWidth="1"/>
    <col min="3369" max="3369" width="29.33203125" bestFit="1" customWidth="1"/>
    <col min="3370" max="3370" width="14.5" bestFit="1" customWidth="1"/>
    <col min="3371" max="3371" width="16.5" bestFit="1" customWidth="1"/>
    <col min="3372" max="3372" width="29.1640625" bestFit="1" customWidth="1"/>
    <col min="3373" max="3373" width="29.33203125" bestFit="1" customWidth="1"/>
    <col min="3374" max="3584" width="8.83203125" customWidth="1"/>
    <col min="3585" max="3585" width="13.1640625" customWidth="1"/>
    <col min="3586" max="3586" width="14.33203125" customWidth="1"/>
    <col min="3587" max="3587" width="10.5" customWidth="1"/>
    <col min="3588" max="3588" width="9.6640625" customWidth="1"/>
    <col min="3589" max="3589" width="12.5" customWidth="1"/>
    <col min="3590" max="3590" width="19.83203125" customWidth="1"/>
    <col min="3591" max="3592" width="12.5" customWidth="1"/>
    <col min="3593" max="3593" width="11" customWidth="1"/>
    <col min="3594" max="3594" width="14.5" customWidth="1"/>
    <col min="3595" max="3595" width="11" customWidth="1"/>
    <col min="3596" max="3596" width="8.83203125" customWidth="1"/>
    <col min="3597" max="3597" width="9.5" customWidth="1"/>
    <col min="3598" max="3598" width="16.5" customWidth="1"/>
    <col min="3599" max="3599" width="20.33203125" bestFit="1" customWidth="1"/>
    <col min="3600" max="3600" width="25.33203125" bestFit="1" customWidth="1"/>
    <col min="3601" max="3601" width="23.33203125" bestFit="1" customWidth="1"/>
    <col min="3602" max="3602" width="18.1640625" bestFit="1" customWidth="1"/>
    <col min="3603" max="3603" width="18.6640625" bestFit="1" customWidth="1"/>
    <col min="3604" max="3604" width="16.83203125" bestFit="1" customWidth="1"/>
    <col min="3605" max="3605" width="10.5" customWidth="1"/>
    <col min="3606" max="3606" width="12.83203125" customWidth="1"/>
    <col min="3607" max="3607" width="14.5" customWidth="1"/>
    <col min="3608" max="3608" width="13.83203125" customWidth="1"/>
    <col min="3609" max="3609" width="17.5" customWidth="1"/>
    <col min="3610" max="3610" width="16.33203125" customWidth="1"/>
    <col min="3611" max="3611" width="20.5" customWidth="1"/>
    <col min="3612" max="3612" width="29.1640625" bestFit="1" customWidth="1"/>
    <col min="3613" max="3613" width="29.33203125" bestFit="1" customWidth="1"/>
    <col min="3614" max="3614" width="14.5" bestFit="1" customWidth="1"/>
    <col min="3615" max="3615" width="16.5" bestFit="1" customWidth="1"/>
    <col min="3616" max="3616" width="29.1640625" bestFit="1" customWidth="1"/>
    <col min="3617" max="3617" width="30.5" bestFit="1" customWidth="1"/>
    <col min="3618" max="3618" width="14.5" bestFit="1" customWidth="1"/>
    <col min="3619" max="3619" width="16.5" bestFit="1" customWidth="1"/>
    <col min="3620" max="3620" width="29.1640625" bestFit="1" customWidth="1"/>
    <col min="3621" max="3621" width="30.5" bestFit="1" customWidth="1"/>
    <col min="3622" max="3622" width="14.5" bestFit="1" customWidth="1"/>
    <col min="3623" max="3623" width="16.5" bestFit="1" customWidth="1"/>
    <col min="3624" max="3624" width="29.1640625" bestFit="1" customWidth="1"/>
    <col min="3625" max="3625" width="29.33203125" bestFit="1" customWidth="1"/>
    <col min="3626" max="3626" width="14.5" bestFit="1" customWidth="1"/>
    <col min="3627" max="3627" width="16.5" bestFit="1" customWidth="1"/>
    <col min="3628" max="3628" width="29.1640625" bestFit="1" customWidth="1"/>
    <col min="3629" max="3629" width="29.33203125" bestFit="1" customWidth="1"/>
    <col min="3630" max="3840" width="8.83203125" customWidth="1"/>
    <col min="3841" max="3841" width="13.1640625" customWidth="1"/>
    <col min="3842" max="3842" width="14.33203125" customWidth="1"/>
    <col min="3843" max="3843" width="10.5" customWidth="1"/>
    <col min="3844" max="3844" width="9.6640625" customWidth="1"/>
    <col min="3845" max="3845" width="12.5" customWidth="1"/>
    <col min="3846" max="3846" width="19.83203125" customWidth="1"/>
    <col min="3847" max="3848" width="12.5" customWidth="1"/>
    <col min="3849" max="3849" width="11" customWidth="1"/>
    <col min="3850" max="3850" width="14.5" customWidth="1"/>
    <col min="3851" max="3851" width="11" customWidth="1"/>
    <col min="3852" max="3852" width="8.83203125" customWidth="1"/>
    <col min="3853" max="3853" width="9.5" customWidth="1"/>
    <col min="3854" max="3854" width="16.5" customWidth="1"/>
    <col min="3855" max="3855" width="20.33203125" bestFit="1" customWidth="1"/>
    <col min="3856" max="3856" width="25.33203125" bestFit="1" customWidth="1"/>
    <col min="3857" max="3857" width="23.33203125" bestFit="1" customWidth="1"/>
    <col min="3858" max="3858" width="18.1640625" bestFit="1" customWidth="1"/>
    <col min="3859" max="3859" width="18.6640625" bestFit="1" customWidth="1"/>
    <col min="3860" max="3860" width="16.83203125" bestFit="1" customWidth="1"/>
    <col min="3861" max="3861" width="10.5" customWidth="1"/>
    <col min="3862" max="3862" width="12.83203125" customWidth="1"/>
    <col min="3863" max="3863" width="14.5" customWidth="1"/>
    <col min="3864" max="3864" width="13.83203125" customWidth="1"/>
    <col min="3865" max="3865" width="17.5" customWidth="1"/>
    <col min="3866" max="3866" width="16.33203125" customWidth="1"/>
    <col min="3867" max="3867" width="20.5" customWidth="1"/>
    <col min="3868" max="3868" width="29.1640625" bestFit="1" customWidth="1"/>
    <col min="3869" max="3869" width="29.33203125" bestFit="1" customWidth="1"/>
    <col min="3870" max="3870" width="14.5" bestFit="1" customWidth="1"/>
    <col min="3871" max="3871" width="16.5" bestFit="1" customWidth="1"/>
    <col min="3872" max="3872" width="29.1640625" bestFit="1" customWidth="1"/>
    <col min="3873" max="3873" width="30.5" bestFit="1" customWidth="1"/>
    <col min="3874" max="3874" width="14.5" bestFit="1" customWidth="1"/>
    <col min="3875" max="3875" width="16.5" bestFit="1" customWidth="1"/>
    <col min="3876" max="3876" width="29.1640625" bestFit="1" customWidth="1"/>
    <col min="3877" max="3877" width="30.5" bestFit="1" customWidth="1"/>
    <col min="3878" max="3878" width="14.5" bestFit="1" customWidth="1"/>
    <col min="3879" max="3879" width="16.5" bestFit="1" customWidth="1"/>
    <col min="3880" max="3880" width="29.1640625" bestFit="1" customWidth="1"/>
    <col min="3881" max="3881" width="29.33203125" bestFit="1" customWidth="1"/>
    <col min="3882" max="3882" width="14.5" bestFit="1" customWidth="1"/>
    <col min="3883" max="3883" width="16.5" bestFit="1" customWidth="1"/>
    <col min="3884" max="3884" width="29.1640625" bestFit="1" customWidth="1"/>
    <col min="3885" max="3885" width="29.33203125" bestFit="1" customWidth="1"/>
    <col min="3886" max="4096" width="8.83203125" customWidth="1"/>
    <col min="4097" max="4097" width="13.1640625" customWidth="1"/>
    <col min="4098" max="4098" width="14.33203125" customWidth="1"/>
    <col min="4099" max="4099" width="10.5" customWidth="1"/>
    <col min="4100" max="4100" width="9.6640625" customWidth="1"/>
    <col min="4101" max="4101" width="12.5" customWidth="1"/>
    <col min="4102" max="4102" width="19.83203125" customWidth="1"/>
    <col min="4103" max="4104" width="12.5" customWidth="1"/>
    <col min="4105" max="4105" width="11" customWidth="1"/>
    <col min="4106" max="4106" width="14.5" customWidth="1"/>
    <col min="4107" max="4107" width="11" customWidth="1"/>
    <col min="4108" max="4108" width="8.83203125" customWidth="1"/>
    <col min="4109" max="4109" width="9.5" customWidth="1"/>
    <col min="4110" max="4110" width="16.5" customWidth="1"/>
    <col min="4111" max="4111" width="20.33203125" bestFit="1" customWidth="1"/>
    <col min="4112" max="4112" width="25.33203125" bestFit="1" customWidth="1"/>
    <col min="4113" max="4113" width="23.33203125" bestFit="1" customWidth="1"/>
    <col min="4114" max="4114" width="18.1640625" bestFit="1" customWidth="1"/>
    <col min="4115" max="4115" width="18.6640625" bestFit="1" customWidth="1"/>
    <col min="4116" max="4116" width="16.83203125" bestFit="1" customWidth="1"/>
    <col min="4117" max="4117" width="10.5" customWidth="1"/>
    <col min="4118" max="4118" width="12.83203125" customWidth="1"/>
    <col min="4119" max="4119" width="14.5" customWidth="1"/>
    <col min="4120" max="4120" width="13.83203125" customWidth="1"/>
    <col min="4121" max="4121" width="17.5" customWidth="1"/>
    <col min="4122" max="4122" width="16.33203125" customWidth="1"/>
    <col min="4123" max="4123" width="20.5" customWidth="1"/>
    <col min="4124" max="4124" width="29.1640625" bestFit="1" customWidth="1"/>
    <col min="4125" max="4125" width="29.33203125" bestFit="1" customWidth="1"/>
    <col min="4126" max="4126" width="14.5" bestFit="1" customWidth="1"/>
    <col min="4127" max="4127" width="16.5" bestFit="1" customWidth="1"/>
    <col min="4128" max="4128" width="29.1640625" bestFit="1" customWidth="1"/>
    <col min="4129" max="4129" width="30.5" bestFit="1" customWidth="1"/>
    <col min="4130" max="4130" width="14.5" bestFit="1" customWidth="1"/>
    <col min="4131" max="4131" width="16.5" bestFit="1" customWidth="1"/>
    <col min="4132" max="4132" width="29.1640625" bestFit="1" customWidth="1"/>
    <col min="4133" max="4133" width="30.5" bestFit="1" customWidth="1"/>
    <col min="4134" max="4134" width="14.5" bestFit="1" customWidth="1"/>
    <col min="4135" max="4135" width="16.5" bestFit="1" customWidth="1"/>
    <col min="4136" max="4136" width="29.1640625" bestFit="1" customWidth="1"/>
    <col min="4137" max="4137" width="29.33203125" bestFit="1" customWidth="1"/>
    <col min="4138" max="4138" width="14.5" bestFit="1" customWidth="1"/>
    <col min="4139" max="4139" width="16.5" bestFit="1" customWidth="1"/>
    <col min="4140" max="4140" width="29.1640625" bestFit="1" customWidth="1"/>
    <col min="4141" max="4141" width="29.33203125" bestFit="1" customWidth="1"/>
    <col min="4142" max="4352" width="8.83203125" customWidth="1"/>
    <col min="4353" max="4353" width="13.1640625" customWidth="1"/>
    <col min="4354" max="4354" width="14.33203125" customWidth="1"/>
    <col min="4355" max="4355" width="10.5" customWidth="1"/>
    <col min="4356" max="4356" width="9.6640625" customWidth="1"/>
    <col min="4357" max="4357" width="12.5" customWidth="1"/>
    <col min="4358" max="4358" width="19.83203125" customWidth="1"/>
    <col min="4359" max="4360" width="12.5" customWidth="1"/>
    <col min="4361" max="4361" width="11" customWidth="1"/>
    <col min="4362" max="4362" width="14.5" customWidth="1"/>
    <col min="4363" max="4363" width="11" customWidth="1"/>
    <col min="4364" max="4364" width="8.83203125" customWidth="1"/>
    <col min="4365" max="4365" width="9.5" customWidth="1"/>
    <col min="4366" max="4366" width="16.5" customWidth="1"/>
    <col min="4367" max="4367" width="20.33203125" bestFit="1" customWidth="1"/>
    <col min="4368" max="4368" width="25.33203125" bestFit="1" customWidth="1"/>
    <col min="4369" max="4369" width="23.33203125" bestFit="1" customWidth="1"/>
    <col min="4370" max="4370" width="18.1640625" bestFit="1" customWidth="1"/>
    <col min="4371" max="4371" width="18.6640625" bestFit="1" customWidth="1"/>
    <col min="4372" max="4372" width="16.83203125" bestFit="1" customWidth="1"/>
    <col min="4373" max="4373" width="10.5" customWidth="1"/>
    <col min="4374" max="4374" width="12.83203125" customWidth="1"/>
    <col min="4375" max="4375" width="14.5" customWidth="1"/>
    <col min="4376" max="4376" width="13.83203125" customWidth="1"/>
    <col min="4377" max="4377" width="17.5" customWidth="1"/>
    <col min="4378" max="4378" width="16.33203125" customWidth="1"/>
    <col min="4379" max="4379" width="20.5" customWidth="1"/>
    <col min="4380" max="4380" width="29.1640625" bestFit="1" customWidth="1"/>
    <col min="4381" max="4381" width="29.33203125" bestFit="1" customWidth="1"/>
    <col min="4382" max="4382" width="14.5" bestFit="1" customWidth="1"/>
    <col min="4383" max="4383" width="16.5" bestFit="1" customWidth="1"/>
    <col min="4384" max="4384" width="29.1640625" bestFit="1" customWidth="1"/>
    <col min="4385" max="4385" width="30.5" bestFit="1" customWidth="1"/>
    <col min="4386" max="4386" width="14.5" bestFit="1" customWidth="1"/>
    <col min="4387" max="4387" width="16.5" bestFit="1" customWidth="1"/>
    <col min="4388" max="4388" width="29.1640625" bestFit="1" customWidth="1"/>
    <col min="4389" max="4389" width="30.5" bestFit="1" customWidth="1"/>
    <col min="4390" max="4390" width="14.5" bestFit="1" customWidth="1"/>
    <col min="4391" max="4391" width="16.5" bestFit="1" customWidth="1"/>
    <col min="4392" max="4392" width="29.1640625" bestFit="1" customWidth="1"/>
    <col min="4393" max="4393" width="29.33203125" bestFit="1" customWidth="1"/>
    <col min="4394" max="4394" width="14.5" bestFit="1" customWidth="1"/>
    <col min="4395" max="4395" width="16.5" bestFit="1" customWidth="1"/>
    <col min="4396" max="4396" width="29.1640625" bestFit="1" customWidth="1"/>
    <col min="4397" max="4397" width="29.33203125" bestFit="1" customWidth="1"/>
    <col min="4398" max="4608" width="8.83203125" customWidth="1"/>
    <col min="4609" max="4609" width="13.1640625" customWidth="1"/>
    <col min="4610" max="4610" width="14.33203125" customWidth="1"/>
    <col min="4611" max="4611" width="10.5" customWidth="1"/>
    <col min="4612" max="4612" width="9.6640625" customWidth="1"/>
    <col min="4613" max="4613" width="12.5" customWidth="1"/>
    <col min="4614" max="4614" width="19.83203125" customWidth="1"/>
    <col min="4615" max="4616" width="12.5" customWidth="1"/>
    <col min="4617" max="4617" width="11" customWidth="1"/>
    <col min="4618" max="4618" width="14.5" customWidth="1"/>
    <col min="4619" max="4619" width="11" customWidth="1"/>
    <col min="4620" max="4620" width="8.83203125" customWidth="1"/>
    <col min="4621" max="4621" width="9.5" customWidth="1"/>
    <col min="4622" max="4622" width="16.5" customWidth="1"/>
    <col min="4623" max="4623" width="20.33203125" bestFit="1" customWidth="1"/>
    <col min="4624" max="4624" width="25.33203125" bestFit="1" customWidth="1"/>
    <col min="4625" max="4625" width="23.33203125" bestFit="1" customWidth="1"/>
    <col min="4626" max="4626" width="18.1640625" bestFit="1" customWidth="1"/>
    <col min="4627" max="4627" width="18.6640625" bestFit="1" customWidth="1"/>
    <col min="4628" max="4628" width="16.83203125" bestFit="1" customWidth="1"/>
    <col min="4629" max="4629" width="10.5" customWidth="1"/>
    <col min="4630" max="4630" width="12.83203125" customWidth="1"/>
    <col min="4631" max="4631" width="14.5" customWidth="1"/>
    <col min="4632" max="4632" width="13.83203125" customWidth="1"/>
    <col min="4633" max="4633" width="17.5" customWidth="1"/>
    <col min="4634" max="4634" width="16.33203125" customWidth="1"/>
    <col min="4635" max="4635" width="20.5" customWidth="1"/>
    <col min="4636" max="4636" width="29.1640625" bestFit="1" customWidth="1"/>
    <col min="4637" max="4637" width="29.33203125" bestFit="1" customWidth="1"/>
    <col min="4638" max="4638" width="14.5" bestFit="1" customWidth="1"/>
    <col min="4639" max="4639" width="16.5" bestFit="1" customWidth="1"/>
    <col min="4640" max="4640" width="29.1640625" bestFit="1" customWidth="1"/>
    <col min="4641" max="4641" width="30.5" bestFit="1" customWidth="1"/>
    <col min="4642" max="4642" width="14.5" bestFit="1" customWidth="1"/>
    <col min="4643" max="4643" width="16.5" bestFit="1" customWidth="1"/>
    <col min="4644" max="4644" width="29.1640625" bestFit="1" customWidth="1"/>
    <col min="4645" max="4645" width="30.5" bestFit="1" customWidth="1"/>
    <col min="4646" max="4646" width="14.5" bestFit="1" customWidth="1"/>
    <col min="4647" max="4647" width="16.5" bestFit="1" customWidth="1"/>
    <col min="4648" max="4648" width="29.1640625" bestFit="1" customWidth="1"/>
    <col min="4649" max="4649" width="29.33203125" bestFit="1" customWidth="1"/>
    <col min="4650" max="4650" width="14.5" bestFit="1" customWidth="1"/>
    <col min="4651" max="4651" width="16.5" bestFit="1" customWidth="1"/>
    <col min="4652" max="4652" width="29.1640625" bestFit="1" customWidth="1"/>
    <col min="4653" max="4653" width="29.33203125" bestFit="1" customWidth="1"/>
    <col min="4654" max="4864" width="8.83203125" customWidth="1"/>
    <col min="4865" max="4865" width="13.1640625" customWidth="1"/>
    <col min="4866" max="4866" width="14.33203125" customWidth="1"/>
    <col min="4867" max="4867" width="10.5" customWidth="1"/>
    <col min="4868" max="4868" width="9.6640625" customWidth="1"/>
    <col min="4869" max="4869" width="12.5" customWidth="1"/>
    <col min="4870" max="4870" width="19.83203125" customWidth="1"/>
    <col min="4871" max="4872" width="12.5" customWidth="1"/>
    <col min="4873" max="4873" width="11" customWidth="1"/>
    <col min="4874" max="4874" width="14.5" customWidth="1"/>
    <col min="4875" max="4875" width="11" customWidth="1"/>
    <col min="4876" max="4876" width="8.83203125" customWidth="1"/>
    <col min="4877" max="4877" width="9.5" customWidth="1"/>
    <col min="4878" max="4878" width="16.5" customWidth="1"/>
    <col min="4879" max="4879" width="20.33203125" bestFit="1" customWidth="1"/>
    <col min="4880" max="4880" width="25.33203125" bestFit="1" customWidth="1"/>
    <col min="4881" max="4881" width="23.33203125" bestFit="1" customWidth="1"/>
    <col min="4882" max="4882" width="18.1640625" bestFit="1" customWidth="1"/>
    <col min="4883" max="4883" width="18.6640625" bestFit="1" customWidth="1"/>
    <col min="4884" max="4884" width="16.83203125" bestFit="1" customWidth="1"/>
    <col min="4885" max="4885" width="10.5" customWidth="1"/>
    <col min="4886" max="4886" width="12.83203125" customWidth="1"/>
    <col min="4887" max="4887" width="14.5" customWidth="1"/>
    <col min="4888" max="4888" width="13.83203125" customWidth="1"/>
    <col min="4889" max="4889" width="17.5" customWidth="1"/>
    <col min="4890" max="4890" width="16.33203125" customWidth="1"/>
    <col min="4891" max="4891" width="20.5" customWidth="1"/>
    <col min="4892" max="4892" width="29.1640625" bestFit="1" customWidth="1"/>
    <col min="4893" max="4893" width="29.33203125" bestFit="1" customWidth="1"/>
    <col min="4894" max="4894" width="14.5" bestFit="1" customWidth="1"/>
    <col min="4895" max="4895" width="16.5" bestFit="1" customWidth="1"/>
    <col min="4896" max="4896" width="29.1640625" bestFit="1" customWidth="1"/>
    <col min="4897" max="4897" width="30.5" bestFit="1" customWidth="1"/>
    <col min="4898" max="4898" width="14.5" bestFit="1" customWidth="1"/>
    <col min="4899" max="4899" width="16.5" bestFit="1" customWidth="1"/>
    <col min="4900" max="4900" width="29.1640625" bestFit="1" customWidth="1"/>
    <col min="4901" max="4901" width="30.5" bestFit="1" customWidth="1"/>
    <col min="4902" max="4902" width="14.5" bestFit="1" customWidth="1"/>
    <col min="4903" max="4903" width="16.5" bestFit="1" customWidth="1"/>
    <col min="4904" max="4904" width="29.1640625" bestFit="1" customWidth="1"/>
    <col min="4905" max="4905" width="29.33203125" bestFit="1" customWidth="1"/>
    <col min="4906" max="4906" width="14.5" bestFit="1" customWidth="1"/>
    <col min="4907" max="4907" width="16.5" bestFit="1" customWidth="1"/>
    <col min="4908" max="4908" width="29.1640625" bestFit="1" customWidth="1"/>
    <col min="4909" max="4909" width="29.33203125" bestFit="1" customWidth="1"/>
    <col min="4910" max="5120" width="8.83203125" customWidth="1"/>
    <col min="5121" max="5121" width="13.1640625" customWidth="1"/>
    <col min="5122" max="5122" width="14.33203125" customWidth="1"/>
    <col min="5123" max="5123" width="10.5" customWidth="1"/>
    <col min="5124" max="5124" width="9.6640625" customWidth="1"/>
    <col min="5125" max="5125" width="12.5" customWidth="1"/>
    <col min="5126" max="5126" width="19.83203125" customWidth="1"/>
    <col min="5127" max="5128" width="12.5" customWidth="1"/>
    <col min="5129" max="5129" width="11" customWidth="1"/>
    <col min="5130" max="5130" width="14.5" customWidth="1"/>
    <col min="5131" max="5131" width="11" customWidth="1"/>
    <col min="5132" max="5132" width="8.83203125" customWidth="1"/>
    <col min="5133" max="5133" width="9.5" customWidth="1"/>
    <col min="5134" max="5134" width="16.5" customWidth="1"/>
    <col min="5135" max="5135" width="20.33203125" bestFit="1" customWidth="1"/>
    <col min="5136" max="5136" width="25.33203125" bestFit="1" customWidth="1"/>
    <col min="5137" max="5137" width="23.33203125" bestFit="1" customWidth="1"/>
    <col min="5138" max="5138" width="18.1640625" bestFit="1" customWidth="1"/>
    <col min="5139" max="5139" width="18.6640625" bestFit="1" customWidth="1"/>
    <col min="5140" max="5140" width="16.83203125" bestFit="1" customWidth="1"/>
    <col min="5141" max="5141" width="10.5" customWidth="1"/>
    <col min="5142" max="5142" width="12.83203125" customWidth="1"/>
    <col min="5143" max="5143" width="14.5" customWidth="1"/>
    <col min="5144" max="5144" width="13.83203125" customWidth="1"/>
    <col min="5145" max="5145" width="17.5" customWidth="1"/>
    <col min="5146" max="5146" width="16.33203125" customWidth="1"/>
    <col min="5147" max="5147" width="20.5" customWidth="1"/>
    <col min="5148" max="5148" width="29.1640625" bestFit="1" customWidth="1"/>
    <col min="5149" max="5149" width="29.33203125" bestFit="1" customWidth="1"/>
    <col min="5150" max="5150" width="14.5" bestFit="1" customWidth="1"/>
    <col min="5151" max="5151" width="16.5" bestFit="1" customWidth="1"/>
    <col min="5152" max="5152" width="29.1640625" bestFit="1" customWidth="1"/>
    <col min="5153" max="5153" width="30.5" bestFit="1" customWidth="1"/>
    <col min="5154" max="5154" width="14.5" bestFit="1" customWidth="1"/>
    <col min="5155" max="5155" width="16.5" bestFit="1" customWidth="1"/>
    <col min="5156" max="5156" width="29.1640625" bestFit="1" customWidth="1"/>
    <col min="5157" max="5157" width="30.5" bestFit="1" customWidth="1"/>
    <col min="5158" max="5158" width="14.5" bestFit="1" customWidth="1"/>
    <col min="5159" max="5159" width="16.5" bestFit="1" customWidth="1"/>
    <col min="5160" max="5160" width="29.1640625" bestFit="1" customWidth="1"/>
    <col min="5161" max="5161" width="29.33203125" bestFit="1" customWidth="1"/>
    <col min="5162" max="5162" width="14.5" bestFit="1" customWidth="1"/>
    <col min="5163" max="5163" width="16.5" bestFit="1" customWidth="1"/>
    <col min="5164" max="5164" width="29.1640625" bestFit="1" customWidth="1"/>
    <col min="5165" max="5165" width="29.33203125" bestFit="1" customWidth="1"/>
    <col min="5166" max="5376" width="8.83203125" customWidth="1"/>
    <col min="5377" max="5377" width="13.1640625" customWidth="1"/>
    <col min="5378" max="5378" width="14.33203125" customWidth="1"/>
    <col min="5379" max="5379" width="10.5" customWidth="1"/>
    <col min="5380" max="5380" width="9.6640625" customWidth="1"/>
    <col min="5381" max="5381" width="12.5" customWidth="1"/>
    <col min="5382" max="5382" width="19.83203125" customWidth="1"/>
    <col min="5383" max="5384" width="12.5" customWidth="1"/>
    <col min="5385" max="5385" width="11" customWidth="1"/>
    <col min="5386" max="5386" width="14.5" customWidth="1"/>
    <col min="5387" max="5387" width="11" customWidth="1"/>
    <col min="5388" max="5388" width="8.83203125" customWidth="1"/>
    <col min="5389" max="5389" width="9.5" customWidth="1"/>
    <col min="5390" max="5390" width="16.5" customWidth="1"/>
    <col min="5391" max="5391" width="20.33203125" bestFit="1" customWidth="1"/>
    <col min="5392" max="5392" width="25.33203125" bestFit="1" customWidth="1"/>
    <col min="5393" max="5393" width="23.33203125" bestFit="1" customWidth="1"/>
    <col min="5394" max="5394" width="18.1640625" bestFit="1" customWidth="1"/>
    <col min="5395" max="5395" width="18.6640625" bestFit="1" customWidth="1"/>
    <col min="5396" max="5396" width="16.83203125" bestFit="1" customWidth="1"/>
    <col min="5397" max="5397" width="10.5" customWidth="1"/>
    <col min="5398" max="5398" width="12.83203125" customWidth="1"/>
    <col min="5399" max="5399" width="14.5" customWidth="1"/>
    <col min="5400" max="5400" width="13.83203125" customWidth="1"/>
    <col min="5401" max="5401" width="17.5" customWidth="1"/>
    <col min="5402" max="5402" width="16.33203125" customWidth="1"/>
    <col min="5403" max="5403" width="20.5" customWidth="1"/>
    <col min="5404" max="5404" width="29.1640625" bestFit="1" customWidth="1"/>
    <col min="5405" max="5405" width="29.33203125" bestFit="1" customWidth="1"/>
    <col min="5406" max="5406" width="14.5" bestFit="1" customWidth="1"/>
    <col min="5407" max="5407" width="16.5" bestFit="1" customWidth="1"/>
    <col min="5408" max="5408" width="29.1640625" bestFit="1" customWidth="1"/>
    <col min="5409" max="5409" width="30.5" bestFit="1" customWidth="1"/>
    <col min="5410" max="5410" width="14.5" bestFit="1" customWidth="1"/>
    <col min="5411" max="5411" width="16.5" bestFit="1" customWidth="1"/>
    <col min="5412" max="5412" width="29.1640625" bestFit="1" customWidth="1"/>
    <col min="5413" max="5413" width="30.5" bestFit="1" customWidth="1"/>
    <col min="5414" max="5414" width="14.5" bestFit="1" customWidth="1"/>
    <col min="5415" max="5415" width="16.5" bestFit="1" customWidth="1"/>
    <col min="5416" max="5416" width="29.1640625" bestFit="1" customWidth="1"/>
    <col min="5417" max="5417" width="29.33203125" bestFit="1" customWidth="1"/>
    <col min="5418" max="5418" width="14.5" bestFit="1" customWidth="1"/>
    <col min="5419" max="5419" width="16.5" bestFit="1" customWidth="1"/>
    <col min="5420" max="5420" width="29.1640625" bestFit="1" customWidth="1"/>
    <col min="5421" max="5421" width="29.33203125" bestFit="1" customWidth="1"/>
    <col min="5422" max="5632" width="8.83203125" customWidth="1"/>
    <col min="5633" max="5633" width="13.1640625" customWidth="1"/>
    <col min="5634" max="5634" width="14.33203125" customWidth="1"/>
    <col min="5635" max="5635" width="10.5" customWidth="1"/>
    <col min="5636" max="5636" width="9.6640625" customWidth="1"/>
    <col min="5637" max="5637" width="12.5" customWidth="1"/>
    <col min="5638" max="5638" width="19.83203125" customWidth="1"/>
    <col min="5639" max="5640" width="12.5" customWidth="1"/>
    <col min="5641" max="5641" width="11" customWidth="1"/>
    <col min="5642" max="5642" width="14.5" customWidth="1"/>
    <col min="5643" max="5643" width="11" customWidth="1"/>
    <col min="5644" max="5644" width="8.83203125" customWidth="1"/>
    <col min="5645" max="5645" width="9.5" customWidth="1"/>
    <col min="5646" max="5646" width="16.5" customWidth="1"/>
    <col min="5647" max="5647" width="20.33203125" bestFit="1" customWidth="1"/>
    <col min="5648" max="5648" width="25.33203125" bestFit="1" customWidth="1"/>
    <col min="5649" max="5649" width="23.33203125" bestFit="1" customWidth="1"/>
    <col min="5650" max="5650" width="18.1640625" bestFit="1" customWidth="1"/>
    <col min="5651" max="5651" width="18.6640625" bestFit="1" customWidth="1"/>
    <col min="5652" max="5652" width="16.83203125" bestFit="1" customWidth="1"/>
    <col min="5653" max="5653" width="10.5" customWidth="1"/>
    <col min="5654" max="5654" width="12.83203125" customWidth="1"/>
    <col min="5655" max="5655" width="14.5" customWidth="1"/>
    <col min="5656" max="5656" width="13.83203125" customWidth="1"/>
    <col min="5657" max="5657" width="17.5" customWidth="1"/>
    <col min="5658" max="5658" width="16.33203125" customWidth="1"/>
    <col min="5659" max="5659" width="20.5" customWidth="1"/>
    <col min="5660" max="5660" width="29.1640625" bestFit="1" customWidth="1"/>
    <col min="5661" max="5661" width="29.33203125" bestFit="1" customWidth="1"/>
    <col min="5662" max="5662" width="14.5" bestFit="1" customWidth="1"/>
    <col min="5663" max="5663" width="16.5" bestFit="1" customWidth="1"/>
    <col min="5664" max="5664" width="29.1640625" bestFit="1" customWidth="1"/>
    <col min="5665" max="5665" width="30.5" bestFit="1" customWidth="1"/>
    <col min="5666" max="5666" width="14.5" bestFit="1" customWidth="1"/>
    <col min="5667" max="5667" width="16.5" bestFit="1" customWidth="1"/>
    <col min="5668" max="5668" width="29.1640625" bestFit="1" customWidth="1"/>
    <col min="5669" max="5669" width="30.5" bestFit="1" customWidth="1"/>
    <col min="5670" max="5670" width="14.5" bestFit="1" customWidth="1"/>
    <col min="5671" max="5671" width="16.5" bestFit="1" customWidth="1"/>
    <col min="5672" max="5672" width="29.1640625" bestFit="1" customWidth="1"/>
    <col min="5673" max="5673" width="29.33203125" bestFit="1" customWidth="1"/>
    <col min="5674" max="5674" width="14.5" bestFit="1" customWidth="1"/>
    <col min="5675" max="5675" width="16.5" bestFit="1" customWidth="1"/>
    <col min="5676" max="5676" width="29.1640625" bestFit="1" customWidth="1"/>
    <col min="5677" max="5677" width="29.33203125" bestFit="1" customWidth="1"/>
    <col min="5678" max="5888" width="8.83203125" customWidth="1"/>
    <col min="5889" max="5889" width="13.1640625" customWidth="1"/>
    <col min="5890" max="5890" width="14.33203125" customWidth="1"/>
    <col min="5891" max="5891" width="10.5" customWidth="1"/>
    <col min="5892" max="5892" width="9.6640625" customWidth="1"/>
    <col min="5893" max="5893" width="12.5" customWidth="1"/>
    <col min="5894" max="5894" width="19.83203125" customWidth="1"/>
    <col min="5895" max="5896" width="12.5" customWidth="1"/>
    <col min="5897" max="5897" width="11" customWidth="1"/>
    <col min="5898" max="5898" width="14.5" customWidth="1"/>
    <col min="5899" max="5899" width="11" customWidth="1"/>
    <col min="5900" max="5900" width="8.83203125" customWidth="1"/>
    <col min="5901" max="5901" width="9.5" customWidth="1"/>
    <col min="5902" max="5902" width="16.5" customWidth="1"/>
    <col min="5903" max="5903" width="20.33203125" bestFit="1" customWidth="1"/>
    <col min="5904" max="5904" width="25.33203125" bestFit="1" customWidth="1"/>
    <col min="5905" max="5905" width="23.33203125" bestFit="1" customWidth="1"/>
    <col min="5906" max="5906" width="18.1640625" bestFit="1" customWidth="1"/>
    <col min="5907" max="5907" width="18.6640625" bestFit="1" customWidth="1"/>
    <col min="5908" max="5908" width="16.83203125" bestFit="1" customWidth="1"/>
    <col min="5909" max="5909" width="10.5" customWidth="1"/>
    <col min="5910" max="5910" width="12.83203125" customWidth="1"/>
    <col min="5911" max="5911" width="14.5" customWidth="1"/>
    <col min="5912" max="5912" width="13.83203125" customWidth="1"/>
    <col min="5913" max="5913" width="17.5" customWidth="1"/>
    <col min="5914" max="5914" width="16.33203125" customWidth="1"/>
    <col min="5915" max="5915" width="20.5" customWidth="1"/>
    <col min="5916" max="5916" width="29.1640625" bestFit="1" customWidth="1"/>
    <col min="5917" max="5917" width="29.33203125" bestFit="1" customWidth="1"/>
    <col min="5918" max="5918" width="14.5" bestFit="1" customWidth="1"/>
    <col min="5919" max="5919" width="16.5" bestFit="1" customWidth="1"/>
    <col min="5920" max="5920" width="29.1640625" bestFit="1" customWidth="1"/>
    <col min="5921" max="5921" width="30.5" bestFit="1" customWidth="1"/>
    <col min="5922" max="5922" width="14.5" bestFit="1" customWidth="1"/>
    <col min="5923" max="5923" width="16.5" bestFit="1" customWidth="1"/>
    <col min="5924" max="5924" width="29.1640625" bestFit="1" customWidth="1"/>
    <col min="5925" max="5925" width="30.5" bestFit="1" customWidth="1"/>
    <col min="5926" max="5926" width="14.5" bestFit="1" customWidth="1"/>
    <col min="5927" max="5927" width="16.5" bestFit="1" customWidth="1"/>
    <col min="5928" max="5928" width="29.1640625" bestFit="1" customWidth="1"/>
    <col min="5929" max="5929" width="29.33203125" bestFit="1" customWidth="1"/>
    <col min="5930" max="5930" width="14.5" bestFit="1" customWidth="1"/>
    <col min="5931" max="5931" width="16.5" bestFit="1" customWidth="1"/>
    <col min="5932" max="5932" width="29.1640625" bestFit="1" customWidth="1"/>
    <col min="5933" max="5933" width="29.33203125" bestFit="1" customWidth="1"/>
    <col min="5934" max="6144" width="8.83203125" customWidth="1"/>
    <col min="6145" max="6145" width="13.1640625" customWidth="1"/>
    <col min="6146" max="6146" width="14.33203125" customWidth="1"/>
    <col min="6147" max="6147" width="10.5" customWidth="1"/>
    <col min="6148" max="6148" width="9.6640625" customWidth="1"/>
    <col min="6149" max="6149" width="12.5" customWidth="1"/>
    <col min="6150" max="6150" width="19.83203125" customWidth="1"/>
    <col min="6151" max="6152" width="12.5" customWidth="1"/>
    <col min="6153" max="6153" width="11" customWidth="1"/>
    <col min="6154" max="6154" width="14.5" customWidth="1"/>
    <col min="6155" max="6155" width="11" customWidth="1"/>
    <col min="6156" max="6156" width="8.83203125" customWidth="1"/>
    <col min="6157" max="6157" width="9.5" customWidth="1"/>
    <col min="6158" max="6158" width="16.5" customWidth="1"/>
    <col min="6159" max="6159" width="20.33203125" bestFit="1" customWidth="1"/>
    <col min="6160" max="6160" width="25.33203125" bestFit="1" customWidth="1"/>
    <col min="6161" max="6161" width="23.33203125" bestFit="1" customWidth="1"/>
    <col min="6162" max="6162" width="18.1640625" bestFit="1" customWidth="1"/>
    <col min="6163" max="6163" width="18.6640625" bestFit="1" customWidth="1"/>
    <col min="6164" max="6164" width="16.83203125" bestFit="1" customWidth="1"/>
    <col min="6165" max="6165" width="10.5" customWidth="1"/>
    <col min="6166" max="6166" width="12.83203125" customWidth="1"/>
    <col min="6167" max="6167" width="14.5" customWidth="1"/>
    <col min="6168" max="6168" width="13.83203125" customWidth="1"/>
    <col min="6169" max="6169" width="17.5" customWidth="1"/>
    <col min="6170" max="6170" width="16.33203125" customWidth="1"/>
    <col min="6171" max="6171" width="20.5" customWidth="1"/>
    <col min="6172" max="6172" width="29.1640625" bestFit="1" customWidth="1"/>
    <col min="6173" max="6173" width="29.33203125" bestFit="1" customWidth="1"/>
    <col min="6174" max="6174" width="14.5" bestFit="1" customWidth="1"/>
    <col min="6175" max="6175" width="16.5" bestFit="1" customWidth="1"/>
    <col min="6176" max="6176" width="29.1640625" bestFit="1" customWidth="1"/>
    <col min="6177" max="6177" width="30.5" bestFit="1" customWidth="1"/>
    <col min="6178" max="6178" width="14.5" bestFit="1" customWidth="1"/>
    <col min="6179" max="6179" width="16.5" bestFit="1" customWidth="1"/>
    <col min="6180" max="6180" width="29.1640625" bestFit="1" customWidth="1"/>
    <col min="6181" max="6181" width="30.5" bestFit="1" customWidth="1"/>
    <col min="6182" max="6182" width="14.5" bestFit="1" customWidth="1"/>
    <col min="6183" max="6183" width="16.5" bestFit="1" customWidth="1"/>
    <col min="6184" max="6184" width="29.1640625" bestFit="1" customWidth="1"/>
    <col min="6185" max="6185" width="29.33203125" bestFit="1" customWidth="1"/>
    <col min="6186" max="6186" width="14.5" bestFit="1" customWidth="1"/>
    <col min="6187" max="6187" width="16.5" bestFit="1" customWidth="1"/>
    <col min="6188" max="6188" width="29.1640625" bestFit="1" customWidth="1"/>
    <col min="6189" max="6189" width="29.33203125" bestFit="1" customWidth="1"/>
    <col min="6190" max="6400" width="8.83203125" customWidth="1"/>
    <col min="6401" max="6401" width="13.1640625" customWidth="1"/>
    <col min="6402" max="6402" width="14.33203125" customWidth="1"/>
    <col min="6403" max="6403" width="10.5" customWidth="1"/>
    <col min="6404" max="6404" width="9.6640625" customWidth="1"/>
    <col min="6405" max="6405" width="12.5" customWidth="1"/>
    <col min="6406" max="6406" width="19.83203125" customWidth="1"/>
    <col min="6407" max="6408" width="12.5" customWidth="1"/>
    <col min="6409" max="6409" width="11" customWidth="1"/>
    <col min="6410" max="6410" width="14.5" customWidth="1"/>
    <col min="6411" max="6411" width="11" customWidth="1"/>
    <col min="6412" max="6412" width="8.83203125" customWidth="1"/>
    <col min="6413" max="6413" width="9.5" customWidth="1"/>
    <col min="6414" max="6414" width="16.5" customWidth="1"/>
    <col min="6415" max="6415" width="20.33203125" bestFit="1" customWidth="1"/>
    <col min="6416" max="6416" width="25.33203125" bestFit="1" customWidth="1"/>
    <col min="6417" max="6417" width="23.33203125" bestFit="1" customWidth="1"/>
    <col min="6418" max="6418" width="18.1640625" bestFit="1" customWidth="1"/>
    <col min="6419" max="6419" width="18.6640625" bestFit="1" customWidth="1"/>
    <col min="6420" max="6420" width="16.83203125" bestFit="1" customWidth="1"/>
    <col min="6421" max="6421" width="10.5" customWidth="1"/>
    <col min="6422" max="6422" width="12.83203125" customWidth="1"/>
    <col min="6423" max="6423" width="14.5" customWidth="1"/>
    <col min="6424" max="6424" width="13.83203125" customWidth="1"/>
    <col min="6425" max="6425" width="17.5" customWidth="1"/>
    <col min="6426" max="6426" width="16.33203125" customWidth="1"/>
    <col min="6427" max="6427" width="20.5" customWidth="1"/>
    <col min="6428" max="6428" width="29.1640625" bestFit="1" customWidth="1"/>
    <col min="6429" max="6429" width="29.33203125" bestFit="1" customWidth="1"/>
    <col min="6430" max="6430" width="14.5" bestFit="1" customWidth="1"/>
    <col min="6431" max="6431" width="16.5" bestFit="1" customWidth="1"/>
    <col min="6432" max="6432" width="29.1640625" bestFit="1" customWidth="1"/>
    <col min="6433" max="6433" width="30.5" bestFit="1" customWidth="1"/>
    <col min="6434" max="6434" width="14.5" bestFit="1" customWidth="1"/>
    <col min="6435" max="6435" width="16.5" bestFit="1" customWidth="1"/>
    <col min="6436" max="6436" width="29.1640625" bestFit="1" customWidth="1"/>
    <col min="6437" max="6437" width="30.5" bestFit="1" customWidth="1"/>
    <col min="6438" max="6438" width="14.5" bestFit="1" customWidth="1"/>
    <col min="6439" max="6439" width="16.5" bestFit="1" customWidth="1"/>
    <col min="6440" max="6440" width="29.1640625" bestFit="1" customWidth="1"/>
    <col min="6441" max="6441" width="29.33203125" bestFit="1" customWidth="1"/>
    <col min="6442" max="6442" width="14.5" bestFit="1" customWidth="1"/>
    <col min="6443" max="6443" width="16.5" bestFit="1" customWidth="1"/>
    <col min="6444" max="6444" width="29.1640625" bestFit="1" customWidth="1"/>
    <col min="6445" max="6445" width="29.33203125" bestFit="1" customWidth="1"/>
    <col min="6446" max="6656" width="8.83203125" customWidth="1"/>
    <col min="6657" max="6657" width="13.1640625" customWidth="1"/>
    <col min="6658" max="6658" width="14.33203125" customWidth="1"/>
    <col min="6659" max="6659" width="10.5" customWidth="1"/>
    <col min="6660" max="6660" width="9.6640625" customWidth="1"/>
    <col min="6661" max="6661" width="12.5" customWidth="1"/>
    <col min="6662" max="6662" width="19.83203125" customWidth="1"/>
    <col min="6663" max="6664" width="12.5" customWidth="1"/>
    <col min="6665" max="6665" width="11" customWidth="1"/>
    <col min="6666" max="6666" width="14.5" customWidth="1"/>
    <col min="6667" max="6667" width="11" customWidth="1"/>
    <col min="6668" max="6668" width="8.83203125" customWidth="1"/>
    <col min="6669" max="6669" width="9.5" customWidth="1"/>
    <col min="6670" max="6670" width="16.5" customWidth="1"/>
    <col min="6671" max="6671" width="20.33203125" bestFit="1" customWidth="1"/>
    <col min="6672" max="6672" width="25.33203125" bestFit="1" customWidth="1"/>
    <col min="6673" max="6673" width="23.33203125" bestFit="1" customWidth="1"/>
    <col min="6674" max="6674" width="18.1640625" bestFit="1" customWidth="1"/>
    <col min="6675" max="6675" width="18.6640625" bestFit="1" customWidth="1"/>
    <col min="6676" max="6676" width="16.83203125" bestFit="1" customWidth="1"/>
    <col min="6677" max="6677" width="10.5" customWidth="1"/>
    <col min="6678" max="6678" width="12.83203125" customWidth="1"/>
    <col min="6679" max="6679" width="14.5" customWidth="1"/>
    <col min="6680" max="6680" width="13.83203125" customWidth="1"/>
    <col min="6681" max="6681" width="17.5" customWidth="1"/>
    <col min="6682" max="6682" width="16.33203125" customWidth="1"/>
    <col min="6683" max="6683" width="20.5" customWidth="1"/>
    <col min="6684" max="6684" width="29.1640625" bestFit="1" customWidth="1"/>
    <col min="6685" max="6685" width="29.33203125" bestFit="1" customWidth="1"/>
    <col min="6686" max="6686" width="14.5" bestFit="1" customWidth="1"/>
    <col min="6687" max="6687" width="16.5" bestFit="1" customWidth="1"/>
    <col min="6688" max="6688" width="29.1640625" bestFit="1" customWidth="1"/>
    <col min="6689" max="6689" width="30.5" bestFit="1" customWidth="1"/>
    <col min="6690" max="6690" width="14.5" bestFit="1" customWidth="1"/>
    <col min="6691" max="6691" width="16.5" bestFit="1" customWidth="1"/>
    <col min="6692" max="6692" width="29.1640625" bestFit="1" customWidth="1"/>
    <col min="6693" max="6693" width="30.5" bestFit="1" customWidth="1"/>
    <col min="6694" max="6694" width="14.5" bestFit="1" customWidth="1"/>
    <col min="6695" max="6695" width="16.5" bestFit="1" customWidth="1"/>
    <col min="6696" max="6696" width="29.1640625" bestFit="1" customWidth="1"/>
    <col min="6697" max="6697" width="29.33203125" bestFit="1" customWidth="1"/>
    <col min="6698" max="6698" width="14.5" bestFit="1" customWidth="1"/>
    <col min="6699" max="6699" width="16.5" bestFit="1" customWidth="1"/>
    <col min="6700" max="6700" width="29.1640625" bestFit="1" customWidth="1"/>
    <col min="6701" max="6701" width="29.33203125" bestFit="1" customWidth="1"/>
    <col min="6702" max="6912" width="8.83203125" customWidth="1"/>
    <col min="6913" max="6913" width="13.1640625" customWidth="1"/>
    <col min="6914" max="6914" width="14.33203125" customWidth="1"/>
    <col min="6915" max="6915" width="10.5" customWidth="1"/>
    <col min="6916" max="6916" width="9.6640625" customWidth="1"/>
    <col min="6917" max="6917" width="12.5" customWidth="1"/>
    <col min="6918" max="6918" width="19.83203125" customWidth="1"/>
    <col min="6919" max="6920" width="12.5" customWidth="1"/>
    <col min="6921" max="6921" width="11" customWidth="1"/>
    <col min="6922" max="6922" width="14.5" customWidth="1"/>
    <col min="6923" max="6923" width="11" customWidth="1"/>
    <col min="6924" max="6924" width="8.83203125" customWidth="1"/>
    <col min="6925" max="6925" width="9.5" customWidth="1"/>
    <col min="6926" max="6926" width="16.5" customWidth="1"/>
    <col min="6927" max="6927" width="20.33203125" bestFit="1" customWidth="1"/>
    <col min="6928" max="6928" width="25.33203125" bestFit="1" customWidth="1"/>
    <col min="6929" max="6929" width="23.33203125" bestFit="1" customWidth="1"/>
    <col min="6930" max="6930" width="18.1640625" bestFit="1" customWidth="1"/>
    <col min="6931" max="6931" width="18.6640625" bestFit="1" customWidth="1"/>
    <col min="6932" max="6932" width="16.83203125" bestFit="1" customWidth="1"/>
    <col min="6933" max="6933" width="10.5" customWidth="1"/>
    <col min="6934" max="6934" width="12.83203125" customWidth="1"/>
    <col min="6935" max="6935" width="14.5" customWidth="1"/>
    <col min="6936" max="6936" width="13.83203125" customWidth="1"/>
    <col min="6937" max="6937" width="17.5" customWidth="1"/>
    <col min="6938" max="6938" width="16.33203125" customWidth="1"/>
    <col min="6939" max="6939" width="20.5" customWidth="1"/>
    <col min="6940" max="6940" width="29.1640625" bestFit="1" customWidth="1"/>
    <col min="6941" max="6941" width="29.33203125" bestFit="1" customWidth="1"/>
    <col min="6942" max="6942" width="14.5" bestFit="1" customWidth="1"/>
    <col min="6943" max="6943" width="16.5" bestFit="1" customWidth="1"/>
    <col min="6944" max="6944" width="29.1640625" bestFit="1" customWidth="1"/>
    <col min="6945" max="6945" width="30.5" bestFit="1" customWidth="1"/>
    <col min="6946" max="6946" width="14.5" bestFit="1" customWidth="1"/>
    <col min="6947" max="6947" width="16.5" bestFit="1" customWidth="1"/>
    <col min="6948" max="6948" width="29.1640625" bestFit="1" customWidth="1"/>
    <col min="6949" max="6949" width="30.5" bestFit="1" customWidth="1"/>
    <col min="6950" max="6950" width="14.5" bestFit="1" customWidth="1"/>
    <col min="6951" max="6951" width="16.5" bestFit="1" customWidth="1"/>
    <col min="6952" max="6952" width="29.1640625" bestFit="1" customWidth="1"/>
    <col min="6953" max="6953" width="29.33203125" bestFit="1" customWidth="1"/>
    <col min="6954" max="6954" width="14.5" bestFit="1" customWidth="1"/>
    <col min="6955" max="6955" width="16.5" bestFit="1" customWidth="1"/>
    <col min="6956" max="6956" width="29.1640625" bestFit="1" customWidth="1"/>
    <col min="6957" max="6957" width="29.33203125" bestFit="1" customWidth="1"/>
    <col min="6958" max="7168" width="8.83203125" customWidth="1"/>
    <col min="7169" max="7169" width="13.1640625" customWidth="1"/>
    <col min="7170" max="7170" width="14.33203125" customWidth="1"/>
    <col min="7171" max="7171" width="10.5" customWidth="1"/>
    <col min="7172" max="7172" width="9.6640625" customWidth="1"/>
    <col min="7173" max="7173" width="12.5" customWidth="1"/>
    <col min="7174" max="7174" width="19.83203125" customWidth="1"/>
    <col min="7175" max="7176" width="12.5" customWidth="1"/>
    <col min="7177" max="7177" width="11" customWidth="1"/>
    <col min="7178" max="7178" width="14.5" customWidth="1"/>
    <col min="7179" max="7179" width="11" customWidth="1"/>
    <col min="7180" max="7180" width="8.83203125" customWidth="1"/>
    <col min="7181" max="7181" width="9.5" customWidth="1"/>
    <col min="7182" max="7182" width="16.5" customWidth="1"/>
    <col min="7183" max="7183" width="20.33203125" bestFit="1" customWidth="1"/>
    <col min="7184" max="7184" width="25.33203125" bestFit="1" customWidth="1"/>
    <col min="7185" max="7185" width="23.33203125" bestFit="1" customWidth="1"/>
    <col min="7186" max="7186" width="18.1640625" bestFit="1" customWidth="1"/>
    <col min="7187" max="7187" width="18.6640625" bestFit="1" customWidth="1"/>
    <col min="7188" max="7188" width="16.83203125" bestFit="1" customWidth="1"/>
    <col min="7189" max="7189" width="10.5" customWidth="1"/>
    <col min="7190" max="7190" width="12.83203125" customWidth="1"/>
    <col min="7191" max="7191" width="14.5" customWidth="1"/>
    <col min="7192" max="7192" width="13.83203125" customWidth="1"/>
    <col min="7193" max="7193" width="17.5" customWidth="1"/>
    <col min="7194" max="7194" width="16.33203125" customWidth="1"/>
    <col min="7195" max="7195" width="20.5" customWidth="1"/>
    <col min="7196" max="7196" width="29.1640625" bestFit="1" customWidth="1"/>
    <col min="7197" max="7197" width="29.33203125" bestFit="1" customWidth="1"/>
    <col min="7198" max="7198" width="14.5" bestFit="1" customWidth="1"/>
    <col min="7199" max="7199" width="16.5" bestFit="1" customWidth="1"/>
    <col min="7200" max="7200" width="29.1640625" bestFit="1" customWidth="1"/>
    <col min="7201" max="7201" width="30.5" bestFit="1" customWidth="1"/>
    <col min="7202" max="7202" width="14.5" bestFit="1" customWidth="1"/>
    <col min="7203" max="7203" width="16.5" bestFit="1" customWidth="1"/>
    <col min="7204" max="7204" width="29.1640625" bestFit="1" customWidth="1"/>
    <col min="7205" max="7205" width="30.5" bestFit="1" customWidth="1"/>
    <col min="7206" max="7206" width="14.5" bestFit="1" customWidth="1"/>
    <col min="7207" max="7207" width="16.5" bestFit="1" customWidth="1"/>
    <col min="7208" max="7208" width="29.1640625" bestFit="1" customWidth="1"/>
    <col min="7209" max="7209" width="29.33203125" bestFit="1" customWidth="1"/>
    <col min="7210" max="7210" width="14.5" bestFit="1" customWidth="1"/>
    <col min="7211" max="7211" width="16.5" bestFit="1" customWidth="1"/>
    <col min="7212" max="7212" width="29.1640625" bestFit="1" customWidth="1"/>
    <col min="7213" max="7213" width="29.33203125" bestFit="1" customWidth="1"/>
    <col min="7214" max="7424" width="8.83203125" customWidth="1"/>
    <col min="7425" max="7425" width="13.1640625" customWidth="1"/>
    <col min="7426" max="7426" width="14.33203125" customWidth="1"/>
    <col min="7427" max="7427" width="10.5" customWidth="1"/>
    <col min="7428" max="7428" width="9.6640625" customWidth="1"/>
    <col min="7429" max="7429" width="12.5" customWidth="1"/>
    <col min="7430" max="7430" width="19.83203125" customWidth="1"/>
    <col min="7431" max="7432" width="12.5" customWidth="1"/>
    <col min="7433" max="7433" width="11" customWidth="1"/>
    <col min="7434" max="7434" width="14.5" customWidth="1"/>
    <col min="7435" max="7435" width="11" customWidth="1"/>
    <col min="7436" max="7436" width="8.83203125" customWidth="1"/>
    <col min="7437" max="7437" width="9.5" customWidth="1"/>
    <col min="7438" max="7438" width="16.5" customWidth="1"/>
    <col min="7439" max="7439" width="20.33203125" bestFit="1" customWidth="1"/>
    <col min="7440" max="7440" width="25.33203125" bestFit="1" customWidth="1"/>
    <col min="7441" max="7441" width="23.33203125" bestFit="1" customWidth="1"/>
    <col min="7442" max="7442" width="18.1640625" bestFit="1" customWidth="1"/>
    <col min="7443" max="7443" width="18.6640625" bestFit="1" customWidth="1"/>
    <col min="7444" max="7444" width="16.83203125" bestFit="1" customWidth="1"/>
    <col min="7445" max="7445" width="10.5" customWidth="1"/>
    <col min="7446" max="7446" width="12.83203125" customWidth="1"/>
    <col min="7447" max="7447" width="14.5" customWidth="1"/>
    <col min="7448" max="7448" width="13.83203125" customWidth="1"/>
    <col min="7449" max="7449" width="17.5" customWidth="1"/>
    <col min="7450" max="7450" width="16.33203125" customWidth="1"/>
    <col min="7451" max="7451" width="20.5" customWidth="1"/>
    <col min="7452" max="7452" width="29.1640625" bestFit="1" customWidth="1"/>
    <col min="7453" max="7453" width="29.33203125" bestFit="1" customWidth="1"/>
    <col min="7454" max="7454" width="14.5" bestFit="1" customWidth="1"/>
    <col min="7455" max="7455" width="16.5" bestFit="1" customWidth="1"/>
    <col min="7456" max="7456" width="29.1640625" bestFit="1" customWidth="1"/>
    <col min="7457" max="7457" width="30.5" bestFit="1" customWidth="1"/>
    <col min="7458" max="7458" width="14.5" bestFit="1" customWidth="1"/>
    <col min="7459" max="7459" width="16.5" bestFit="1" customWidth="1"/>
    <col min="7460" max="7460" width="29.1640625" bestFit="1" customWidth="1"/>
    <col min="7461" max="7461" width="30.5" bestFit="1" customWidth="1"/>
    <col min="7462" max="7462" width="14.5" bestFit="1" customWidth="1"/>
    <col min="7463" max="7463" width="16.5" bestFit="1" customWidth="1"/>
    <col min="7464" max="7464" width="29.1640625" bestFit="1" customWidth="1"/>
    <col min="7465" max="7465" width="29.33203125" bestFit="1" customWidth="1"/>
    <col min="7466" max="7466" width="14.5" bestFit="1" customWidth="1"/>
    <col min="7467" max="7467" width="16.5" bestFit="1" customWidth="1"/>
    <col min="7468" max="7468" width="29.1640625" bestFit="1" customWidth="1"/>
    <col min="7469" max="7469" width="29.33203125" bestFit="1" customWidth="1"/>
    <col min="7470" max="7680" width="8.83203125" customWidth="1"/>
    <col min="7681" max="7681" width="13.1640625" customWidth="1"/>
    <col min="7682" max="7682" width="14.33203125" customWidth="1"/>
    <col min="7683" max="7683" width="10.5" customWidth="1"/>
    <col min="7684" max="7684" width="9.6640625" customWidth="1"/>
    <col min="7685" max="7685" width="12.5" customWidth="1"/>
    <col min="7686" max="7686" width="19.83203125" customWidth="1"/>
    <col min="7687" max="7688" width="12.5" customWidth="1"/>
    <col min="7689" max="7689" width="11" customWidth="1"/>
    <col min="7690" max="7690" width="14.5" customWidth="1"/>
    <col min="7691" max="7691" width="11" customWidth="1"/>
    <col min="7692" max="7692" width="8.83203125" customWidth="1"/>
    <col min="7693" max="7693" width="9.5" customWidth="1"/>
    <col min="7694" max="7694" width="16.5" customWidth="1"/>
    <col min="7695" max="7695" width="20.33203125" bestFit="1" customWidth="1"/>
    <col min="7696" max="7696" width="25.33203125" bestFit="1" customWidth="1"/>
    <col min="7697" max="7697" width="23.33203125" bestFit="1" customWidth="1"/>
    <col min="7698" max="7698" width="18.1640625" bestFit="1" customWidth="1"/>
    <col min="7699" max="7699" width="18.6640625" bestFit="1" customWidth="1"/>
    <col min="7700" max="7700" width="16.83203125" bestFit="1" customWidth="1"/>
    <col min="7701" max="7701" width="10.5" customWidth="1"/>
    <col min="7702" max="7702" width="12.83203125" customWidth="1"/>
    <col min="7703" max="7703" width="14.5" customWidth="1"/>
    <col min="7704" max="7704" width="13.83203125" customWidth="1"/>
    <col min="7705" max="7705" width="17.5" customWidth="1"/>
    <col min="7706" max="7706" width="16.33203125" customWidth="1"/>
    <col min="7707" max="7707" width="20.5" customWidth="1"/>
    <col min="7708" max="7708" width="29.1640625" bestFit="1" customWidth="1"/>
    <col min="7709" max="7709" width="29.33203125" bestFit="1" customWidth="1"/>
    <col min="7710" max="7710" width="14.5" bestFit="1" customWidth="1"/>
    <col min="7711" max="7711" width="16.5" bestFit="1" customWidth="1"/>
    <col min="7712" max="7712" width="29.1640625" bestFit="1" customWidth="1"/>
    <col min="7713" max="7713" width="30.5" bestFit="1" customWidth="1"/>
    <col min="7714" max="7714" width="14.5" bestFit="1" customWidth="1"/>
    <col min="7715" max="7715" width="16.5" bestFit="1" customWidth="1"/>
    <col min="7716" max="7716" width="29.1640625" bestFit="1" customWidth="1"/>
    <col min="7717" max="7717" width="30.5" bestFit="1" customWidth="1"/>
    <col min="7718" max="7718" width="14.5" bestFit="1" customWidth="1"/>
    <col min="7719" max="7719" width="16.5" bestFit="1" customWidth="1"/>
    <col min="7720" max="7720" width="29.1640625" bestFit="1" customWidth="1"/>
    <col min="7721" max="7721" width="29.33203125" bestFit="1" customWidth="1"/>
    <col min="7722" max="7722" width="14.5" bestFit="1" customWidth="1"/>
    <col min="7723" max="7723" width="16.5" bestFit="1" customWidth="1"/>
    <col min="7724" max="7724" width="29.1640625" bestFit="1" customWidth="1"/>
    <col min="7725" max="7725" width="29.33203125" bestFit="1" customWidth="1"/>
    <col min="7726" max="7936" width="8.83203125" customWidth="1"/>
    <col min="7937" max="7937" width="13.1640625" customWidth="1"/>
    <col min="7938" max="7938" width="14.33203125" customWidth="1"/>
    <col min="7939" max="7939" width="10.5" customWidth="1"/>
    <col min="7940" max="7940" width="9.6640625" customWidth="1"/>
    <col min="7941" max="7941" width="12.5" customWidth="1"/>
    <col min="7942" max="7942" width="19.83203125" customWidth="1"/>
    <col min="7943" max="7944" width="12.5" customWidth="1"/>
    <col min="7945" max="7945" width="11" customWidth="1"/>
    <col min="7946" max="7946" width="14.5" customWidth="1"/>
    <col min="7947" max="7947" width="11" customWidth="1"/>
    <col min="7948" max="7948" width="8.83203125" customWidth="1"/>
    <col min="7949" max="7949" width="9.5" customWidth="1"/>
    <col min="7950" max="7950" width="16.5" customWidth="1"/>
    <col min="7951" max="7951" width="20.33203125" bestFit="1" customWidth="1"/>
    <col min="7952" max="7952" width="25.33203125" bestFit="1" customWidth="1"/>
    <col min="7953" max="7953" width="23.33203125" bestFit="1" customWidth="1"/>
    <col min="7954" max="7954" width="18.1640625" bestFit="1" customWidth="1"/>
    <col min="7955" max="7955" width="18.6640625" bestFit="1" customWidth="1"/>
    <col min="7956" max="7956" width="16.83203125" bestFit="1" customWidth="1"/>
    <col min="7957" max="7957" width="10.5" customWidth="1"/>
    <col min="7958" max="7958" width="12.83203125" customWidth="1"/>
    <col min="7959" max="7959" width="14.5" customWidth="1"/>
    <col min="7960" max="7960" width="13.83203125" customWidth="1"/>
    <col min="7961" max="7961" width="17.5" customWidth="1"/>
    <col min="7962" max="7962" width="16.33203125" customWidth="1"/>
    <col min="7963" max="7963" width="20.5" customWidth="1"/>
    <col min="7964" max="7964" width="29.1640625" bestFit="1" customWidth="1"/>
    <col min="7965" max="7965" width="29.33203125" bestFit="1" customWidth="1"/>
    <col min="7966" max="7966" width="14.5" bestFit="1" customWidth="1"/>
    <col min="7967" max="7967" width="16.5" bestFit="1" customWidth="1"/>
    <col min="7968" max="7968" width="29.1640625" bestFit="1" customWidth="1"/>
    <col min="7969" max="7969" width="30.5" bestFit="1" customWidth="1"/>
    <col min="7970" max="7970" width="14.5" bestFit="1" customWidth="1"/>
    <col min="7971" max="7971" width="16.5" bestFit="1" customWidth="1"/>
    <col min="7972" max="7972" width="29.1640625" bestFit="1" customWidth="1"/>
    <col min="7973" max="7973" width="30.5" bestFit="1" customWidth="1"/>
    <col min="7974" max="7974" width="14.5" bestFit="1" customWidth="1"/>
    <col min="7975" max="7975" width="16.5" bestFit="1" customWidth="1"/>
    <col min="7976" max="7976" width="29.1640625" bestFit="1" customWidth="1"/>
    <col min="7977" max="7977" width="29.33203125" bestFit="1" customWidth="1"/>
    <col min="7978" max="7978" width="14.5" bestFit="1" customWidth="1"/>
    <col min="7979" max="7979" width="16.5" bestFit="1" customWidth="1"/>
    <col min="7980" max="7980" width="29.1640625" bestFit="1" customWidth="1"/>
    <col min="7981" max="7981" width="29.33203125" bestFit="1" customWidth="1"/>
    <col min="7982" max="8192" width="8.83203125" customWidth="1"/>
    <col min="8193" max="8193" width="13.1640625" customWidth="1"/>
    <col min="8194" max="8194" width="14.33203125" customWidth="1"/>
    <col min="8195" max="8195" width="10.5" customWidth="1"/>
    <col min="8196" max="8196" width="9.6640625" customWidth="1"/>
    <col min="8197" max="8197" width="12.5" customWidth="1"/>
    <col min="8198" max="8198" width="19.83203125" customWidth="1"/>
    <col min="8199" max="8200" width="12.5" customWidth="1"/>
    <col min="8201" max="8201" width="11" customWidth="1"/>
    <col min="8202" max="8202" width="14.5" customWidth="1"/>
    <col min="8203" max="8203" width="11" customWidth="1"/>
    <col min="8204" max="8204" width="8.83203125" customWidth="1"/>
    <col min="8205" max="8205" width="9.5" customWidth="1"/>
    <col min="8206" max="8206" width="16.5" customWidth="1"/>
    <col min="8207" max="8207" width="20.33203125" bestFit="1" customWidth="1"/>
    <col min="8208" max="8208" width="25.33203125" bestFit="1" customWidth="1"/>
    <col min="8209" max="8209" width="23.33203125" bestFit="1" customWidth="1"/>
    <col min="8210" max="8210" width="18.1640625" bestFit="1" customWidth="1"/>
    <col min="8211" max="8211" width="18.6640625" bestFit="1" customWidth="1"/>
    <col min="8212" max="8212" width="16.83203125" bestFit="1" customWidth="1"/>
    <col min="8213" max="8213" width="10.5" customWidth="1"/>
    <col min="8214" max="8214" width="12.83203125" customWidth="1"/>
    <col min="8215" max="8215" width="14.5" customWidth="1"/>
    <col min="8216" max="8216" width="13.83203125" customWidth="1"/>
    <col min="8217" max="8217" width="17.5" customWidth="1"/>
    <col min="8218" max="8218" width="16.33203125" customWidth="1"/>
    <col min="8219" max="8219" width="20.5" customWidth="1"/>
    <col min="8220" max="8220" width="29.1640625" bestFit="1" customWidth="1"/>
    <col min="8221" max="8221" width="29.33203125" bestFit="1" customWidth="1"/>
    <col min="8222" max="8222" width="14.5" bestFit="1" customWidth="1"/>
    <col min="8223" max="8223" width="16.5" bestFit="1" customWidth="1"/>
    <col min="8224" max="8224" width="29.1640625" bestFit="1" customWidth="1"/>
    <col min="8225" max="8225" width="30.5" bestFit="1" customWidth="1"/>
    <col min="8226" max="8226" width="14.5" bestFit="1" customWidth="1"/>
    <col min="8227" max="8227" width="16.5" bestFit="1" customWidth="1"/>
    <col min="8228" max="8228" width="29.1640625" bestFit="1" customWidth="1"/>
    <col min="8229" max="8229" width="30.5" bestFit="1" customWidth="1"/>
    <col min="8230" max="8230" width="14.5" bestFit="1" customWidth="1"/>
    <col min="8231" max="8231" width="16.5" bestFit="1" customWidth="1"/>
    <col min="8232" max="8232" width="29.1640625" bestFit="1" customWidth="1"/>
    <col min="8233" max="8233" width="29.33203125" bestFit="1" customWidth="1"/>
    <col min="8234" max="8234" width="14.5" bestFit="1" customWidth="1"/>
    <col min="8235" max="8235" width="16.5" bestFit="1" customWidth="1"/>
    <col min="8236" max="8236" width="29.1640625" bestFit="1" customWidth="1"/>
    <col min="8237" max="8237" width="29.33203125" bestFit="1" customWidth="1"/>
    <col min="8238" max="8448" width="8.83203125" customWidth="1"/>
    <col min="8449" max="8449" width="13.1640625" customWidth="1"/>
    <col min="8450" max="8450" width="14.33203125" customWidth="1"/>
    <col min="8451" max="8451" width="10.5" customWidth="1"/>
    <col min="8452" max="8452" width="9.6640625" customWidth="1"/>
    <col min="8453" max="8453" width="12.5" customWidth="1"/>
    <col min="8454" max="8454" width="19.83203125" customWidth="1"/>
    <col min="8455" max="8456" width="12.5" customWidth="1"/>
    <col min="8457" max="8457" width="11" customWidth="1"/>
    <col min="8458" max="8458" width="14.5" customWidth="1"/>
    <col min="8459" max="8459" width="11" customWidth="1"/>
    <col min="8460" max="8460" width="8.83203125" customWidth="1"/>
    <col min="8461" max="8461" width="9.5" customWidth="1"/>
    <col min="8462" max="8462" width="16.5" customWidth="1"/>
    <col min="8463" max="8463" width="20.33203125" bestFit="1" customWidth="1"/>
    <col min="8464" max="8464" width="25.33203125" bestFit="1" customWidth="1"/>
    <col min="8465" max="8465" width="23.33203125" bestFit="1" customWidth="1"/>
    <col min="8466" max="8466" width="18.1640625" bestFit="1" customWidth="1"/>
    <col min="8467" max="8467" width="18.6640625" bestFit="1" customWidth="1"/>
    <col min="8468" max="8468" width="16.83203125" bestFit="1" customWidth="1"/>
    <col min="8469" max="8469" width="10.5" customWidth="1"/>
    <col min="8470" max="8470" width="12.83203125" customWidth="1"/>
    <col min="8471" max="8471" width="14.5" customWidth="1"/>
    <col min="8472" max="8472" width="13.83203125" customWidth="1"/>
    <col min="8473" max="8473" width="17.5" customWidth="1"/>
    <col min="8474" max="8474" width="16.33203125" customWidth="1"/>
    <col min="8475" max="8475" width="20.5" customWidth="1"/>
    <col min="8476" max="8476" width="29.1640625" bestFit="1" customWidth="1"/>
    <col min="8477" max="8477" width="29.33203125" bestFit="1" customWidth="1"/>
    <col min="8478" max="8478" width="14.5" bestFit="1" customWidth="1"/>
    <col min="8479" max="8479" width="16.5" bestFit="1" customWidth="1"/>
    <col min="8480" max="8480" width="29.1640625" bestFit="1" customWidth="1"/>
    <col min="8481" max="8481" width="30.5" bestFit="1" customWidth="1"/>
    <col min="8482" max="8482" width="14.5" bestFit="1" customWidth="1"/>
    <col min="8483" max="8483" width="16.5" bestFit="1" customWidth="1"/>
    <col min="8484" max="8484" width="29.1640625" bestFit="1" customWidth="1"/>
    <col min="8485" max="8485" width="30.5" bestFit="1" customWidth="1"/>
    <col min="8486" max="8486" width="14.5" bestFit="1" customWidth="1"/>
    <col min="8487" max="8487" width="16.5" bestFit="1" customWidth="1"/>
    <col min="8488" max="8488" width="29.1640625" bestFit="1" customWidth="1"/>
    <col min="8489" max="8489" width="29.33203125" bestFit="1" customWidth="1"/>
    <col min="8490" max="8490" width="14.5" bestFit="1" customWidth="1"/>
    <col min="8491" max="8491" width="16.5" bestFit="1" customWidth="1"/>
    <col min="8492" max="8492" width="29.1640625" bestFit="1" customWidth="1"/>
    <col min="8493" max="8493" width="29.33203125" bestFit="1" customWidth="1"/>
    <col min="8494" max="8704" width="8.83203125" customWidth="1"/>
    <col min="8705" max="8705" width="13.1640625" customWidth="1"/>
    <col min="8706" max="8706" width="14.33203125" customWidth="1"/>
    <col min="8707" max="8707" width="10.5" customWidth="1"/>
    <col min="8708" max="8708" width="9.6640625" customWidth="1"/>
    <col min="8709" max="8709" width="12.5" customWidth="1"/>
    <col min="8710" max="8710" width="19.83203125" customWidth="1"/>
    <col min="8711" max="8712" width="12.5" customWidth="1"/>
    <col min="8713" max="8713" width="11" customWidth="1"/>
    <col min="8714" max="8714" width="14.5" customWidth="1"/>
    <col min="8715" max="8715" width="11" customWidth="1"/>
    <col min="8716" max="8716" width="8.83203125" customWidth="1"/>
    <col min="8717" max="8717" width="9.5" customWidth="1"/>
    <col min="8718" max="8718" width="16.5" customWidth="1"/>
    <col min="8719" max="8719" width="20.33203125" bestFit="1" customWidth="1"/>
    <col min="8720" max="8720" width="25.33203125" bestFit="1" customWidth="1"/>
    <col min="8721" max="8721" width="23.33203125" bestFit="1" customWidth="1"/>
    <col min="8722" max="8722" width="18.1640625" bestFit="1" customWidth="1"/>
    <col min="8723" max="8723" width="18.6640625" bestFit="1" customWidth="1"/>
    <col min="8724" max="8724" width="16.83203125" bestFit="1" customWidth="1"/>
    <col min="8725" max="8725" width="10.5" customWidth="1"/>
    <col min="8726" max="8726" width="12.83203125" customWidth="1"/>
    <col min="8727" max="8727" width="14.5" customWidth="1"/>
    <col min="8728" max="8728" width="13.83203125" customWidth="1"/>
    <col min="8729" max="8729" width="17.5" customWidth="1"/>
    <col min="8730" max="8730" width="16.33203125" customWidth="1"/>
    <col min="8731" max="8731" width="20.5" customWidth="1"/>
    <col min="8732" max="8732" width="29.1640625" bestFit="1" customWidth="1"/>
    <col min="8733" max="8733" width="29.33203125" bestFit="1" customWidth="1"/>
    <col min="8734" max="8734" width="14.5" bestFit="1" customWidth="1"/>
    <col min="8735" max="8735" width="16.5" bestFit="1" customWidth="1"/>
    <col min="8736" max="8736" width="29.1640625" bestFit="1" customWidth="1"/>
    <col min="8737" max="8737" width="30.5" bestFit="1" customWidth="1"/>
    <col min="8738" max="8738" width="14.5" bestFit="1" customWidth="1"/>
    <col min="8739" max="8739" width="16.5" bestFit="1" customWidth="1"/>
    <col min="8740" max="8740" width="29.1640625" bestFit="1" customWidth="1"/>
    <col min="8741" max="8741" width="30.5" bestFit="1" customWidth="1"/>
    <col min="8742" max="8742" width="14.5" bestFit="1" customWidth="1"/>
    <col min="8743" max="8743" width="16.5" bestFit="1" customWidth="1"/>
    <col min="8744" max="8744" width="29.1640625" bestFit="1" customWidth="1"/>
    <col min="8745" max="8745" width="29.33203125" bestFit="1" customWidth="1"/>
    <col min="8746" max="8746" width="14.5" bestFit="1" customWidth="1"/>
    <col min="8747" max="8747" width="16.5" bestFit="1" customWidth="1"/>
    <col min="8748" max="8748" width="29.1640625" bestFit="1" customWidth="1"/>
    <col min="8749" max="8749" width="29.33203125" bestFit="1" customWidth="1"/>
    <col min="8750" max="8960" width="8.83203125" customWidth="1"/>
    <col min="8961" max="8961" width="13.1640625" customWidth="1"/>
    <col min="8962" max="8962" width="14.33203125" customWidth="1"/>
    <col min="8963" max="8963" width="10.5" customWidth="1"/>
    <col min="8964" max="8964" width="9.6640625" customWidth="1"/>
    <col min="8965" max="8965" width="12.5" customWidth="1"/>
    <col min="8966" max="8966" width="19.83203125" customWidth="1"/>
    <col min="8967" max="8968" width="12.5" customWidth="1"/>
    <col min="8969" max="8969" width="11" customWidth="1"/>
    <col min="8970" max="8970" width="14.5" customWidth="1"/>
    <col min="8971" max="8971" width="11" customWidth="1"/>
    <col min="8972" max="8972" width="8.83203125" customWidth="1"/>
    <col min="8973" max="8973" width="9.5" customWidth="1"/>
    <col min="8974" max="8974" width="16.5" customWidth="1"/>
    <col min="8975" max="8975" width="20.33203125" bestFit="1" customWidth="1"/>
    <col min="8976" max="8976" width="25.33203125" bestFit="1" customWidth="1"/>
    <col min="8977" max="8977" width="23.33203125" bestFit="1" customWidth="1"/>
    <col min="8978" max="8978" width="18.1640625" bestFit="1" customWidth="1"/>
    <col min="8979" max="8979" width="18.6640625" bestFit="1" customWidth="1"/>
    <col min="8980" max="8980" width="16.83203125" bestFit="1" customWidth="1"/>
    <col min="8981" max="8981" width="10.5" customWidth="1"/>
    <col min="8982" max="8982" width="12.83203125" customWidth="1"/>
    <col min="8983" max="8983" width="14.5" customWidth="1"/>
    <col min="8984" max="8984" width="13.83203125" customWidth="1"/>
    <col min="8985" max="8985" width="17.5" customWidth="1"/>
    <col min="8986" max="8986" width="16.33203125" customWidth="1"/>
    <col min="8987" max="8987" width="20.5" customWidth="1"/>
    <col min="8988" max="8988" width="29.1640625" bestFit="1" customWidth="1"/>
    <col min="8989" max="8989" width="29.33203125" bestFit="1" customWidth="1"/>
    <col min="8990" max="8990" width="14.5" bestFit="1" customWidth="1"/>
    <col min="8991" max="8991" width="16.5" bestFit="1" customWidth="1"/>
    <col min="8992" max="8992" width="29.1640625" bestFit="1" customWidth="1"/>
    <col min="8993" max="8993" width="30.5" bestFit="1" customWidth="1"/>
    <col min="8994" max="8994" width="14.5" bestFit="1" customWidth="1"/>
    <col min="8995" max="8995" width="16.5" bestFit="1" customWidth="1"/>
    <col min="8996" max="8996" width="29.1640625" bestFit="1" customWidth="1"/>
    <col min="8997" max="8997" width="30.5" bestFit="1" customWidth="1"/>
    <col min="8998" max="8998" width="14.5" bestFit="1" customWidth="1"/>
    <col min="8999" max="8999" width="16.5" bestFit="1" customWidth="1"/>
    <col min="9000" max="9000" width="29.1640625" bestFit="1" customWidth="1"/>
    <col min="9001" max="9001" width="29.33203125" bestFit="1" customWidth="1"/>
    <col min="9002" max="9002" width="14.5" bestFit="1" customWidth="1"/>
    <col min="9003" max="9003" width="16.5" bestFit="1" customWidth="1"/>
    <col min="9004" max="9004" width="29.1640625" bestFit="1" customWidth="1"/>
    <col min="9005" max="9005" width="29.33203125" bestFit="1" customWidth="1"/>
    <col min="9006" max="9216" width="8.83203125" customWidth="1"/>
    <col min="9217" max="9217" width="13.1640625" customWidth="1"/>
    <col min="9218" max="9218" width="14.33203125" customWidth="1"/>
    <col min="9219" max="9219" width="10.5" customWidth="1"/>
    <col min="9220" max="9220" width="9.6640625" customWidth="1"/>
    <col min="9221" max="9221" width="12.5" customWidth="1"/>
    <col min="9222" max="9222" width="19.83203125" customWidth="1"/>
    <col min="9223" max="9224" width="12.5" customWidth="1"/>
    <col min="9225" max="9225" width="11" customWidth="1"/>
    <col min="9226" max="9226" width="14.5" customWidth="1"/>
    <col min="9227" max="9227" width="11" customWidth="1"/>
    <col min="9228" max="9228" width="8.83203125" customWidth="1"/>
    <col min="9229" max="9229" width="9.5" customWidth="1"/>
    <col min="9230" max="9230" width="16.5" customWidth="1"/>
    <col min="9231" max="9231" width="20.33203125" bestFit="1" customWidth="1"/>
    <col min="9232" max="9232" width="25.33203125" bestFit="1" customWidth="1"/>
    <col min="9233" max="9233" width="23.33203125" bestFit="1" customWidth="1"/>
    <col min="9234" max="9234" width="18.1640625" bestFit="1" customWidth="1"/>
    <col min="9235" max="9235" width="18.6640625" bestFit="1" customWidth="1"/>
    <col min="9236" max="9236" width="16.83203125" bestFit="1" customWidth="1"/>
    <col min="9237" max="9237" width="10.5" customWidth="1"/>
    <col min="9238" max="9238" width="12.83203125" customWidth="1"/>
    <col min="9239" max="9239" width="14.5" customWidth="1"/>
    <col min="9240" max="9240" width="13.83203125" customWidth="1"/>
    <col min="9241" max="9241" width="17.5" customWidth="1"/>
    <col min="9242" max="9242" width="16.33203125" customWidth="1"/>
    <col min="9243" max="9243" width="20.5" customWidth="1"/>
    <col min="9244" max="9244" width="29.1640625" bestFit="1" customWidth="1"/>
    <col min="9245" max="9245" width="29.33203125" bestFit="1" customWidth="1"/>
    <col min="9246" max="9246" width="14.5" bestFit="1" customWidth="1"/>
    <col min="9247" max="9247" width="16.5" bestFit="1" customWidth="1"/>
    <col min="9248" max="9248" width="29.1640625" bestFit="1" customWidth="1"/>
    <col min="9249" max="9249" width="30.5" bestFit="1" customWidth="1"/>
    <col min="9250" max="9250" width="14.5" bestFit="1" customWidth="1"/>
    <col min="9251" max="9251" width="16.5" bestFit="1" customWidth="1"/>
    <col min="9252" max="9252" width="29.1640625" bestFit="1" customWidth="1"/>
    <col min="9253" max="9253" width="30.5" bestFit="1" customWidth="1"/>
    <col min="9254" max="9254" width="14.5" bestFit="1" customWidth="1"/>
    <col min="9255" max="9255" width="16.5" bestFit="1" customWidth="1"/>
    <col min="9256" max="9256" width="29.1640625" bestFit="1" customWidth="1"/>
    <col min="9257" max="9257" width="29.33203125" bestFit="1" customWidth="1"/>
    <col min="9258" max="9258" width="14.5" bestFit="1" customWidth="1"/>
    <col min="9259" max="9259" width="16.5" bestFit="1" customWidth="1"/>
    <col min="9260" max="9260" width="29.1640625" bestFit="1" customWidth="1"/>
    <col min="9261" max="9261" width="29.33203125" bestFit="1" customWidth="1"/>
    <col min="9262" max="9472" width="8.83203125" customWidth="1"/>
    <col min="9473" max="9473" width="13.1640625" customWidth="1"/>
    <col min="9474" max="9474" width="14.33203125" customWidth="1"/>
    <col min="9475" max="9475" width="10.5" customWidth="1"/>
    <col min="9476" max="9476" width="9.6640625" customWidth="1"/>
    <col min="9477" max="9477" width="12.5" customWidth="1"/>
    <col min="9478" max="9478" width="19.83203125" customWidth="1"/>
    <col min="9479" max="9480" width="12.5" customWidth="1"/>
    <col min="9481" max="9481" width="11" customWidth="1"/>
    <col min="9482" max="9482" width="14.5" customWidth="1"/>
    <col min="9483" max="9483" width="11" customWidth="1"/>
    <col min="9484" max="9484" width="8.83203125" customWidth="1"/>
    <col min="9485" max="9485" width="9.5" customWidth="1"/>
    <col min="9486" max="9486" width="16.5" customWidth="1"/>
    <col min="9487" max="9487" width="20.33203125" bestFit="1" customWidth="1"/>
    <col min="9488" max="9488" width="25.33203125" bestFit="1" customWidth="1"/>
    <col min="9489" max="9489" width="23.33203125" bestFit="1" customWidth="1"/>
    <col min="9490" max="9490" width="18.1640625" bestFit="1" customWidth="1"/>
    <col min="9491" max="9491" width="18.6640625" bestFit="1" customWidth="1"/>
    <col min="9492" max="9492" width="16.83203125" bestFit="1" customWidth="1"/>
    <col min="9493" max="9493" width="10.5" customWidth="1"/>
    <col min="9494" max="9494" width="12.83203125" customWidth="1"/>
    <col min="9495" max="9495" width="14.5" customWidth="1"/>
    <col min="9496" max="9496" width="13.83203125" customWidth="1"/>
    <col min="9497" max="9497" width="17.5" customWidth="1"/>
    <col min="9498" max="9498" width="16.33203125" customWidth="1"/>
    <col min="9499" max="9499" width="20.5" customWidth="1"/>
    <col min="9500" max="9500" width="29.1640625" bestFit="1" customWidth="1"/>
    <col min="9501" max="9501" width="29.33203125" bestFit="1" customWidth="1"/>
    <col min="9502" max="9502" width="14.5" bestFit="1" customWidth="1"/>
    <col min="9503" max="9503" width="16.5" bestFit="1" customWidth="1"/>
    <col min="9504" max="9504" width="29.1640625" bestFit="1" customWidth="1"/>
    <col min="9505" max="9505" width="30.5" bestFit="1" customWidth="1"/>
    <col min="9506" max="9506" width="14.5" bestFit="1" customWidth="1"/>
    <col min="9507" max="9507" width="16.5" bestFit="1" customWidth="1"/>
    <col min="9508" max="9508" width="29.1640625" bestFit="1" customWidth="1"/>
    <col min="9509" max="9509" width="30.5" bestFit="1" customWidth="1"/>
    <col min="9510" max="9510" width="14.5" bestFit="1" customWidth="1"/>
    <col min="9511" max="9511" width="16.5" bestFit="1" customWidth="1"/>
    <col min="9512" max="9512" width="29.1640625" bestFit="1" customWidth="1"/>
    <col min="9513" max="9513" width="29.33203125" bestFit="1" customWidth="1"/>
    <col min="9514" max="9514" width="14.5" bestFit="1" customWidth="1"/>
    <col min="9515" max="9515" width="16.5" bestFit="1" customWidth="1"/>
    <col min="9516" max="9516" width="29.1640625" bestFit="1" customWidth="1"/>
    <col min="9517" max="9517" width="29.33203125" bestFit="1" customWidth="1"/>
    <col min="9518" max="9728" width="8.83203125" customWidth="1"/>
    <col min="9729" max="9729" width="13.1640625" customWidth="1"/>
    <col min="9730" max="9730" width="14.33203125" customWidth="1"/>
    <col min="9731" max="9731" width="10.5" customWidth="1"/>
    <col min="9732" max="9732" width="9.6640625" customWidth="1"/>
    <col min="9733" max="9733" width="12.5" customWidth="1"/>
    <col min="9734" max="9734" width="19.83203125" customWidth="1"/>
    <col min="9735" max="9736" width="12.5" customWidth="1"/>
    <col min="9737" max="9737" width="11" customWidth="1"/>
    <col min="9738" max="9738" width="14.5" customWidth="1"/>
    <col min="9739" max="9739" width="11" customWidth="1"/>
    <col min="9740" max="9740" width="8.83203125" customWidth="1"/>
    <col min="9741" max="9741" width="9.5" customWidth="1"/>
    <col min="9742" max="9742" width="16.5" customWidth="1"/>
    <col min="9743" max="9743" width="20.33203125" bestFit="1" customWidth="1"/>
    <col min="9744" max="9744" width="25.33203125" bestFit="1" customWidth="1"/>
    <col min="9745" max="9745" width="23.33203125" bestFit="1" customWidth="1"/>
    <col min="9746" max="9746" width="18.1640625" bestFit="1" customWidth="1"/>
    <col min="9747" max="9747" width="18.6640625" bestFit="1" customWidth="1"/>
    <col min="9748" max="9748" width="16.83203125" bestFit="1" customWidth="1"/>
    <col min="9749" max="9749" width="10.5" customWidth="1"/>
    <col min="9750" max="9750" width="12.83203125" customWidth="1"/>
    <col min="9751" max="9751" width="14.5" customWidth="1"/>
    <col min="9752" max="9752" width="13.83203125" customWidth="1"/>
    <col min="9753" max="9753" width="17.5" customWidth="1"/>
    <col min="9754" max="9754" width="16.33203125" customWidth="1"/>
    <col min="9755" max="9755" width="20.5" customWidth="1"/>
    <col min="9756" max="9756" width="29.1640625" bestFit="1" customWidth="1"/>
    <col min="9757" max="9757" width="29.33203125" bestFit="1" customWidth="1"/>
    <col min="9758" max="9758" width="14.5" bestFit="1" customWidth="1"/>
    <col min="9759" max="9759" width="16.5" bestFit="1" customWidth="1"/>
    <col min="9760" max="9760" width="29.1640625" bestFit="1" customWidth="1"/>
    <col min="9761" max="9761" width="30.5" bestFit="1" customWidth="1"/>
    <col min="9762" max="9762" width="14.5" bestFit="1" customWidth="1"/>
    <col min="9763" max="9763" width="16.5" bestFit="1" customWidth="1"/>
    <col min="9764" max="9764" width="29.1640625" bestFit="1" customWidth="1"/>
    <col min="9765" max="9765" width="30.5" bestFit="1" customWidth="1"/>
    <col min="9766" max="9766" width="14.5" bestFit="1" customWidth="1"/>
    <col min="9767" max="9767" width="16.5" bestFit="1" customWidth="1"/>
    <col min="9768" max="9768" width="29.1640625" bestFit="1" customWidth="1"/>
    <col min="9769" max="9769" width="29.33203125" bestFit="1" customWidth="1"/>
    <col min="9770" max="9770" width="14.5" bestFit="1" customWidth="1"/>
    <col min="9771" max="9771" width="16.5" bestFit="1" customWidth="1"/>
    <col min="9772" max="9772" width="29.1640625" bestFit="1" customWidth="1"/>
    <col min="9773" max="9773" width="29.33203125" bestFit="1" customWidth="1"/>
    <col min="9774" max="9984" width="8.83203125" customWidth="1"/>
    <col min="9985" max="9985" width="13.1640625" customWidth="1"/>
    <col min="9986" max="9986" width="14.33203125" customWidth="1"/>
    <col min="9987" max="9987" width="10.5" customWidth="1"/>
    <col min="9988" max="9988" width="9.6640625" customWidth="1"/>
    <col min="9989" max="9989" width="12.5" customWidth="1"/>
    <col min="9990" max="9990" width="19.83203125" customWidth="1"/>
    <col min="9991" max="9992" width="12.5" customWidth="1"/>
    <col min="9993" max="9993" width="11" customWidth="1"/>
    <col min="9994" max="9994" width="14.5" customWidth="1"/>
    <col min="9995" max="9995" width="11" customWidth="1"/>
    <col min="9996" max="9996" width="8.83203125" customWidth="1"/>
    <col min="9997" max="9997" width="9.5" customWidth="1"/>
    <col min="9998" max="9998" width="16.5" customWidth="1"/>
    <col min="9999" max="9999" width="20.33203125" bestFit="1" customWidth="1"/>
    <col min="10000" max="10000" width="25.33203125" bestFit="1" customWidth="1"/>
    <col min="10001" max="10001" width="23.33203125" bestFit="1" customWidth="1"/>
    <col min="10002" max="10002" width="18.1640625" bestFit="1" customWidth="1"/>
    <col min="10003" max="10003" width="18.6640625" bestFit="1" customWidth="1"/>
    <col min="10004" max="10004" width="16.83203125" bestFit="1" customWidth="1"/>
    <col min="10005" max="10005" width="10.5" customWidth="1"/>
    <col min="10006" max="10006" width="12.83203125" customWidth="1"/>
    <col min="10007" max="10007" width="14.5" customWidth="1"/>
    <col min="10008" max="10008" width="13.83203125" customWidth="1"/>
    <col min="10009" max="10009" width="17.5" customWidth="1"/>
    <col min="10010" max="10010" width="16.33203125" customWidth="1"/>
    <col min="10011" max="10011" width="20.5" customWidth="1"/>
    <col min="10012" max="10012" width="29.1640625" bestFit="1" customWidth="1"/>
    <col min="10013" max="10013" width="29.33203125" bestFit="1" customWidth="1"/>
    <col min="10014" max="10014" width="14.5" bestFit="1" customWidth="1"/>
    <col min="10015" max="10015" width="16.5" bestFit="1" customWidth="1"/>
    <col min="10016" max="10016" width="29.1640625" bestFit="1" customWidth="1"/>
    <col min="10017" max="10017" width="30.5" bestFit="1" customWidth="1"/>
    <col min="10018" max="10018" width="14.5" bestFit="1" customWidth="1"/>
    <col min="10019" max="10019" width="16.5" bestFit="1" customWidth="1"/>
    <col min="10020" max="10020" width="29.1640625" bestFit="1" customWidth="1"/>
    <col min="10021" max="10021" width="30.5" bestFit="1" customWidth="1"/>
    <col min="10022" max="10022" width="14.5" bestFit="1" customWidth="1"/>
    <col min="10023" max="10023" width="16.5" bestFit="1" customWidth="1"/>
    <col min="10024" max="10024" width="29.1640625" bestFit="1" customWidth="1"/>
    <col min="10025" max="10025" width="29.33203125" bestFit="1" customWidth="1"/>
    <col min="10026" max="10026" width="14.5" bestFit="1" customWidth="1"/>
    <col min="10027" max="10027" width="16.5" bestFit="1" customWidth="1"/>
    <col min="10028" max="10028" width="29.1640625" bestFit="1" customWidth="1"/>
    <col min="10029" max="10029" width="29.33203125" bestFit="1" customWidth="1"/>
    <col min="10030" max="10240" width="8.83203125" customWidth="1"/>
    <col min="10241" max="10241" width="13.1640625" customWidth="1"/>
    <col min="10242" max="10242" width="14.33203125" customWidth="1"/>
    <col min="10243" max="10243" width="10.5" customWidth="1"/>
    <col min="10244" max="10244" width="9.6640625" customWidth="1"/>
    <col min="10245" max="10245" width="12.5" customWidth="1"/>
    <col min="10246" max="10246" width="19.83203125" customWidth="1"/>
    <col min="10247" max="10248" width="12.5" customWidth="1"/>
    <col min="10249" max="10249" width="11" customWidth="1"/>
    <col min="10250" max="10250" width="14.5" customWidth="1"/>
    <col min="10251" max="10251" width="11" customWidth="1"/>
    <col min="10252" max="10252" width="8.83203125" customWidth="1"/>
    <col min="10253" max="10253" width="9.5" customWidth="1"/>
    <col min="10254" max="10254" width="16.5" customWidth="1"/>
    <col min="10255" max="10255" width="20.33203125" bestFit="1" customWidth="1"/>
    <col min="10256" max="10256" width="25.33203125" bestFit="1" customWidth="1"/>
    <col min="10257" max="10257" width="23.33203125" bestFit="1" customWidth="1"/>
    <col min="10258" max="10258" width="18.1640625" bestFit="1" customWidth="1"/>
    <col min="10259" max="10259" width="18.6640625" bestFit="1" customWidth="1"/>
    <col min="10260" max="10260" width="16.83203125" bestFit="1" customWidth="1"/>
    <col min="10261" max="10261" width="10.5" customWidth="1"/>
    <col min="10262" max="10262" width="12.83203125" customWidth="1"/>
    <col min="10263" max="10263" width="14.5" customWidth="1"/>
    <col min="10264" max="10264" width="13.83203125" customWidth="1"/>
    <col min="10265" max="10265" width="17.5" customWidth="1"/>
    <col min="10266" max="10266" width="16.33203125" customWidth="1"/>
    <col min="10267" max="10267" width="20.5" customWidth="1"/>
    <col min="10268" max="10268" width="29.1640625" bestFit="1" customWidth="1"/>
    <col min="10269" max="10269" width="29.33203125" bestFit="1" customWidth="1"/>
    <col min="10270" max="10270" width="14.5" bestFit="1" customWidth="1"/>
    <col min="10271" max="10271" width="16.5" bestFit="1" customWidth="1"/>
    <col min="10272" max="10272" width="29.1640625" bestFit="1" customWidth="1"/>
    <col min="10273" max="10273" width="30.5" bestFit="1" customWidth="1"/>
    <col min="10274" max="10274" width="14.5" bestFit="1" customWidth="1"/>
    <col min="10275" max="10275" width="16.5" bestFit="1" customWidth="1"/>
    <col min="10276" max="10276" width="29.1640625" bestFit="1" customWidth="1"/>
    <col min="10277" max="10277" width="30.5" bestFit="1" customWidth="1"/>
    <col min="10278" max="10278" width="14.5" bestFit="1" customWidth="1"/>
    <col min="10279" max="10279" width="16.5" bestFit="1" customWidth="1"/>
    <col min="10280" max="10280" width="29.1640625" bestFit="1" customWidth="1"/>
    <col min="10281" max="10281" width="29.33203125" bestFit="1" customWidth="1"/>
    <col min="10282" max="10282" width="14.5" bestFit="1" customWidth="1"/>
    <col min="10283" max="10283" width="16.5" bestFit="1" customWidth="1"/>
    <col min="10284" max="10284" width="29.1640625" bestFit="1" customWidth="1"/>
    <col min="10285" max="10285" width="29.33203125" bestFit="1" customWidth="1"/>
    <col min="10286" max="10496" width="8.83203125" customWidth="1"/>
    <col min="10497" max="10497" width="13.1640625" customWidth="1"/>
    <col min="10498" max="10498" width="14.33203125" customWidth="1"/>
    <col min="10499" max="10499" width="10.5" customWidth="1"/>
    <col min="10500" max="10500" width="9.6640625" customWidth="1"/>
    <col min="10501" max="10501" width="12.5" customWidth="1"/>
    <col min="10502" max="10502" width="19.83203125" customWidth="1"/>
    <col min="10503" max="10504" width="12.5" customWidth="1"/>
    <col min="10505" max="10505" width="11" customWidth="1"/>
    <col min="10506" max="10506" width="14.5" customWidth="1"/>
    <col min="10507" max="10507" width="11" customWidth="1"/>
    <col min="10508" max="10508" width="8.83203125" customWidth="1"/>
    <col min="10509" max="10509" width="9.5" customWidth="1"/>
    <col min="10510" max="10510" width="16.5" customWidth="1"/>
    <col min="10511" max="10511" width="20.33203125" bestFit="1" customWidth="1"/>
    <col min="10512" max="10512" width="25.33203125" bestFit="1" customWidth="1"/>
    <col min="10513" max="10513" width="23.33203125" bestFit="1" customWidth="1"/>
    <col min="10514" max="10514" width="18.1640625" bestFit="1" customWidth="1"/>
    <col min="10515" max="10515" width="18.6640625" bestFit="1" customWidth="1"/>
    <col min="10516" max="10516" width="16.83203125" bestFit="1" customWidth="1"/>
    <col min="10517" max="10517" width="10.5" customWidth="1"/>
    <col min="10518" max="10518" width="12.83203125" customWidth="1"/>
    <col min="10519" max="10519" width="14.5" customWidth="1"/>
    <col min="10520" max="10520" width="13.83203125" customWidth="1"/>
    <col min="10521" max="10521" width="17.5" customWidth="1"/>
    <col min="10522" max="10522" width="16.33203125" customWidth="1"/>
    <col min="10523" max="10523" width="20.5" customWidth="1"/>
    <col min="10524" max="10524" width="29.1640625" bestFit="1" customWidth="1"/>
    <col min="10525" max="10525" width="29.33203125" bestFit="1" customWidth="1"/>
    <col min="10526" max="10526" width="14.5" bestFit="1" customWidth="1"/>
    <col min="10527" max="10527" width="16.5" bestFit="1" customWidth="1"/>
    <col min="10528" max="10528" width="29.1640625" bestFit="1" customWidth="1"/>
    <col min="10529" max="10529" width="30.5" bestFit="1" customWidth="1"/>
    <col min="10530" max="10530" width="14.5" bestFit="1" customWidth="1"/>
    <col min="10531" max="10531" width="16.5" bestFit="1" customWidth="1"/>
    <col min="10532" max="10532" width="29.1640625" bestFit="1" customWidth="1"/>
    <col min="10533" max="10533" width="30.5" bestFit="1" customWidth="1"/>
    <col min="10534" max="10534" width="14.5" bestFit="1" customWidth="1"/>
    <col min="10535" max="10535" width="16.5" bestFit="1" customWidth="1"/>
    <col min="10536" max="10536" width="29.1640625" bestFit="1" customWidth="1"/>
    <col min="10537" max="10537" width="29.33203125" bestFit="1" customWidth="1"/>
    <col min="10538" max="10538" width="14.5" bestFit="1" customWidth="1"/>
    <col min="10539" max="10539" width="16.5" bestFit="1" customWidth="1"/>
    <col min="10540" max="10540" width="29.1640625" bestFit="1" customWidth="1"/>
    <col min="10541" max="10541" width="29.33203125" bestFit="1" customWidth="1"/>
    <col min="10542" max="10752" width="8.83203125" customWidth="1"/>
    <col min="10753" max="10753" width="13.1640625" customWidth="1"/>
    <col min="10754" max="10754" width="14.33203125" customWidth="1"/>
    <col min="10755" max="10755" width="10.5" customWidth="1"/>
    <col min="10756" max="10756" width="9.6640625" customWidth="1"/>
    <col min="10757" max="10757" width="12.5" customWidth="1"/>
    <col min="10758" max="10758" width="19.83203125" customWidth="1"/>
    <col min="10759" max="10760" width="12.5" customWidth="1"/>
    <col min="10761" max="10761" width="11" customWidth="1"/>
    <col min="10762" max="10762" width="14.5" customWidth="1"/>
    <col min="10763" max="10763" width="11" customWidth="1"/>
    <col min="10764" max="10764" width="8.83203125" customWidth="1"/>
    <col min="10765" max="10765" width="9.5" customWidth="1"/>
    <col min="10766" max="10766" width="16.5" customWidth="1"/>
    <col min="10767" max="10767" width="20.33203125" bestFit="1" customWidth="1"/>
    <col min="10768" max="10768" width="25.33203125" bestFit="1" customWidth="1"/>
    <col min="10769" max="10769" width="23.33203125" bestFit="1" customWidth="1"/>
    <col min="10770" max="10770" width="18.1640625" bestFit="1" customWidth="1"/>
    <col min="10771" max="10771" width="18.6640625" bestFit="1" customWidth="1"/>
    <col min="10772" max="10772" width="16.83203125" bestFit="1" customWidth="1"/>
    <col min="10773" max="10773" width="10.5" customWidth="1"/>
    <col min="10774" max="10774" width="12.83203125" customWidth="1"/>
    <col min="10775" max="10775" width="14.5" customWidth="1"/>
    <col min="10776" max="10776" width="13.83203125" customWidth="1"/>
    <col min="10777" max="10777" width="17.5" customWidth="1"/>
    <col min="10778" max="10778" width="16.33203125" customWidth="1"/>
    <col min="10779" max="10779" width="20.5" customWidth="1"/>
    <col min="10780" max="10780" width="29.1640625" bestFit="1" customWidth="1"/>
    <col min="10781" max="10781" width="29.33203125" bestFit="1" customWidth="1"/>
    <col min="10782" max="10782" width="14.5" bestFit="1" customWidth="1"/>
    <col min="10783" max="10783" width="16.5" bestFit="1" customWidth="1"/>
    <col min="10784" max="10784" width="29.1640625" bestFit="1" customWidth="1"/>
    <col min="10785" max="10785" width="30.5" bestFit="1" customWidth="1"/>
    <col min="10786" max="10786" width="14.5" bestFit="1" customWidth="1"/>
    <col min="10787" max="10787" width="16.5" bestFit="1" customWidth="1"/>
    <col min="10788" max="10788" width="29.1640625" bestFit="1" customWidth="1"/>
    <col min="10789" max="10789" width="30.5" bestFit="1" customWidth="1"/>
    <col min="10790" max="10790" width="14.5" bestFit="1" customWidth="1"/>
    <col min="10791" max="10791" width="16.5" bestFit="1" customWidth="1"/>
    <col min="10792" max="10792" width="29.1640625" bestFit="1" customWidth="1"/>
    <col min="10793" max="10793" width="29.33203125" bestFit="1" customWidth="1"/>
    <col min="10794" max="10794" width="14.5" bestFit="1" customWidth="1"/>
    <col min="10795" max="10795" width="16.5" bestFit="1" customWidth="1"/>
    <col min="10796" max="10796" width="29.1640625" bestFit="1" customWidth="1"/>
    <col min="10797" max="10797" width="29.33203125" bestFit="1" customWidth="1"/>
    <col min="10798" max="11008" width="8.83203125" customWidth="1"/>
    <col min="11009" max="11009" width="13.1640625" customWidth="1"/>
    <col min="11010" max="11010" width="14.33203125" customWidth="1"/>
    <col min="11011" max="11011" width="10.5" customWidth="1"/>
    <col min="11012" max="11012" width="9.6640625" customWidth="1"/>
    <col min="11013" max="11013" width="12.5" customWidth="1"/>
    <col min="11014" max="11014" width="19.83203125" customWidth="1"/>
    <col min="11015" max="11016" width="12.5" customWidth="1"/>
    <col min="11017" max="11017" width="11" customWidth="1"/>
    <col min="11018" max="11018" width="14.5" customWidth="1"/>
    <col min="11019" max="11019" width="11" customWidth="1"/>
    <col min="11020" max="11020" width="8.83203125" customWidth="1"/>
    <col min="11021" max="11021" width="9.5" customWidth="1"/>
    <col min="11022" max="11022" width="16.5" customWidth="1"/>
    <col min="11023" max="11023" width="20.33203125" bestFit="1" customWidth="1"/>
    <col min="11024" max="11024" width="25.33203125" bestFit="1" customWidth="1"/>
    <col min="11025" max="11025" width="23.33203125" bestFit="1" customWidth="1"/>
    <col min="11026" max="11026" width="18.1640625" bestFit="1" customWidth="1"/>
    <col min="11027" max="11027" width="18.6640625" bestFit="1" customWidth="1"/>
    <col min="11028" max="11028" width="16.83203125" bestFit="1" customWidth="1"/>
    <col min="11029" max="11029" width="10.5" customWidth="1"/>
    <col min="11030" max="11030" width="12.83203125" customWidth="1"/>
    <col min="11031" max="11031" width="14.5" customWidth="1"/>
    <col min="11032" max="11032" width="13.83203125" customWidth="1"/>
    <col min="11033" max="11033" width="17.5" customWidth="1"/>
    <col min="11034" max="11034" width="16.33203125" customWidth="1"/>
    <col min="11035" max="11035" width="20.5" customWidth="1"/>
    <col min="11036" max="11036" width="29.1640625" bestFit="1" customWidth="1"/>
    <col min="11037" max="11037" width="29.33203125" bestFit="1" customWidth="1"/>
    <col min="11038" max="11038" width="14.5" bestFit="1" customWidth="1"/>
    <col min="11039" max="11039" width="16.5" bestFit="1" customWidth="1"/>
    <col min="11040" max="11040" width="29.1640625" bestFit="1" customWidth="1"/>
    <col min="11041" max="11041" width="30.5" bestFit="1" customWidth="1"/>
    <col min="11042" max="11042" width="14.5" bestFit="1" customWidth="1"/>
    <col min="11043" max="11043" width="16.5" bestFit="1" customWidth="1"/>
    <col min="11044" max="11044" width="29.1640625" bestFit="1" customWidth="1"/>
    <col min="11045" max="11045" width="30.5" bestFit="1" customWidth="1"/>
    <col min="11046" max="11046" width="14.5" bestFit="1" customWidth="1"/>
    <col min="11047" max="11047" width="16.5" bestFit="1" customWidth="1"/>
    <col min="11048" max="11048" width="29.1640625" bestFit="1" customWidth="1"/>
    <col min="11049" max="11049" width="29.33203125" bestFit="1" customWidth="1"/>
    <col min="11050" max="11050" width="14.5" bestFit="1" customWidth="1"/>
    <col min="11051" max="11051" width="16.5" bestFit="1" customWidth="1"/>
    <col min="11052" max="11052" width="29.1640625" bestFit="1" customWidth="1"/>
    <col min="11053" max="11053" width="29.33203125" bestFit="1" customWidth="1"/>
    <col min="11054" max="11264" width="8.83203125" customWidth="1"/>
    <col min="11265" max="11265" width="13.1640625" customWidth="1"/>
    <col min="11266" max="11266" width="14.33203125" customWidth="1"/>
    <col min="11267" max="11267" width="10.5" customWidth="1"/>
    <col min="11268" max="11268" width="9.6640625" customWidth="1"/>
    <col min="11269" max="11269" width="12.5" customWidth="1"/>
    <col min="11270" max="11270" width="19.83203125" customWidth="1"/>
    <col min="11271" max="11272" width="12.5" customWidth="1"/>
    <col min="11273" max="11273" width="11" customWidth="1"/>
    <col min="11274" max="11274" width="14.5" customWidth="1"/>
    <col min="11275" max="11275" width="11" customWidth="1"/>
    <col min="11276" max="11276" width="8.83203125" customWidth="1"/>
    <col min="11277" max="11277" width="9.5" customWidth="1"/>
    <col min="11278" max="11278" width="16.5" customWidth="1"/>
    <col min="11279" max="11279" width="20.33203125" bestFit="1" customWidth="1"/>
    <col min="11280" max="11280" width="25.33203125" bestFit="1" customWidth="1"/>
    <col min="11281" max="11281" width="23.33203125" bestFit="1" customWidth="1"/>
    <col min="11282" max="11282" width="18.1640625" bestFit="1" customWidth="1"/>
    <col min="11283" max="11283" width="18.6640625" bestFit="1" customWidth="1"/>
    <col min="11284" max="11284" width="16.83203125" bestFit="1" customWidth="1"/>
    <col min="11285" max="11285" width="10.5" customWidth="1"/>
    <col min="11286" max="11286" width="12.83203125" customWidth="1"/>
    <col min="11287" max="11287" width="14.5" customWidth="1"/>
    <col min="11288" max="11288" width="13.83203125" customWidth="1"/>
    <col min="11289" max="11289" width="17.5" customWidth="1"/>
    <col min="11290" max="11290" width="16.33203125" customWidth="1"/>
    <col min="11291" max="11291" width="20.5" customWidth="1"/>
    <col min="11292" max="11292" width="29.1640625" bestFit="1" customWidth="1"/>
    <col min="11293" max="11293" width="29.33203125" bestFit="1" customWidth="1"/>
    <col min="11294" max="11294" width="14.5" bestFit="1" customWidth="1"/>
    <col min="11295" max="11295" width="16.5" bestFit="1" customWidth="1"/>
    <col min="11296" max="11296" width="29.1640625" bestFit="1" customWidth="1"/>
    <col min="11297" max="11297" width="30.5" bestFit="1" customWidth="1"/>
    <col min="11298" max="11298" width="14.5" bestFit="1" customWidth="1"/>
    <col min="11299" max="11299" width="16.5" bestFit="1" customWidth="1"/>
    <col min="11300" max="11300" width="29.1640625" bestFit="1" customWidth="1"/>
    <col min="11301" max="11301" width="30.5" bestFit="1" customWidth="1"/>
    <col min="11302" max="11302" width="14.5" bestFit="1" customWidth="1"/>
    <col min="11303" max="11303" width="16.5" bestFit="1" customWidth="1"/>
    <col min="11304" max="11304" width="29.1640625" bestFit="1" customWidth="1"/>
    <col min="11305" max="11305" width="29.33203125" bestFit="1" customWidth="1"/>
    <col min="11306" max="11306" width="14.5" bestFit="1" customWidth="1"/>
    <col min="11307" max="11307" width="16.5" bestFit="1" customWidth="1"/>
    <col min="11308" max="11308" width="29.1640625" bestFit="1" customWidth="1"/>
    <col min="11309" max="11309" width="29.33203125" bestFit="1" customWidth="1"/>
    <col min="11310" max="11520" width="8.83203125" customWidth="1"/>
    <col min="11521" max="11521" width="13.1640625" customWidth="1"/>
    <col min="11522" max="11522" width="14.33203125" customWidth="1"/>
    <col min="11523" max="11523" width="10.5" customWidth="1"/>
    <col min="11524" max="11524" width="9.6640625" customWidth="1"/>
    <col min="11525" max="11525" width="12.5" customWidth="1"/>
    <col min="11526" max="11526" width="19.83203125" customWidth="1"/>
    <col min="11527" max="11528" width="12.5" customWidth="1"/>
    <col min="11529" max="11529" width="11" customWidth="1"/>
    <col min="11530" max="11530" width="14.5" customWidth="1"/>
    <col min="11531" max="11531" width="11" customWidth="1"/>
    <col min="11532" max="11532" width="8.83203125" customWidth="1"/>
    <col min="11533" max="11533" width="9.5" customWidth="1"/>
    <col min="11534" max="11534" width="16.5" customWidth="1"/>
    <col min="11535" max="11535" width="20.33203125" bestFit="1" customWidth="1"/>
    <col min="11536" max="11536" width="25.33203125" bestFit="1" customWidth="1"/>
    <col min="11537" max="11537" width="23.33203125" bestFit="1" customWidth="1"/>
    <col min="11538" max="11538" width="18.1640625" bestFit="1" customWidth="1"/>
    <col min="11539" max="11539" width="18.6640625" bestFit="1" customWidth="1"/>
    <col min="11540" max="11540" width="16.83203125" bestFit="1" customWidth="1"/>
    <col min="11541" max="11541" width="10.5" customWidth="1"/>
    <col min="11542" max="11542" width="12.83203125" customWidth="1"/>
    <col min="11543" max="11543" width="14.5" customWidth="1"/>
    <col min="11544" max="11544" width="13.83203125" customWidth="1"/>
    <col min="11545" max="11545" width="17.5" customWidth="1"/>
    <col min="11546" max="11546" width="16.33203125" customWidth="1"/>
    <col min="11547" max="11547" width="20.5" customWidth="1"/>
    <col min="11548" max="11548" width="29.1640625" bestFit="1" customWidth="1"/>
    <col min="11549" max="11549" width="29.33203125" bestFit="1" customWidth="1"/>
    <col min="11550" max="11550" width="14.5" bestFit="1" customWidth="1"/>
    <col min="11551" max="11551" width="16.5" bestFit="1" customWidth="1"/>
    <col min="11552" max="11552" width="29.1640625" bestFit="1" customWidth="1"/>
    <col min="11553" max="11553" width="30.5" bestFit="1" customWidth="1"/>
    <col min="11554" max="11554" width="14.5" bestFit="1" customWidth="1"/>
    <col min="11555" max="11555" width="16.5" bestFit="1" customWidth="1"/>
    <col min="11556" max="11556" width="29.1640625" bestFit="1" customWidth="1"/>
    <col min="11557" max="11557" width="30.5" bestFit="1" customWidth="1"/>
    <col min="11558" max="11558" width="14.5" bestFit="1" customWidth="1"/>
    <col min="11559" max="11559" width="16.5" bestFit="1" customWidth="1"/>
    <col min="11560" max="11560" width="29.1640625" bestFit="1" customWidth="1"/>
    <col min="11561" max="11561" width="29.33203125" bestFit="1" customWidth="1"/>
    <col min="11562" max="11562" width="14.5" bestFit="1" customWidth="1"/>
    <col min="11563" max="11563" width="16.5" bestFit="1" customWidth="1"/>
    <col min="11564" max="11564" width="29.1640625" bestFit="1" customWidth="1"/>
    <col min="11565" max="11565" width="29.33203125" bestFit="1" customWidth="1"/>
    <col min="11566" max="11776" width="8.83203125" customWidth="1"/>
    <col min="11777" max="11777" width="13.1640625" customWidth="1"/>
    <col min="11778" max="11778" width="14.33203125" customWidth="1"/>
    <col min="11779" max="11779" width="10.5" customWidth="1"/>
    <col min="11780" max="11780" width="9.6640625" customWidth="1"/>
    <col min="11781" max="11781" width="12.5" customWidth="1"/>
    <col min="11782" max="11782" width="19.83203125" customWidth="1"/>
    <col min="11783" max="11784" width="12.5" customWidth="1"/>
    <col min="11785" max="11785" width="11" customWidth="1"/>
    <col min="11786" max="11786" width="14.5" customWidth="1"/>
    <col min="11787" max="11787" width="11" customWidth="1"/>
    <col min="11788" max="11788" width="8.83203125" customWidth="1"/>
    <col min="11789" max="11789" width="9.5" customWidth="1"/>
    <col min="11790" max="11790" width="16.5" customWidth="1"/>
    <col min="11791" max="11791" width="20.33203125" bestFit="1" customWidth="1"/>
    <col min="11792" max="11792" width="25.33203125" bestFit="1" customWidth="1"/>
    <col min="11793" max="11793" width="23.33203125" bestFit="1" customWidth="1"/>
    <col min="11794" max="11794" width="18.1640625" bestFit="1" customWidth="1"/>
    <col min="11795" max="11795" width="18.6640625" bestFit="1" customWidth="1"/>
    <col min="11796" max="11796" width="16.83203125" bestFit="1" customWidth="1"/>
    <col min="11797" max="11797" width="10.5" customWidth="1"/>
    <col min="11798" max="11798" width="12.83203125" customWidth="1"/>
    <col min="11799" max="11799" width="14.5" customWidth="1"/>
    <col min="11800" max="11800" width="13.83203125" customWidth="1"/>
    <col min="11801" max="11801" width="17.5" customWidth="1"/>
    <col min="11802" max="11802" width="16.33203125" customWidth="1"/>
    <col min="11803" max="11803" width="20.5" customWidth="1"/>
    <col min="11804" max="11804" width="29.1640625" bestFit="1" customWidth="1"/>
    <col min="11805" max="11805" width="29.33203125" bestFit="1" customWidth="1"/>
    <col min="11806" max="11806" width="14.5" bestFit="1" customWidth="1"/>
    <col min="11807" max="11807" width="16.5" bestFit="1" customWidth="1"/>
    <col min="11808" max="11808" width="29.1640625" bestFit="1" customWidth="1"/>
    <col min="11809" max="11809" width="30.5" bestFit="1" customWidth="1"/>
    <col min="11810" max="11810" width="14.5" bestFit="1" customWidth="1"/>
    <col min="11811" max="11811" width="16.5" bestFit="1" customWidth="1"/>
    <col min="11812" max="11812" width="29.1640625" bestFit="1" customWidth="1"/>
    <col min="11813" max="11813" width="30.5" bestFit="1" customWidth="1"/>
    <col min="11814" max="11814" width="14.5" bestFit="1" customWidth="1"/>
    <col min="11815" max="11815" width="16.5" bestFit="1" customWidth="1"/>
    <col min="11816" max="11816" width="29.1640625" bestFit="1" customWidth="1"/>
    <col min="11817" max="11817" width="29.33203125" bestFit="1" customWidth="1"/>
    <col min="11818" max="11818" width="14.5" bestFit="1" customWidth="1"/>
    <col min="11819" max="11819" width="16.5" bestFit="1" customWidth="1"/>
    <col min="11820" max="11820" width="29.1640625" bestFit="1" customWidth="1"/>
    <col min="11821" max="11821" width="29.33203125" bestFit="1" customWidth="1"/>
    <col min="11822" max="12032" width="8.83203125" customWidth="1"/>
    <col min="12033" max="12033" width="13.1640625" customWidth="1"/>
    <col min="12034" max="12034" width="14.33203125" customWidth="1"/>
    <col min="12035" max="12035" width="10.5" customWidth="1"/>
    <col min="12036" max="12036" width="9.6640625" customWidth="1"/>
    <col min="12037" max="12037" width="12.5" customWidth="1"/>
    <col min="12038" max="12038" width="19.83203125" customWidth="1"/>
    <col min="12039" max="12040" width="12.5" customWidth="1"/>
    <col min="12041" max="12041" width="11" customWidth="1"/>
    <col min="12042" max="12042" width="14.5" customWidth="1"/>
    <col min="12043" max="12043" width="11" customWidth="1"/>
    <col min="12044" max="12044" width="8.83203125" customWidth="1"/>
    <col min="12045" max="12045" width="9.5" customWidth="1"/>
    <col min="12046" max="12046" width="16.5" customWidth="1"/>
    <col min="12047" max="12047" width="20.33203125" bestFit="1" customWidth="1"/>
    <col min="12048" max="12048" width="25.33203125" bestFit="1" customWidth="1"/>
    <col min="12049" max="12049" width="23.33203125" bestFit="1" customWidth="1"/>
    <col min="12050" max="12050" width="18.1640625" bestFit="1" customWidth="1"/>
    <col min="12051" max="12051" width="18.6640625" bestFit="1" customWidth="1"/>
    <col min="12052" max="12052" width="16.83203125" bestFit="1" customWidth="1"/>
    <col min="12053" max="12053" width="10.5" customWidth="1"/>
    <col min="12054" max="12054" width="12.83203125" customWidth="1"/>
    <col min="12055" max="12055" width="14.5" customWidth="1"/>
    <col min="12056" max="12056" width="13.83203125" customWidth="1"/>
    <col min="12057" max="12057" width="17.5" customWidth="1"/>
    <col min="12058" max="12058" width="16.33203125" customWidth="1"/>
    <col min="12059" max="12059" width="20.5" customWidth="1"/>
    <col min="12060" max="12060" width="29.1640625" bestFit="1" customWidth="1"/>
    <col min="12061" max="12061" width="29.33203125" bestFit="1" customWidth="1"/>
    <col min="12062" max="12062" width="14.5" bestFit="1" customWidth="1"/>
    <col min="12063" max="12063" width="16.5" bestFit="1" customWidth="1"/>
    <col min="12064" max="12064" width="29.1640625" bestFit="1" customWidth="1"/>
    <col min="12065" max="12065" width="30.5" bestFit="1" customWidth="1"/>
    <col min="12066" max="12066" width="14.5" bestFit="1" customWidth="1"/>
    <col min="12067" max="12067" width="16.5" bestFit="1" customWidth="1"/>
    <col min="12068" max="12068" width="29.1640625" bestFit="1" customWidth="1"/>
    <col min="12069" max="12069" width="30.5" bestFit="1" customWidth="1"/>
    <col min="12070" max="12070" width="14.5" bestFit="1" customWidth="1"/>
    <col min="12071" max="12071" width="16.5" bestFit="1" customWidth="1"/>
    <col min="12072" max="12072" width="29.1640625" bestFit="1" customWidth="1"/>
    <col min="12073" max="12073" width="29.33203125" bestFit="1" customWidth="1"/>
    <col min="12074" max="12074" width="14.5" bestFit="1" customWidth="1"/>
    <col min="12075" max="12075" width="16.5" bestFit="1" customWidth="1"/>
    <col min="12076" max="12076" width="29.1640625" bestFit="1" customWidth="1"/>
    <col min="12077" max="12077" width="29.33203125" bestFit="1" customWidth="1"/>
    <col min="12078" max="12288" width="8.83203125" customWidth="1"/>
    <col min="12289" max="12289" width="13.1640625" customWidth="1"/>
    <col min="12290" max="12290" width="14.33203125" customWidth="1"/>
    <col min="12291" max="12291" width="10.5" customWidth="1"/>
    <col min="12292" max="12292" width="9.6640625" customWidth="1"/>
    <col min="12293" max="12293" width="12.5" customWidth="1"/>
    <col min="12294" max="12294" width="19.83203125" customWidth="1"/>
    <col min="12295" max="12296" width="12.5" customWidth="1"/>
    <col min="12297" max="12297" width="11" customWidth="1"/>
    <col min="12298" max="12298" width="14.5" customWidth="1"/>
    <col min="12299" max="12299" width="11" customWidth="1"/>
    <col min="12300" max="12300" width="8.83203125" customWidth="1"/>
    <col min="12301" max="12301" width="9.5" customWidth="1"/>
    <col min="12302" max="12302" width="16.5" customWidth="1"/>
    <col min="12303" max="12303" width="20.33203125" bestFit="1" customWidth="1"/>
    <col min="12304" max="12304" width="25.33203125" bestFit="1" customWidth="1"/>
    <col min="12305" max="12305" width="23.33203125" bestFit="1" customWidth="1"/>
    <col min="12306" max="12306" width="18.1640625" bestFit="1" customWidth="1"/>
    <col min="12307" max="12307" width="18.6640625" bestFit="1" customWidth="1"/>
    <col min="12308" max="12308" width="16.83203125" bestFit="1" customWidth="1"/>
    <col min="12309" max="12309" width="10.5" customWidth="1"/>
    <col min="12310" max="12310" width="12.83203125" customWidth="1"/>
    <col min="12311" max="12311" width="14.5" customWidth="1"/>
    <col min="12312" max="12312" width="13.83203125" customWidth="1"/>
    <col min="12313" max="12313" width="17.5" customWidth="1"/>
    <col min="12314" max="12314" width="16.33203125" customWidth="1"/>
    <col min="12315" max="12315" width="20.5" customWidth="1"/>
    <col min="12316" max="12316" width="29.1640625" bestFit="1" customWidth="1"/>
    <col min="12317" max="12317" width="29.33203125" bestFit="1" customWidth="1"/>
    <col min="12318" max="12318" width="14.5" bestFit="1" customWidth="1"/>
    <col min="12319" max="12319" width="16.5" bestFit="1" customWidth="1"/>
    <col min="12320" max="12320" width="29.1640625" bestFit="1" customWidth="1"/>
    <col min="12321" max="12321" width="30.5" bestFit="1" customWidth="1"/>
    <col min="12322" max="12322" width="14.5" bestFit="1" customWidth="1"/>
    <col min="12323" max="12323" width="16.5" bestFit="1" customWidth="1"/>
    <col min="12324" max="12324" width="29.1640625" bestFit="1" customWidth="1"/>
    <col min="12325" max="12325" width="30.5" bestFit="1" customWidth="1"/>
    <col min="12326" max="12326" width="14.5" bestFit="1" customWidth="1"/>
    <col min="12327" max="12327" width="16.5" bestFit="1" customWidth="1"/>
    <col min="12328" max="12328" width="29.1640625" bestFit="1" customWidth="1"/>
    <col min="12329" max="12329" width="29.33203125" bestFit="1" customWidth="1"/>
    <col min="12330" max="12330" width="14.5" bestFit="1" customWidth="1"/>
    <col min="12331" max="12331" width="16.5" bestFit="1" customWidth="1"/>
    <col min="12332" max="12332" width="29.1640625" bestFit="1" customWidth="1"/>
    <col min="12333" max="12333" width="29.33203125" bestFit="1" customWidth="1"/>
    <col min="12334" max="12544" width="8.83203125" customWidth="1"/>
    <col min="12545" max="12545" width="13.1640625" customWidth="1"/>
    <col min="12546" max="12546" width="14.33203125" customWidth="1"/>
    <col min="12547" max="12547" width="10.5" customWidth="1"/>
    <col min="12548" max="12548" width="9.6640625" customWidth="1"/>
    <col min="12549" max="12549" width="12.5" customWidth="1"/>
    <col min="12550" max="12550" width="19.83203125" customWidth="1"/>
    <col min="12551" max="12552" width="12.5" customWidth="1"/>
    <col min="12553" max="12553" width="11" customWidth="1"/>
    <col min="12554" max="12554" width="14.5" customWidth="1"/>
    <col min="12555" max="12555" width="11" customWidth="1"/>
    <col min="12556" max="12556" width="8.83203125" customWidth="1"/>
    <col min="12557" max="12557" width="9.5" customWidth="1"/>
    <col min="12558" max="12558" width="16.5" customWidth="1"/>
    <col min="12559" max="12559" width="20.33203125" bestFit="1" customWidth="1"/>
    <col min="12560" max="12560" width="25.33203125" bestFit="1" customWidth="1"/>
    <col min="12561" max="12561" width="23.33203125" bestFit="1" customWidth="1"/>
    <col min="12562" max="12562" width="18.1640625" bestFit="1" customWidth="1"/>
    <col min="12563" max="12563" width="18.6640625" bestFit="1" customWidth="1"/>
    <col min="12564" max="12564" width="16.83203125" bestFit="1" customWidth="1"/>
    <col min="12565" max="12565" width="10.5" customWidth="1"/>
    <col min="12566" max="12566" width="12.83203125" customWidth="1"/>
    <col min="12567" max="12567" width="14.5" customWidth="1"/>
    <col min="12568" max="12568" width="13.83203125" customWidth="1"/>
    <col min="12569" max="12569" width="17.5" customWidth="1"/>
    <col min="12570" max="12570" width="16.33203125" customWidth="1"/>
    <col min="12571" max="12571" width="20.5" customWidth="1"/>
    <col min="12572" max="12572" width="29.1640625" bestFit="1" customWidth="1"/>
    <col min="12573" max="12573" width="29.33203125" bestFit="1" customWidth="1"/>
    <col min="12574" max="12574" width="14.5" bestFit="1" customWidth="1"/>
    <col min="12575" max="12575" width="16.5" bestFit="1" customWidth="1"/>
    <col min="12576" max="12576" width="29.1640625" bestFit="1" customWidth="1"/>
    <col min="12577" max="12577" width="30.5" bestFit="1" customWidth="1"/>
    <col min="12578" max="12578" width="14.5" bestFit="1" customWidth="1"/>
    <col min="12579" max="12579" width="16.5" bestFit="1" customWidth="1"/>
    <col min="12580" max="12580" width="29.1640625" bestFit="1" customWidth="1"/>
    <col min="12581" max="12581" width="30.5" bestFit="1" customWidth="1"/>
    <col min="12582" max="12582" width="14.5" bestFit="1" customWidth="1"/>
    <col min="12583" max="12583" width="16.5" bestFit="1" customWidth="1"/>
    <col min="12584" max="12584" width="29.1640625" bestFit="1" customWidth="1"/>
    <col min="12585" max="12585" width="29.33203125" bestFit="1" customWidth="1"/>
    <col min="12586" max="12586" width="14.5" bestFit="1" customWidth="1"/>
    <col min="12587" max="12587" width="16.5" bestFit="1" customWidth="1"/>
    <col min="12588" max="12588" width="29.1640625" bestFit="1" customWidth="1"/>
    <col min="12589" max="12589" width="29.33203125" bestFit="1" customWidth="1"/>
    <col min="12590" max="12800" width="8.83203125" customWidth="1"/>
    <col min="12801" max="12801" width="13.1640625" customWidth="1"/>
    <col min="12802" max="12802" width="14.33203125" customWidth="1"/>
    <col min="12803" max="12803" width="10.5" customWidth="1"/>
    <col min="12804" max="12804" width="9.6640625" customWidth="1"/>
    <col min="12805" max="12805" width="12.5" customWidth="1"/>
    <col min="12806" max="12806" width="19.83203125" customWidth="1"/>
    <col min="12807" max="12808" width="12.5" customWidth="1"/>
    <col min="12809" max="12809" width="11" customWidth="1"/>
    <col min="12810" max="12810" width="14.5" customWidth="1"/>
    <col min="12811" max="12811" width="11" customWidth="1"/>
    <col min="12812" max="12812" width="8.83203125" customWidth="1"/>
    <col min="12813" max="12813" width="9.5" customWidth="1"/>
    <col min="12814" max="12814" width="16.5" customWidth="1"/>
    <col min="12815" max="12815" width="20.33203125" bestFit="1" customWidth="1"/>
    <col min="12816" max="12816" width="25.33203125" bestFit="1" customWidth="1"/>
    <col min="12817" max="12817" width="23.33203125" bestFit="1" customWidth="1"/>
    <col min="12818" max="12818" width="18.1640625" bestFit="1" customWidth="1"/>
    <col min="12819" max="12819" width="18.6640625" bestFit="1" customWidth="1"/>
    <col min="12820" max="12820" width="16.83203125" bestFit="1" customWidth="1"/>
    <col min="12821" max="12821" width="10.5" customWidth="1"/>
    <col min="12822" max="12822" width="12.83203125" customWidth="1"/>
    <col min="12823" max="12823" width="14.5" customWidth="1"/>
    <col min="12824" max="12824" width="13.83203125" customWidth="1"/>
    <col min="12825" max="12825" width="17.5" customWidth="1"/>
    <col min="12826" max="12826" width="16.33203125" customWidth="1"/>
    <col min="12827" max="12827" width="20.5" customWidth="1"/>
    <col min="12828" max="12828" width="29.1640625" bestFit="1" customWidth="1"/>
    <col min="12829" max="12829" width="29.33203125" bestFit="1" customWidth="1"/>
    <col min="12830" max="12830" width="14.5" bestFit="1" customWidth="1"/>
    <col min="12831" max="12831" width="16.5" bestFit="1" customWidth="1"/>
    <col min="12832" max="12832" width="29.1640625" bestFit="1" customWidth="1"/>
    <col min="12833" max="12833" width="30.5" bestFit="1" customWidth="1"/>
    <col min="12834" max="12834" width="14.5" bestFit="1" customWidth="1"/>
    <col min="12835" max="12835" width="16.5" bestFit="1" customWidth="1"/>
    <col min="12836" max="12836" width="29.1640625" bestFit="1" customWidth="1"/>
    <col min="12837" max="12837" width="30.5" bestFit="1" customWidth="1"/>
    <col min="12838" max="12838" width="14.5" bestFit="1" customWidth="1"/>
    <col min="12839" max="12839" width="16.5" bestFit="1" customWidth="1"/>
    <col min="12840" max="12840" width="29.1640625" bestFit="1" customWidth="1"/>
    <col min="12841" max="12841" width="29.33203125" bestFit="1" customWidth="1"/>
    <col min="12842" max="12842" width="14.5" bestFit="1" customWidth="1"/>
    <col min="12843" max="12843" width="16.5" bestFit="1" customWidth="1"/>
    <col min="12844" max="12844" width="29.1640625" bestFit="1" customWidth="1"/>
    <col min="12845" max="12845" width="29.33203125" bestFit="1" customWidth="1"/>
    <col min="12846" max="13056" width="8.83203125" customWidth="1"/>
    <col min="13057" max="13057" width="13.1640625" customWidth="1"/>
    <col min="13058" max="13058" width="14.33203125" customWidth="1"/>
    <col min="13059" max="13059" width="10.5" customWidth="1"/>
    <col min="13060" max="13060" width="9.6640625" customWidth="1"/>
    <col min="13061" max="13061" width="12.5" customWidth="1"/>
    <col min="13062" max="13062" width="19.83203125" customWidth="1"/>
    <col min="13063" max="13064" width="12.5" customWidth="1"/>
    <col min="13065" max="13065" width="11" customWidth="1"/>
    <col min="13066" max="13066" width="14.5" customWidth="1"/>
    <col min="13067" max="13067" width="11" customWidth="1"/>
    <col min="13068" max="13068" width="8.83203125" customWidth="1"/>
    <col min="13069" max="13069" width="9.5" customWidth="1"/>
    <col min="13070" max="13070" width="16.5" customWidth="1"/>
    <col min="13071" max="13071" width="20.33203125" bestFit="1" customWidth="1"/>
    <col min="13072" max="13072" width="25.33203125" bestFit="1" customWidth="1"/>
    <col min="13073" max="13073" width="23.33203125" bestFit="1" customWidth="1"/>
    <col min="13074" max="13074" width="18.1640625" bestFit="1" customWidth="1"/>
    <col min="13075" max="13075" width="18.6640625" bestFit="1" customWidth="1"/>
    <col min="13076" max="13076" width="16.83203125" bestFit="1" customWidth="1"/>
    <col min="13077" max="13077" width="10.5" customWidth="1"/>
    <col min="13078" max="13078" width="12.83203125" customWidth="1"/>
    <col min="13079" max="13079" width="14.5" customWidth="1"/>
    <col min="13080" max="13080" width="13.83203125" customWidth="1"/>
    <col min="13081" max="13081" width="17.5" customWidth="1"/>
    <col min="13082" max="13082" width="16.33203125" customWidth="1"/>
    <col min="13083" max="13083" width="20.5" customWidth="1"/>
    <col min="13084" max="13084" width="29.1640625" bestFit="1" customWidth="1"/>
    <col min="13085" max="13085" width="29.33203125" bestFit="1" customWidth="1"/>
    <col min="13086" max="13086" width="14.5" bestFit="1" customWidth="1"/>
    <col min="13087" max="13087" width="16.5" bestFit="1" customWidth="1"/>
    <col min="13088" max="13088" width="29.1640625" bestFit="1" customWidth="1"/>
    <col min="13089" max="13089" width="30.5" bestFit="1" customWidth="1"/>
    <col min="13090" max="13090" width="14.5" bestFit="1" customWidth="1"/>
    <col min="13091" max="13091" width="16.5" bestFit="1" customWidth="1"/>
    <col min="13092" max="13092" width="29.1640625" bestFit="1" customWidth="1"/>
    <col min="13093" max="13093" width="30.5" bestFit="1" customWidth="1"/>
    <col min="13094" max="13094" width="14.5" bestFit="1" customWidth="1"/>
    <col min="13095" max="13095" width="16.5" bestFit="1" customWidth="1"/>
    <col min="13096" max="13096" width="29.1640625" bestFit="1" customWidth="1"/>
    <col min="13097" max="13097" width="29.33203125" bestFit="1" customWidth="1"/>
    <col min="13098" max="13098" width="14.5" bestFit="1" customWidth="1"/>
    <col min="13099" max="13099" width="16.5" bestFit="1" customWidth="1"/>
    <col min="13100" max="13100" width="29.1640625" bestFit="1" customWidth="1"/>
    <col min="13101" max="13101" width="29.33203125" bestFit="1" customWidth="1"/>
    <col min="13102" max="13312" width="8.83203125" customWidth="1"/>
    <col min="13313" max="13313" width="13.1640625" customWidth="1"/>
    <col min="13314" max="13314" width="14.33203125" customWidth="1"/>
    <col min="13315" max="13315" width="10.5" customWidth="1"/>
    <col min="13316" max="13316" width="9.6640625" customWidth="1"/>
    <col min="13317" max="13317" width="12.5" customWidth="1"/>
    <col min="13318" max="13318" width="19.83203125" customWidth="1"/>
    <col min="13319" max="13320" width="12.5" customWidth="1"/>
    <col min="13321" max="13321" width="11" customWidth="1"/>
    <col min="13322" max="13322" width="14.5" customWidth="1"/>
    <col min="13323" max="13323" width="11" customWidth="1"/>
    <col min="13324" max="13324" width="8.83203125" customWidth="1"/>
    <col min="13325" max="13325" width="9.5" customWidth="1"/>
    <col min="13326" max="13326" width="16.5" customWidth="1"/>
    <col min="13327" max="13327" width="20.33203125" bestFit="1" customWidth="1"/>
    <col min="13328" max="13328" width="25.33203125" bestFit="1" customWidth="1"/>
    <col min="13329" max="13329" width="23.33203125" bestFit="1" customWidth="1"/>
    <col min="13330" max="13330" width="18.1640625" bestFit="1" customWidth="1"/>
    <col min="13331" max="13331" width="18.6640625" bestFit="1" customWidth="1"/>
    <col min="13332" max="13332" width="16.83203125" bestFit="1" customWidth="1"/>
    <col min="13333" max="13333" width="10.5" customWidth="1"/>
    <col min="13334" max="13334" width="12.83203125" customWidth="1"/>
    <col min="13335" max="13335" width="14.5" customWidth="1"/>
    <col min="13336" max="13336" width="13.83203125" customWidth="1"/>
    <col min="13337" max="13337" width="17.5" customWidth="1"/>
    <col min="13338" max="13338" width="16.33203125" customWidth="1"/>
    <col min="13339" max="13339" width="20.5" customWidth="1"/>
    <col min="13340" max="13340" width="29.1640625" bestFit="1" customWidth="1"/>
    <col min="13341" max="13341" width="29.33203125" bestFit="1" customWidth="1"/>
    <col min="13342" max="13342" width="14.5" bestFit="1" customWidth="1"/>
    <col min="13343" max="13343" width="16.5" bestFit="1" customWidth="1"/>
    <col min="13344" max="13344" width="29.1640625" bestFit="1" customWidth="1"/>
    <col min="13345" max="13345" width="30.5" bestFit="1" customWidth="1"/>
    <col min="13346" max="13346" width="14.5" bestFit="1" customWidth="1"/>
    <col min="13347" max="13347" width="16.5" bestFit="1" customWidth="1"/>
    <col min="13348" max="13348" width="29.1640625" bestFit="1" customWidth="1"/>
    <col min="13349" max="13349" width="30.5" bestFit="1" customWidth="1"/>
    <col min="13350" max="13350" width="14.5" bestFit="1" customWidth="1"/>
    <col min="13351" max="13351" width="16.5" bestFit="1" customWidth="1"/>
    <col min="13352" max="13352" width="29.1640625" bestFit="1" customWidth="1"/>
    <col min="13353" max="13353" width="29.33203125" bestFit="1" customWidth="1"/>
    <col min="13354" max="13354" width="14.5" bestFit="1" customWidth="1"/>
    <col min="13355" max="13355" width="16.5" bestFit="1" customWidth="1"/>
    <col min="13356" max="13356" width="29.1640625" bestFit="1" customWidth="1"/>
    <col min="13357" max="13357" width="29.33203125" bestFit="1" customWidth="1"/>
    <col min="13358" max="13568" width="8.83203125" customWidth="1"/>
    <col min="13569" max="13569" width="13.1640625" customWidth="1"/>
    <col min="13570" max="13570" width="14.33203125" customWidth="1"/>
    <col min="13571" max="13571" width="10.5" customWidth="1"/>
    <col min="13572" max="13572" width="9.6640625" customWidth="1"/>
    <col min="13573" max="13573" width="12.5" customWidth="1"/>
    <col min="13574" max="13574" width="19.83203125" customWidth="1"/>
    <col min="13575" max="13576" width="12.5" customWidth="1"/>
    <col min="13577" max="13577" width="11" customWidth="1"/>
    <col min="13578" max="13578" width="14.5" customWidth="1"/>
    <col min="13579" max="13579" width="11" customWidth="1"/>
    <col min="13580" max="13580" width="8.83203125" customWidth="1"/>
    <col min="13581" max="13581" width="9.5" customWidth="1"/>
    <col min="13582" max="13582" width="16.5" customWidth="1"/>
    <col min="13583" max="13583" width="20.33203125" bestFit="1" customWidth="1"/>
    <col min="13584" max="13584" width="25.33203125" bestFit="1" customWidth="1"/>
    <col min="13585" max="13585" width="23.33203125" bestFit="1" customWidth="1"/>
    <col min="13586" max="13586" width="18.1640625" bestFit="1" customWidth="1"/>
    <col min="13587" max="13587" width="18.6640625" bestFit="1" customWidth="1"/>
    <col min="13588" max="13588" width="16.83203125" bestFit="1" customWidth="1"/>
    <col min="13589" max="13589" width="10.5" customWidth="1"/>
    <col min="13590" max="13590" width="12.83203125" customWidth="1"/>
    <col min="13591" max="13591" width="14.5" customWidth="1"/>
    <col min="13592" max="13592" width="13.83203125" customWidth="1"/>
    <col min="13593" max="13593" width="17.5" customWidth="1"/>
    <col min="13594" max="13594" width="16.33203125" customWidth="1"/>
    <col min="13595" max="13595" width="20.5" customWidth="1"/>
    <col min="13596" max="13596" width="29.1640625" bestFit="1" customWidth="1"/>
    <col min="13597" max="13597" width="29.33203125" bestFit="1" customWidth="1"/>
    <col min="13598" max="13598" width="14.5" bestFit="1" customWidth="1"/>
    <col min="13599" max="13599" width="16.5" bestFit="1" customWidth="1"/>
    <col min="13600" max="13600" width="29.1640625" bestFit="1" customWidth="1"/>
    <col min="13601" max="13601" width="30.5" bestFit="1" customWidth="1"/>
    <col min="13602" max="13602" width="14.5" bestFit="1" customWidth="1"/>
    <col min="13603" max="13603" width="16.5" bestFit="1" customWidth="1"/>
    <col min="13604" max="13604" width="29.1640625" bestFit="1" customWidth="1"/>
    <col min="13605" max="13605" width="30.5" bestFit="1" customWidth="1"/>
    <col min="13606" max="13606" width="14.5" bestFit="1" customWidth="1"/>
    <col min="13607" max="13607" width="16.5" bestFit="1" customWidth="1"/>
    <col min="13608" max="13608" width="29.1640625" bestFit="1" customWidth="1"/>
    <col min="13609" max="13609" width="29.33203125" bestFit="1" customWidth="1"/>
    <col min="13610" max="13610" width="14.5" bestFit="1" customWidth="1"/>
    <col min="13611" max="13611" width="16.5" bestFit="1" customWidth="1"/>
    <col min="13612" max="13612" width="29.1640625" bestFit="1" customWidth="1"/>
    <col min="13613" max="13613" width="29.33203125" bestFit="1" customWidth="1"/>
    <col min="13614" max="13824" width="8.83203125" customWidth="1"/>
    <col min="13825" max="13825" width="13.1640625" customWidth="1"/>
    <col min="13826" max="13826" width="14.33203125" customWidth="1"/>
    <col min="13827" max="13827" width="10.5" customWidth="1"/>
    <col min="13828" max="13828" width="9.6640625" customWidth="1"/>
    <col min="13829" max="13829" width="12.5" customWidth="1"/>
    <col min="13830" max="13830" width="19.83203125" customWidth="1"/>
    <col min="13831" max="13832" width="12.5" customWidth="1"/>
    <col min="13833" max="13833" width="11" customWidth="1"/>
    <col min="13834" max="13834" width="14.5" customWidth="1"/>
    <col min="13835" max="13835" width="11" customWidth="1"/>
    <col min="13836" max="13836" width="8.83203125" customWidth="1"/>
    <col min="13837" max="13837" width="9.5" customWidth="1"/>
    <col min="13838" max="13838" width="16.5" customWidth="1"/>
    <col min="13839" max="13839" width="20.33203125" bestFit="1" customWidth="1"/>
    <col min="13840" max="13840" width="25.33203125" bestFit="1" customWidth="1"/>
    <col min="13841" max="13841" width="23.33203125" bestFit="1" customWidth="1"/>
    <col min="13842" max="13842" width="18.1640625" bestFit="1" customWidth="1"/>
    <col min="13843" max="13843" width="18.6640625" bestFit="1" customWidth="1"/>
    <col min="13844" max="13844" width="16.83203125" bestFit="1" customWidth="1"/>
    <col min="13845" max="13845" width="10.5" customWidth="1"/>
    <col min="13846" max="13846" width="12.83203125" customWidth="1"/>
    <col min="13847" max="13847" width="14.5" customWidth="1"/>
    <col min="13848" max="13848" width="13.83203125" customWidth="1"/>
    <col min="13849" max="13849" width="17.5" customWidth="1"/>
    <col min="13850" max="13850" width="16.33203125" customWidth="1"/>
    <col min="13851" max="13851" width="20.5" customWidth="1"/>
    <col min="13852" max="13852" width="29.1640625" bestFit="1" customWidth="1"/>
    <col min="13853" max="13853" width="29.33203125" bestFit="1" customWidth="1"/>
    <col min="13854" max="13854" width="14.5" bestFit="1" customWidth="1"/>
    <col min="13855" max="13855" width="16.5" bestFit="1" customWidth="1"/>
    <col min="13856" max="13856" width="29.1640625" bestFit="1" customWidth="1"/>
    <col min="13857" max="13857" width="30.5" bestFit="1" customWidth="1"/>
    <col min="13858" max="13858" width="14.5" bestFit="1" customWidth="1"/>
    <col min="13859" max="13859" width="16.5" bestFit="1" customWidth="1"/>
    <col min="13860" max="13860" width="29.1640625" bestFit="1" customWidth="1"/>
    <col min="13861" max="13861" width="30.5" bestFit="1" customWidth="1"/>
    <col min="13862" max="13862" width="14.5" bestFit="1" customWidth="1"/>
    <col min="13863" max="13863" width="16.5" bestFit="1" customWidth="1"/>
    <col min="13864" max="13864" width="29.1640625" bestFit="1" customWidth="1"/>
    <col min="13865" max="13865" width="29.33203125" bestFit="1" customWidth="1"/>
    <col min="13866" max="13866" width="14.5" bestFit="1" customWidth="1"/>
    <col min="13867" max="13867" width="16.5" bestFit="1" customWidth="1"/>
    <col min="13868" max="13868" width="29.1640625" bestFit="1" customWidth="1"/>
    <col min="13869" max="13869" width="29.33203125" bestFit="1" customWidth="1"/>
    <col min="13870" max="14080" width="8.83203125" customWidth="1"/>
    <col min="14081" max="14081" width="13.1640625" customWidth="1"/>
    <col min="14082" max="14082" width="14.33203125" customWidth="1"/>
    <col min="14083" max="14083" width="10.5" customWidth="1"/>
    <col min="14084" max="14084" width="9.6640625" customWidth="1"/>
    <col min="14085" max="14085" width="12.5" customWidth="1"/>
    <col min="14086" max="14086" width="19.83203125" customWidth="1"/>
    <col min="14087" max="14088" width="12.5" customWidth="1"/>
    <col min="14089" max="14089" width="11" customWidth="1"/>
    <col min="14090" max="14090" width="14.5" customWidth="1"/>
    <col min="14091" max="14091" width="11" customWidth="1"/>
    <col min="14092" max="14092" width="8.83203125" customWidth="1"/>
    <col min="14093" max="14093" width="9.5" customWidth="1"/>
    <col min="14094" max="14094" width="16.5" customWidth="1"/>
    <col min="14095" max="14095" width="20.33203125" bestFit="1" customWidth="1"/>
    <col min="14096" max="14096" width="25.33203125" bestFit="1" customWidth="1"/>
    <col min="14097" max="14097" width="23.33203125" bestFit="1" customWidth="1"/>
    <col min="14098" max="14098" width="18.1640625" bestFit="1" customWidth="1"/>
    <col min="14099" max="14099" width="18.6640625" bestFit="1" customWidth="1"/>
    <col min="14100" max="14100" width="16.83203125" bestFit="1" customWidth="1"/>
    <col min="14101" max="14101" width="10.5" customWidth="1"/>
    <col min="14102" max="14102" width="12.83203125" customWidth="1"/>
    <col min="14103" max="14103" width="14.5" customWidth="1"/>
    <col min="14104" max="14104" width="13.83203125" customWidth="1"/>
    <col min="14105" max="14105" width="17.5" customWidth="1"/>
    <col min="14106" max="14106" width="16.33203125" customWidth="1"/>
    <col min="14107" max="14107" width="20.5" customWidth="1"/>
    <col min="14108" max="14108" width="29.1640625" bestFit="1" customWidth="1"/>
    <col min="14109" max="14109" width="29.33203125" bestFit="1" customWidth="1"/>
    <col min="14110" max="14110" width="14.5" bestFit="1" customWidth="1"/>
    <col min="14111" max="14111" width="16.5" bestFit="1" customWidth="1"/>
    <col min="14112" max="14112" width="29.1640625" bestFit="1" customWidth="1"/>
    <col min="14113" max="14113" width="30.5" bestFit="1" customWidth="1"/>
    <col min="14114" max="14114" width="14.5" bestFit="1" customWidth="1"/>
    <col min="14115" max="14115" width="16.5" bestFit="1" customWidth="1"/>
    <col min="14116" max="14116" width="29.1640625" bestFit="1" customWidth="1"/>
    <col min="14117" max="14117" width="30.5" bestFit="1" customWidth="1"/>
    <col min="14118" max="14118" width="14.5" bestFit="1" customWidth="1"/>
    <col min="14119" max="14119" width="16.5" bestFit="1" customWidth="1"/>
    <col min="14120" max="14120" width="29.1640625" bestFit="1" customWidth="1"/>
    <col min="14121" max="14121" width="29.33203125" bestFit="1" customWidth="1"/>
    <col min="14122" max="14122" width="14.5" bestFit="1" customWidth="1"/>
    <col min="14123" max="14123" width="16.5" bestFit="1" customWidth="1"/>
    <col min="14124" max="14124" width="29.1640625" bestFit="1" customWidth="1"/>
    <col min="14125" max="14125" width="29.33203125" bestFit="1" customWidth="1"/>
    <col min="14126" max="14336" width="8.83203125" customWidth="1"/>
    <col min="14337" max="14337" width="13.1640625" customWidth="1"/>
    <col min="14338" max="14338" width="14.33203125" customWidth="1"/>
    <col min="14339" max="14339" width="10.5" customWidth="1"/>
    <col min="14340" max="14340" width="9.6640625" customWidth="1"/>
    <col min="14341" max="14341" width="12.5" customWidth="1"/>
    <col min="14342" max="14342" width="19.83203125" customWidth="1"/>
    <col min="14343" max="14344" width="12.5" customWidth="1"/>
    <col min="14345" max="14345" width="11" customWidth="1"/>
    <col min="14346" max="14346" width="14.5" customWidth="1"/>
    <col min="14347" max="14347" width="11" customWidth="1"/>
    <col min="14348" max="14348" width="8.83203125" customWidth="1"/>
    <col min="14349" max="14349" width="9.5" customWidth="1"/>
    <col min="14350" max="14350" width="16.5" customWidth="1"/>
    <col min="14351" max="14351" width="20.33203125" bestFit="1" customWidth="1"/>
    <col min="14352" max="14352" width="25.33203125" bestFit="1" customWidth="1"/>
    <col min="14353" max="14353" width="23.33203125" bestFit="1" customWidth="1"/>
    <col min="14354" max="14354" width="18.1640625" bestFit="1" customWidth="1"/>
    <col min="14355" max="14355" width="18.6640625" bestFit="1" customWidth="1"/>
    <col min="14356" max="14356" width="16.83203125" bestFit="1" customWidth="1"/>
    <col min="14357" max="14357" width="10.5" customWidth="1"/>
    <col min="14358" max="14358" width="12.83203125" customWidth="1"/>
    <col min="14359" max="14359" width="14.5" customWidth="1"/>
    <col min="14360" max="14360" width="13.83203125" customWidth="1"/>
    <col min="14361" max="14361" width="17.5" customWidth="1"/>
    <col min="14362" max="14362" width="16.33203125" customWidth="1"/>
    <col min="14363" max="14363" width="20.5" customWidth="1"/>
    <col min="14364" max="14364" width="29.1640625" bestFit="1" customWidth="1"/>
    <col min="14365" max="14365" width="29.33203125" bestFit="1" customWidth="1"/>
    <col min="14366" max="14366" width="14.5" bestFit="1" customWidth="1"/>
    <col min="14367" max="14367" width="16.5" bestFit="1" customWidth="1"/>
    <col min="14368" max="14368" width="29.1640625" bestFit="1" customWidth="1"/>
    <col min="14369" max="14369" width="30.5" bestFit="1" customWidth="1"/>
    <col min="14370" max="14370" width="14.5" bestFit="1" customWidth="1"/>
    <col min="14371" max="14371" width="16.5" bestFit="1" customWidth="1"/>
    <col min="14372" max="14372" width="29.1640625" bestFit="1" customWidth="1"/>
    <col min="14373" max="14373" width="30.5" bestFit="1" customWidth="1"/>
    <col min="14374" max="14374" width="14.5" bestFit="1" customWidth="1"/>
    <col min="14375" max="14375" width="16.5" bestFit="1" customWidth="1"/>
    <col min="14376" max="14376" width="29.1640625" bestFit="1" customWidth="1"/>
    <col min="14377" max="14377" width="29.33203125" bestFit="1" customWidth="1"/>
    <col min="14378" max="14378" width="14.5" bestFit="1" customWidth="1"/>
    <col min="14379" max="14379" width="16.5" bestFit="1" customWidth="1"/>
    <col min="14380" max="14380" width="29.1640625" bestFit="1" customWidth="1"/>
    <col min="14381" max="14381" width="29.33203125" bestFit="1" customWidth="1"/>
    <col min="14382" max="14592" width="8.83203125" customWidth="1"/>
    <col min="14593" max="14593" width="13.1640625" customWidth="1"/>
    <col min="14594" max="14594" width="14.33203125" customWidth="1"/>
    <col min="14595" max="14595" width="10.5" customWidth="1"/>
    <col min="14596" max="14596" width="9.6640625" customWidth="1"/>
    <col min="14597" max="14597" width="12.5" customWidth="1"/>
    <col min="14598" max="14598" width="19.83203125" customWidth="1"/>
    <col min="14599" max="14600" width="12.5" customWidth="1"/>
    <col min="14601" max="14601" width="11" customWidth="1"/>
    <col min="14602" max="14602" width="14.5" customWidth="1"/>
    <col min="14603" max="14603" width="11" customWidth="1"/>
    <col min="14604" max="14604" width="8.83203125" customWidth="1"/>
    <col min="14605" max="14605" width="9.5" customWidth="1"/>
    <col min="14606" max="14606" width="16.5" customWidth="1"/>
    <col min="14607" max="14607" width="20.33203125" bestFit="1" customWidth="1"/>
    <col min="14608" max="14608" width="25.33203125" bestFit="1" customWidth="1"/>
    <col min="14609" max="14609" width="23.33203125" bestFit="1" customWidth="1"/>
    <col min="14610" max="14610" width="18.1640625" bestFit="1" customWidth="1"/>
    <col min="14611" max="14611" width="18.6640625" bestFit="1" customWidth="1"/>
    <col min="14612" max="14612" width="16.83203125" bestFit="1" customWidth="1"/>
    <col min="14613" max="14613" width="10.5" customWidth="1"/>
    <col min="14614" max="14614" width="12.83203125" customWidth="1"/>
    <col min="14615" max="14615" width="14.5" customWidth="1"/>
    <col min="14616" max="14616" width="13.83203125" customWidth="1"/>
    <col min="14617" max="14617" width="17.5" customWidth="1"/>
    <col min="14618" max="14618" width="16.33203125" customWidth="1"/>
    <col min="14619" max="14619" width="20.5" customWidth="1"/>
    <col min="14620" max="14620" width="29.1640625" bestFit="1" customWidth="1"/>
    <col min="14621" max="14621" width="29.33203125" bestFit="1" customWidth="1"/>
    <col min="14622" max="14622" width="14.5" bestFit="1" customWidth="1"/>
    <col min="14623" max="14623" width="16.5" bestFit="1" customWidth="1"/>
    <col min="14624" max="14624" width="29.1640625" bestFit="1" customWidth="1"/>
    <col min="14625" max="14625" width="30.5" bestFit="1" customWidth="1"/>
    <col min="14626" max="14626" width="14.5" bestFit="1" customWidth="1"/>
    <col min="14627" max="14627" width="16.5" bestFit="1" customWidth="1"/>
    <col min="14628" max="14628" width="29.1640625" bestFit="1" customWidth="1"/>
    <col min="14629" max="14629" width="30.5" bestFit="1" customWidth="1"/>
    <col min="14630" max="14630" width="14.5" bestFit="1" customWidth="1"/>
    <col min="14631" max="14631" width="16.5" bestFit="1" customWidth="1"/>
    <col min="14632" max="14632" width="29.1640625" bestFit="1" customWidth="1"/>
    <col min="14633" max="14633" width="29.33203125" bestFit="1" customWidth="1"/>
    <col min="14634" max="14634" width="14.5" bestFit="1" customWidth="1"/>
    <col min="14635" max="14635" width="16.5" bestFit="1" customWidth="1"/>
    <col min="14636" max="14636" width="29.1640625" bestFit="1" customWidth="1"/>
    <col min="14637" max="14637" width="29.33203125" bestFit="1" customWidth="1"/>
    <col min="14638" max="14848" width="8.83203125" customWidth="1"/>
    <col min="14849" max="14849" width="13.1640625" customWidth="1"/>
    <col min="14850" max="14850" width="14.33203125" customWidth="1"/>
    <col min="14851" max="14851" width="10.5" customWidth="1"/>
    <col min="14852" max="14852" width="9.6640625" customWidth="1"/>
    <col min="14853" max="14853" width="12.5" customWidth="1"/>
    <col min="14854" max="14854" width="19.83203125" customWidth="1"/>
    <col min="14855" max="14856" width="12.5" customWidth="1"/>
    <col min="14857" max="14857" width="11" customWidth="1"/>
    <col min="14858" max="14858" width="14.5" customWidth="1"/>
    <col min="14859" max="14859" width="11" customWidth="1"/>
    <col min="14860" max="14860" width="8.83203125" customWidth="1"/>
    <col min="14861" max="14861" width="9.5" customWidth="1"/>
    <col min="14862" max="14862" width="16.5" customWidth="1"/>
    <col min="14863" max="14863" width="20.33203125" bestFit="1" customWidth="1"/>
    <col min="14864" max="14864" width="25.33203125" bestFit="1" customWidth="1"/>
    <col min="14865" max="14865" width="23.33203125" bestFit="1" customWidth="1"/>
    <col min="14866" max="14866" width="18.1640625" bestFit="1" customWidth="1"/>
    <col min="14867" max="14867" width="18.6640625" bestFit="1" customWidth="1"/>
    <col min="14868" max="14868" width="16.83203125" bestFit="1" customWidth="1"/>
    <col min="14869" max="14869" width="10.5" customWidth="1"/>
    <col min="14870" max="14870" width="12.83203125" customWidth="1"/>
    <col min="14871" max="14871" width="14.5" customWidth="1"/>
    <col min="14872" max="14872" width="13.83203125" customWidth="1"/>
    <col min="14873" max="14873" width="17.5" customWidth="1"/>
    <col min="14874" max="14874" width="16.33203125" customWidth="1"/>
    <col min="14875" max="14875" width="20.5" customWidth="1"/>
    <col min="14876" max="14876" width="29.1640625" bestFit="1" customWidth="1"/>
    <col min="14877" max="14877" width="29.33203125" bestFit="1" customWidth="1"/>
    <col min="14878" max="14878" width="14.5" bestFit="1" customWidth="1"/>
    <col min="14879" max="14879" width="16.5" bestFit="1" customWidth="1"/>
    <col min="14880" max="14880" width="29.1640625" bestFit="1" customWidth="1"/>
    <col min="14881" max="14881" width="30.5" bestFit="1" customWidth="1"/>
    <col min="14882" max="14882" width="14.5" bestFit="1" customWidth="1"/>
    <col min="14883" max="14883" width="16.5" bestFit="1" customWidth="1"/>
    <col min="14884" max="14884" width="29.1640625" bestFit="1" customWidth="1"/>
    <col min="14885" max="14885" width="30.5" bestFit="1" customWidth="1"/>
    <col min="14886" max="14886" width="14.5" bestFit="1" customWidth="1"/>
    <col min="14887" max="14887" width="16.5" bestFit="1" customWidth="1"/>
    <col min="14888" max="14888" width="29.1640625" bestFit="1" customWidth="1"/>
    <col min="14889" max="14889" width="29.33203125" bestFit="1" customWidth="1"/>
    <col min="14890" max="14890" width="14.5" bestFit="1" customWidth="1"/>
    <col min="14891" max="14891" width="16.5" bestFit="1" customWidth="1"/>
    <col min="14892" max="14892" width="29.1640625" bestFit="1" customWidth="1"/>
    <col min="14893" max="14893" width="29.33203125" bestFit="1" customWidth="1"/>
    <col min="14894" max="15104" width="8.83203125" customWidth="1"/>
    <col min="15105" max="15105" width="13.1640625" customWidth="1"/>
    <col min="15106" max="15106" width="14.33203125" customWidth="1"/>
    <col min="15107" max="15107" width="10.5" customWidth="1"/>
    <col min="15108" max="15108" width="9.6640625" customWidth="1"/>
    <col min="15109" max="15109" width="12.5" customWidth="1"/>
    <col min="15110" max="15110" width="19.83203125" customWidth="1"/>
    <col min="15111" max="15112" width="12.5" customWidth="1"/>
    <col min="15113" max="15113" width="11" customWidth="1"/>
    <col min="15114" max="15114" width="14.5" customWidth="1"/>
    <col min="15115" max="15115" width="11" customWidth="1"/>
    <col min="15116" max="15116" width="8.83203125" customWidth="1"/>
    <col min="15117" max="15117" width="9.5" customWidth="1"/>
    <col min="15118" max="15118" width="16.5" customWidth="1"/>
    <col min="15119" max="15119" width="20.33203125" bestFit="1" customWidth="1"/>
    <col min="15120" max="15120" width="25.33203125" bestFit="1" customWidth="1"/>
    <col min="15121" max="15121" width="23.33203125" bestFit="1" customWidth="1"/>
    <col min="15122" max="15122" width="18.1640625" bestFit="1" customWidth="1"/>
    <col min="15123" max="15123" width="18.6640625" bestFit="1" customWidth="1"/>
    <col min="15124" max="15124" width="16.83203125" bestFit="1" customWidth="1"/>
    <col min="15125" max="15125" width="10.5" customWidth="1"/>
    <col min="15126" max="15126" width="12.83203125" customWidth="1"/>
    <col min="15127" max="15127" width="14.5" customWidth="1"/>
    <col min="15128" max="15128" width="13.83203125" customWidth="1"/>
    <col min="15129" max="15129" width="17.5" customWidth="1"/>
    <col min="15130" max="15130" width="16.33203125" customWidth="1"/>
    <col min="15131" max="15131" width="20.5" customWidth="1"/>
    <col min="15132" max="15132" width="29.1640625" bestFit="1" customWidth="1"/>
    <col min="15133" max="15133" width="29.33203125" bestFit="1" customWidth="1"/>
    <col min="15134" max="15134" width="14.5" bestFit="1" customWidth="1"/>
    <col min="15135" max="15135" width="16.5" bestFit="1" customWidth="1"/>
    <col min="15136" max="15136" width="29.1640625" bestFit="1" customWidth="1"/>
    <col min="15137" max="15137" width="30.5" bestFit="1" customWidth="1"/>
    <col min="15138" max="15138" width="14.5" bestFit="1" customWidth="1"/>
    <col min="15139" max="15139" width="16.5" bestFit="1" customWidth="1"/>
    <col min="15140" max="15140" width="29.1640625" bestFit="1" customWidth="1"/>
    <col min="15141" max="15141" width="30.5" bestFit="1" customWidth="1"/>
    <col min="15142" max="15142" width="14.5" bestFit="1" customWidth="1"/>
    <col min="15143" max="15143" width="16.5" bestFit="1" customWidth="1"/>
    <col min="15144" max="15144" width="29.1640625" bestFit="1" customWidth="1"/>
    <col min="15145" max="15145" width="29.33203125" bestFit="1" customWidth="1"/>
    <col min="15146" max="15146" width="14.5" bestFit="1" customWidth="1"/>
    <col min="15147" max="15147" width="16.5" bestFit="1" customWidth="1"/>
    <col min="15148" max="15148" width="29.1640625" bestFit="1" customWidth="1"/>
    <col min="15149" max="15149" width="29.33203125" bestFit="1" customWidth="1"/>
    <col min="15150" max="15360" width="8.83203125" customWidth="1"/>
    <col min="15361" max="15361" width="13.1640625" customWidth="1"/>
    <col min="15362" max="15362" width="14.33203125" customWidth="1"/>
    <col min="15363" max="15363" width="10.5" customWidth="1"/>
    <col min="15364" max="15364" width="9.6640625" customWidth="1"/>
    <col min="15365" max="15365" width="12.5" customWidth="1"/>
    <col min="15366" max="15366" width="19.83203125" customWidth="1"/>
    <col min="15367" max="15368" width="12.5" customWidth="1"/>
    <col min="15369" max="15369" width="11" customWidth="1"/>
    <col min="15370" max="15370" width="14.5" customWidth="1"/>
    <col min="15371" max="15371" width="11" customWidth="1"/>
    <col min="15372" max="15372" width="8.83203125" customWidth="1"/>
    <col min="15373" max="15373" width="9.5" customWidth="1"/>
    <col min="15374" max="15374" width="16.5" customWidth="1"/>
    <col min="15375" max="15375" width="20.33203125" bestFit="1" customWidth="1"/>
    <col min="15376" max="15376" width="25.33203125" bestFit="1" customWidth="1"/>
    <col min="15377" max="15377" width="23.33203125" bestFit="1" customWidth="1"/>
    <col min="15378" max="15378" width="18.1640625" bestFit="1" customWidth="1"/>
    <col min="15379" max="15379" width="18.6640625" bestFit="1" customWidth="1"/>
    <col min="15380" max="15380" width="16.83203125" bestFit="1" customWidth="1"/>
    <col min="15381" max="15381" width="10.5" customWidth="1"/>
    <col min="15382" max="15382" width="12.83203125" customWidth="1"/>
    <col min="15383" max="15383" width="14.5" customWidth="1"/>
    <col min="15384" max="15384" width="13.83203125" customWidth="1"/>
    <col min="15385" max="15385" width="17.5" customWidth="1"/>
    <col min="15386" max="15386" width="16.33203125" customWidth="1"/>
    <col min="15387" max="15387" width="20.5" customWidth="1"/>
    <col min="15388" max="15388" width="29.1640625" bestFit="1" customWidth="1"/>
    <col min="15389" max="15389" width="29.33203125" bestFit="1" customWidth="1"/>
    <col min="15390" max="15390" width="14.5" bestFit="1" customWidth="1"/>
    <col min="15391" max="15391" width="16.5" bestFit="1" customWidth="1"/>
    <col min="15392" max="15392" width="29.1640625" bestFit="1" customWidth="1"/>
    <col min="15393" max="15393" width="30.5" bestFit="1" customWidth="1"/>
    <col min="15394" max="15394" width="14.5" bestFit="1" customWidth="1"/>
    <col min="15395" max="15395" width="16.5" bestFit="1" customWidth="1"/>
    <col min="15396" max="15396" width="29.1640625" bestFit="1" customWidth="1"/>
    <col min="15397" max="15397" width="30.5" bestFit="1" customWidth="1"/>
    <col min="15398" max="15398" width="14.5" bestFit="1" customWidth="1"/>
    <col min="15399" max="15399" width="16.5" bestFit="1" customWidth="1"/>
    <col min="15400" max="15400" width="29.1640625" bestFit="1" customWidth="1"/>
    <col min="15401" max="15401" width="29.33203125" bestFit="1" customWidth="1"/>
    <col min="15402" max="15402" width="14.5" bestFit="1" customWidth="1"/>
    <col min="15403" max="15403" width="16.5" bestFit="1" customWidth="1"/>
    <col min="15404" max="15404" width="29.1640625" bestFit="1" customWidth="1"/>
    <col min="15405" max="15405" width="29.33203125" bestFit="1" customWidth="1"/>
    <col min="15406" max="15616" width="8.83203125" customWidth="1"/>
    <col min="15617" max="15617" width="13.1640625" customWidth="1"/>
    <col min="15618" max="15618" width="14.33203125" customWidth="1"/>
    <col min="15619" max="15619" width="10.5" customWidth="1"/>
    <col min="15620" max="15620" width="9.6640625" customWidth="1"/>
    <col min="15621" max="15621" width="12.5" customWidth="1"/>
    <col min="15622" max="15622" width="19.83203125" customWidth="1"/>
    <col min="15623" max="15624" width="12.5" customWidth="1"/>
    <col min="15625" max="15625" width="11" customWidth="1"/>
    <col min="15626" max="15626" width="14.5" customWidth="1"/>
    <col min="15627" max="15627" width="11" customWidth="1"/>
    <col min="15628" max="15628" width="8.83203125" customWidth="1"/>
    <col min="15629" max="15629" width="9.5" customWidth="1"/>
    <col min="15630" max="15630" width="16.5" customWidth="1"/>
    <col min="15631" max="15631" width="20.33203125" bestFit="1" customWidth="1"/>
    <col min="15632" max="15632" width="25.33203125" bestFit="1" customWidth="1"/>
    <col min="15633" max="15633" width="23.33203125" bestFit="1" customWidth="1"/>
    <col min="15634" max="15634" width="18.1640625" bestFit="1" customWidth="1"/>
    <col min="15635" max="15635" width="18.6640625" bestFit="1" customWidth="1"/>
    <col min="15636" max="15636" width="16.83203125" bestFit="1" customWidth="1"/>
    <col min="15637" max="15637" width="10.5" customWidth="1"/>
    <col min="15638" max="15638" width="12.83203125" customWidth="1"/>
    <col min="15639" max="15639" width="14.5" customWidth="1"/>
    <col min="15640" max="15640" width="13.83203125" customWidth="1"/>
    <col min="15641" max="15641" width="17.5" customWidth="1"/>
    <col min="15642" max="15642" width="16.33203125" customWidth="1"/>
    <col min="15643" max="15643" width="20.5" customWidth="1"/>
    <col min="15644" max="15644" width="29.1640625" bestFit="1" customWidth="1"/>
    <col min="15645" max="15645" width="29.33203125" bestFit="1" customWidth="1"/>
    <col min="15646" max="15646" width="14.5" bestFit="1" customWidth="1"/>
    <col min="15647" max="15647" width="16.5" bestFit="1" customWidth="1"/>
    <col min="15648" max="15648" width="29.1640625" bestFit="1" customWidth="1"/>
    <col min="15649" max="15649" width="30.5" bestFit="1" customWidth="1"/>
    <col min="15650" max="15650" width="14.5" bestFit="1" customWidth="1"/>
    <col min="15651" max="15651" width="16.5" bestFit="1" customWidth="1"/>
    <col min="15652" max="15652" width="29.1640625" bestFit="1" customWidth="1"/>
    <col min="15653" max="15653" width="30.5" bestFit="1" customWidth="1"/>
    <col min="15654" max="15654" width="14.5" bestFit="1" customWidth="1"/>
    <col min="15655" max="15655" width="16.5" bestFit="1" customWidth="1"/>
    <col min="15656" max="15656" width="29.1640625" bestFit="1" customWidth="1"/>
    <col min="15657" max="15657" width="29.33203125" bestFit="1" customWidth="1"/>
    <col min="15658" max="15658" width="14.5" bestFit="1" customWidth="1"/>
    <col min="15659" max="15659" width="16.5" bestFit="1" customWidth="1"/>
    <col min="15660" max="15660" width="29.1640625" bestFit="1" customWidth="1"/>
    <col min="15661" max="15661" width="29.33203125" bestFit="1" customWidth="1"/>
    <col min="15662" max="15872" width="8.83203125" customWidth="1"/>
    <col min="15873" max="15873" width="13.1640625" customWidth="1"/>
    <col min="15874" max="15874" width="14.33203125" customWidth="1"/>
    <col min="15875" max="15875" width="10.5" customWidth="1"/>
    <col min="15876" max="15876" width="9.6640625" customWidth="1"/>
    <col min="15877" max="15877" width="12.5" customWidth="1"/>
    <col min="15878" max="15878" width="19.83203125" customWidth="1"/>
    <col min="15879" max="15880" width="12.5" customWidth="1"/>
    <col min="15881" max="15881" width="11" customWidth="1"/>
    <col min="15882" max="15882" width="14.5" customWidth="1"/>
    <col min="15883" max="15883" width="11" customWidth="1"/>
    <col min="15884" max="15884" width="8.83203125" customWidth="1"/>
    <col min="15885" max="15885" width="9.5" customWidth="1"/>
    <col min="15886" max="15886" width="16.5" customWidth="1"/>
    <col min="15887" max="15887" width="20.33203125" bestFit="1" customWidth="1"/>
    <col min="15888" max="15888" width="25.33203125" bestFit="1" customWidth="1"/>
    <col min="15889" max="15889" width="23.33203125" bestFit="1" customWidth="1"/>
    <col min="15890" max="15890" width="18.1640625" bestFit="1" customWidth="1"/>
    <col min="15891" max="15891" width="18.6640625" bestFit="1" customWidth="1"/>
    <col min="15892" max="15892" width="16.83203125" bestFit="1" customWidth="1"/>
    <col min="15893" max="15893" width="10.5" customWidth="1"/>
    <col min="15894" max="15894" width="12.83203125" customWidth="1"/>
    <col min="15895" max="15895" width="14.5" customWidth="1"/>
    <col min="15896" max="15896" width="13.83203125" customWidth="1"/>
    <col min="15897" max="15897" width="17.5" customWidth="1"/>
    <col min="15898" max="15898" width="16.33203125" customWidth="1"/>
    <col min="15899" max="15899" width="20.5" customWidth="1"/>
    <col min="15900" max="15900" width="29.1640625" bestFit="1" customWidth="1"/>
    <col min="15901" max="15901" width="29.33203125" bestFit="1" customWidth="1"/>
    <col min="15902" max="15902" width="14.5" bestFit="1" customWidth="1"/>
    <col min="15903" max="15903" width="16.5" bestFit="1" customWidth="1"/>
    <col min="15904" max="15904" width="29.1640625" bestFit="1" customWidth="1"/>
    <col min="15905" max="15905" width="30.5" bestFit="1" customWidth="1"/>
    <col min="15906" max="15906" width="14.5" bestFit="1" customWidth="1"/>
    <col min="15907" max="15907" width="16.5" bestFit="1" customWidth="1"/>
    <col min="15908" max="15908" width="29.1640625" bestFit="1" customWidth="1"/>
    <col min="15909" max="15909" width="30.5" bestFit="1" customWidth="1"/>
    <col min="15910" max="15910" width="14.5" bestFit="1" customWidth="1"/>
    <col min="15911" max="15911" width="16.5" bestFit="1" customWidth="1"/>
    <col min="15912" max="15912" width="29.1640625" bestFit="1" customWidth="1"/>
    <col min="15913" max="15913" width="29.33203125" bestFit="1" customWidth="1"/>
    <col min="15914" max="15914" width="14.5" bestFit="1" customWidth="1"/>
    <col min="15915" max="15915" width="16.5" bestFit="1" customWidth="1"/>
    <col min="15916" max="15916" width="29.1640625" bestFit="1" customWidth="1"/>
    <col min="15917" max="15917" width="29.33203125" bestFit="1" customWidth="1"/>
    <col min="15918" max="16128" width="8.83203125" customWidth="1"/>
    <col min="16129" max="16129" width="13.1640625" customWidth="1"/>
    <col min="16130" max="16130" width="14.33203125" customWidth="1"/>
    <col min="16131" max="16131" width="10.5" customWidth="1"/>
    <col min="16132" max="16132" width="9.6640625" customWidth="1"/>
    <col min="16133" max="16133" width="12.5" customWidth="1"/>
    <col min="16134" max="16134" width="19.83203125" customWidth="1"/>
    <col min="16135" max="16136" width="12.5" customWidth="1"/>
    <col min="16137" max="16137" width="11" customWidth="1"/>
    <col min="16138" max="16138" width="14.5" customWidth="1"/>
    <col min="16139" max="16139" width="11" customWidth="1"/>
    <col min="16140" max="16140" width="8.83203125" customWidth="1"/>
    <col min="16141" max="16141" width="9.5" customWidth="1"/>
    <col min="16142" max="16142" width="16.5" customWidth="1"/>
    <col min="16143" max="16143" width="20.33203125" bestFit="1" customWidth="1"/>
    <col min="16144" max="16144" width="25.33203125" bestFit="1" customWidth="1"/>
    <col min="16145" max="16145" width="23.33203125" bestFit="1" customWidth="1"/>
    <col min="16146" max="16146" width="18.1640625" bestFit="1" customWidth="1"/>
    <col min="16147" max="16147" width="18.6640625" bestFit="1" customWidth="1"/>
    <col min="16148" max="16148" width="16.83203125" bestFit="1" customWidth="1"/>
    <col min="16149" max="16149" width="10.5" customWidth="1"/>
    <col min="16150" max="16150" width="12.83203125" customWidth="1"/>
    <col min="16151" max="16151" width="14.5" customWidth="1"/>
    <col min="16152" max="16152" width="13.83203125" customWidth="1"/>
    <col min="16153" max="16153" width="17.5" customWidth="1"/>
    <col min="16154" max="16154" width="16.33203125" customWidth="1"/>
    <col min="16155" max="16155" width="20.5" customWidth="1"/>
    <col min="16156" max="16156" width="29.1640625" bestFit="1" customWidth="1"/>
    <col min="16157" max="16157" width="29.33203125" bestFit="1" customWidth="1"/>
    <col min="16158" max="16158" width="14.5" bestFit="1" customWidth="1"/>
    <col min="16159" max="16159" width="16.5" bestFit="1" customWidth="1"/>
    <col min="16160" max="16160" width="29.1640625" bestFit="1" customWidth="1"/>
    <col min="16161" max="16161" width="30.5" bestFit="1" customWidth="1"/>
    <col min="16162" max="16162" width="14.5" bestFit="1" customWidth="1"/>
    <col min="16163" max="16163" width="16.5" bestFit="1" customWidth="1"/>
    <col min="16164" max="16164" width="29.1640625" bestFit="1" customWidth="1"/>
    <col min="16165" max="16165" width="30.5" bestFit="1" customWidth="1"/>
    <col min="16166" max="16166" width="14.5" bestFit="1" customWidth="1"/>
    <col min="16167" max="16167" width="16.5" bestFit="1" customWidth="1"/>
    <col min="16168" max="16168" width="29.1640625" bestFit="1" customWidth="1"/>
    <col min="16169" max="16169" width="29.33203125" bestFit="1" customWidth="1"/>
    <col min="16170" max="16170" width="14.5" bestFit="1" customWidth="1"/>
    <col min="16171" max="16171" width="16.5" bestFit="1" customWidth="1"/>
    <col min="16172" max="16172" width="29.1640625" bestFit="1" customWidth="1"/>
    <col min="16173" max="16173" width="29.33203125" bestFit="1" customWidth="1"/>
    <col min="16174" max="16384" width="8.83203125" customWidth="1"/>
  </cols>
  <sheetData>
    <row r="1" spans="1:45">
      <c r="A1" s="5" t="s">
        <v>853</v>
      </c>
      <c r="B1" s="27" t="s">
        <v>854</v>
      </c>
      <c r="C1" s="5" t="s">
        <v>855</v>
      </c>
      <c r="D1" s="85" t="s">
        <v>856</v>
      </c>
      <c r="E1" s="5" t="s">
        <v>857</v>
      </c>
      <c r="F1" s="5" t="s">
        <v>858</v>
      </c>
      <c r="G1" s="5" t="s">
        <v>859</v>
      </c>
      <c r="H1" s="5" t="s">
        <v>860</v>
      </c>
      <c r="I1" s="5" t="s">
        <v>861</v>
      </c>
      <c r="J1" s="6" t="s">
        <v>862</v>
      </c>
      <c r="K1" s="7" t="s">
        <v>863</v>
      </c>
      <c r="L1" s="7" t="s">
        <v>864</v>
      </c>
      <c r="M1" s="7" t="s">
        <v>865</v>
      </c>
      <c r="N1" s="5" t="s">
        <v>866</v>
      </c>
      <c r="O1" s="8" t="s">
        <v>867</v>
      </c>
      <c r="P1" s="9" t="s">
        <v>868</v>
      </c>
      <c r="Q1" s="9" t="s">
        <v>869</v>
      </c>
      <c r="R1" s="9" t="s">
        <v>870</v>
      </c>
      <c r="S1" s="9" t="s">
        <v>871</v>
      </c>
      <c r="T1" s="9" t="s">
        <v>872</v>
      </c>
      <c r="U1" s="5" t="s">
        <v>873</v>
      </c>
      <c r="V1" s="5" t="s">
        <v>874</v>
      </c>
      <c r="W1" s="5" t="s">
        <v>875</v>
      </c>
      <c r="X1" s="10" t="s">
        <v>876</v>
      </c>
      <c r="Y1" s="44" t="s">
        <v>877</v>
      </c>
      <c r="Z1" s="11" t="s">
        <v>878</v>
      </c>
      <c r="AA1" s="11" t="s">
        <v>879</v>
      </c>
      <c r="AB1" s="11" t="s">
        <v>880</v>
      </c>
      <c r="AC1" s="11" t="s">
        <v>881</v>
      </c>
      <c r="AD1" s="11" t="s">
        <v>882</v>
      </c>
      <c r="AE1" s="11" t="s">
        <v>883</v>
      </c>
      <c r="AF1" s="11" t="s">
        <v>884</v>
      </c>
      <c r="AG1" s="11" t="s">
        <v>885</v>
      </c>
      <c r="AH1" s="11" t="s">
        <v>886</v>
      </c>
      <c r="AI1" s="11" t="s">
        <v>887</v>
      </c>
      <c r="AJ1" s="11" t="s">
        <v>888</v>
      </c>
      <c r="AK1" s="11" t="s">
        <v>889</v>
      </c>
      <c r="AL1" s="11" t="s">
        <v>890</v>
      </c>
      <c r="AM1" s="11" t="s">
        <v>891</v>
      </c>
      <c r="AN1" s="11" t="s">
        <v>892</v>
      </c>
      <c r="AO1" s="11" t="s">
        <v>893</v>
      </c>
      <c r="AP1" s="11" t="s">
        <v>894</v>
      </c>
      <c r="AQ1" s="11" t="s">
        <v>895</v>
      </c>
      <c r="AR1" s="11" t="s">
        <v>896</v>
      </c>
      <c r="AS1" s="11" t="s">
        <v>897</v>
      </c>
    </row>
    <row r="2" spans="1:45" ht="37">
      <c r="A2" s="12" t="s">
        <v>898</v>
      </c>
      <c r="B2" s="27" t="s">
        <v>899</v>
      </c>
      <c r="C2" s="12" t="s">
        <v>900</v>
      </c>
      <c r="D2" s="13">
        <v>0</v>
      </c>
      <c r="E2" s="14" t="s">
        <v>901</v>
      </c>
      <c r="F2" s="14" t="s">
        <v>902</v>
      </c>
      <c r="G2" s="12" t="s">
        <v>903</v>
      </c>
      <c r="H2" s="13" t="s">
        <v>904</v>
      </c>
      <c r="I2" s="12" t="s">
        <v>905</v>
      </c>
      <c r="J2" s="15" t="s">
        <v>906</v>
      </c>
      <c r="K2" s="16" t="s">
        <v>907</v>
      </c>
      <c r="L2" s="16" t="s">
        <v>908</v>
      </c>
      <c r="M2" s="16" t="s">
        <v>908</v>
      </c>
      <c r="N2" s="12" t="s">
        <v>909</v>
      </c>
      <c r="O2" s="17" t="s">
        <v>902</v>
      </c>
      <c r="P2" s="18" t="s">
        <v>902</v>
      </c>
      <c r="Q2" s="18" t="s">
        <v>902</v>
      </c>
      <c r="R2" s="18" t="s">
        <v>870</v>
      </c>
      <c r="S2" s="18" t="s">
        <v>871</v>
      </c>
      <c r="T2" s="18" t="s">
        <v>910</v>
      </c>
      <c r="U2" s="14" t="s">
        <v>911</v>
      </c>
      <c r="V2" s="12" t="s">
        <v>912</v>
      </c>
      <c r="W2" s="13" t="s">
        <v>913</v>
      </c>
      <c r="X2" s="19" t="s">
        <v>914</v>
      </c>
      <c r="Y2" s="20" t="s">
        <v>915</v>
      </c>
      <c r="Z2" s="21" t="s">
        <v>916</v>
      </c>
      <c r="AA2" s="21" t="s">
        <v>917</v>
      </c>
      <c r="AB2" s="22" t="s">
        <v>901</v>
      </c>
      <c r="AC2" s="22" t="s">
        <v>902</v>
      </c>
      <c r="AD2" s="21" t="s">
        <v>916</v>
      </c>
      <c r="AE2" s="21" t="s">
        <v>918</v>
      </c>
      <c r="AF2" s="22" t="s">
        <v>901</v>
      </c>
      <c r="AG2" s="22" t="s">
        <v>902</v>
      </c>
      <c r="AH2" s="21" t="s">
        <v>916</v>
      </c>
      <c r="AI2" s="21" t="s">
        <v>918</v>
      </c>
      <c r="AJ2" s="22" t="s">
        <v>901</v>
      </c>
      <c r="AK2" s="22" t="s">
        <v>902</v>
      </c>
      <c r="AL2" s="21" t="s">
        <v>916</v>
      </c>
      <c r="AM2" s="21" t="s">
        <v>918</v>
      </c>
      <c r="AN2" s="22" t="s">
        <v>901</v>
      </c>
      <c r="AO2" s="22" t="s">
        <v>902</v>
      </c>
      <c r="AP2" s="21" t="s">
        <v>916</v>
      </c>
      <c r="AQ2" s="21" t="s">
        <v>918</v>
      </c>
      <c r="AR2" s="22" t="s">
        <v>901</v>
      </c>
      <c r="AS2" s="22" t="s">
        <v>902</v>
      </c>
    </row>
    <row r="3" spans="1:45" ht="17" thickBot="1">
      <c r="A3" s="62" t="s">
        <v>919</v>
      </c>
      <c r="B3" s="63" t="s">
        <v>156</v>
      </c>
      <c r="C3" s="64" t="s">
        <v>920</v>
      </c>
      <c r="D3">
        <v>0</v>
      </c>
      <c r="I3" s="67" t="s">
        <v>939</v>
      </c>
      <c r="O3" s="70"/>
      <c r="P3" s="71"/>
      <c r="Q3" s="71"/>
      <c r="R3" s="72"/>
      <c r="S3" s="72"/>
      <c r="T3" s="73"/>
      <c r="U3" s="74"/>
      <c r="V3" s="75"/>
      <c r="W3" s="76" t="s">
        <v>940</v>
      </c>
      <c r="X3" s="72" t="s">
        <v>938</v>
      </c>
      <c r="Z3" s="77"/>
      <c r="AA3" s="65"/>
      <c r="AB3" s="65"/>
      <c r="AC3" s="78"/>
      <c r="AD3" s="77"/>
      <c r="AE3" s="65"/>
      <c r="AF3" s="65"/>
      <c r="AG3" s="78"/>
      <c r="AH3" s="77"/>
      <c r="AI3" s="65"/>
      <c r="AJ3" s="65"/>
      <c r="AK3" s="78"/>
      <c r="AL3" s="77"/>
      <c r="AM3" s="65"/>
      <c r="AN3" s="65"/>
      <c r="AO3" s="78"/>
      <c r="AP3" s="77"/>
      <c r="AQ3" s="65"/>
      <c r="AR3" s="65"/>
      <c r="AS3" s="78"/>
    </row>
    <row r="4" spans="1:45" ht="17" thickBot="1">
      <c r="A4" s="62" t="s">
        <v>919</v>
      </c>
      <c r="B4" s="79" t="s">
        <v>158</v>
      </c>
      <c r="C4" s="64" t="s">
        <v>920</v>
      </c>
      <c r="D4">
        <v>0</v>
      </c>
      <c r="I4" s="67" t="s">
        <v>939</v>
      </c>
      <c r="O4" s="70"/>
      <c r="P4" s="71"/>
      <c r="Q4" s="71"/>
      <c r="R4" s="72"/>
      <c r="S4" s="72"/>
      <c r="T4" s="73"/>
      <c r="V4" s="66"/>
      <c r="W4" s="76" t="s">
        <v>941</v>
      </c>
      <c r="X4" s="72" t="s">
        <v>938</v>
      </c>
      <c r="Z4" s="77"/>
      <c r="AA4" s="65"/>
      <c r="AB4" s="65"/>
      <c r="AC4" s="78"/>
      <c r="AD4" s="77"/>
      <c r="AE4" s="65"/>
      <c r="AF4" s="65"/>
      <c r="AG4" s="78"/>
      <c r="AH4" s="77"/>
      <c r="AI4" s="65"/>
      <c r="AJ4" s="65"/>
      <c r="AK4" s="78"/>
      <c r="AL4" s="77"/>
      <c r="AM4" s="65"/>
      <c r="AN4" s="65"/>
      <c r="AO4" s="78"/>
      <c r="AP4" s="77"/>
      <c r="AQ4" s="65"/>
      <c r="AR4" s="65"/>
      <c r="AS4" s="78"/>
    </row>
    <row r="5" spans="1:45">
      <c r="A5" s="62" t="s">
        <v>919</v>
      </c>
      <c r="B5" s="80" t="s">
        <v>159</v>
      </c>
      <c r="C5" s="64" t="s">
        <v>920</v>
      </c>
      <c r="D5">
        <v>0</v>
      </c>
      <c r="I5" s="67" t="s">
        <v>939</v>
      </c>
      <c r="W5" s="76" t="s">
        <v>942</v>
      </c>
      <c r="X5" s="72" t="s">
        <v>938</v>
      </c>
    </row>
    <row r="6" spans="1:45">
      <c r="A6" s="62" t="s">
        <v>919</v>
      </c>
      <c r="B6" s="63" t="s">
        <v>160</v>
      </c>
      <c r="C6" s="64" t="s">
        <v>920</v>
      </c>
      <c r="D6">
        <v>0</v>
      </c>
      <c r="I6" s="67" t="s">
        <v>939</v>
      </c>
      <c r="W6" s="76" t="s">
        <v>943</v>
      </c>
      <c r="X6" s="72" t="s">
        <v>938</v>
      </c>
    </row>
    <row r="7" spans="1:45">
      <c r="A7" s="62" t="s">
        <v>919</v>
      </c>
      <c r="B7" s="63" t="s">
        <v>161</v>
      </c>
      <c r="C7" s="64" t="s">
        <v>920</v>
      </c>
      <c r="D7">
        <v>0</v>
      </c>
      <c r="I7" s="67" t="s">
        <v>939</v>
      </c>
      <c r="W7" s="76" t="s">
        <v>944</v>
      </c>
      <c r="X7" s="72" t="s">
        <v>938</v>
      </c>
    </row>
    <row r="8" spans="1:45">
      <c r="A8" s="62" t="s">
        <v>919</v>
      </c>
      <c r="B8" s="63" t="s">
        <v>162</v>
      </c>
      <c r="C8" s="64" t="s">
        <v>920</v>
      </c>
      <c r="D8">
        <v>0</v>
      </c>
      <c r="I8" s="67" t="s">
        <v>939</v>
      </c>
      <c r="W8" s="76" t="s">
        <v>945</v>
      </c>
      <c r="X8" s="72" t="s">
        <v>938</v>
      </c>
    </row>
    <row r="9" spans="1:45">
      <c r="A9" s="62" t="s">
        <v>919</v>
      </c>
      <c r="B9" s="63" t="s">
        <v>163</v>
      </c>
      <c r="C9" s="64" t="s">
        <v>920</v>
      </c>
      <c r="D9">
        <v>0</v>
      </c>
      <c r="I9" s="67" t="s">
        <v>939</v>
      </c>
      <c r="W9" s="76" t="s">
        <v>946</v>
      </c>
      <c r="X9" s="72" t="s">
        <v>938</v>
      </c>
    </row>
    <row r="10" spans="1:45">
      <c r="A10" s="62" t="s">
        <v>919</v>
      </c>
      <c r="B10" s="63" t="s">
        <v>164</v>
      </c>
      <c r="C10" s="64" t="s">
        <v>920</v>
      </c>
      <c r="D10">
        <v>0</v>
      </c>
      <c r="I10" s="67" t="s">
        <v>939</v>
      </c>
      <c r="W10" s="76" t="s">
        <v>947</v>
      </c>
      <c r="X10" s="72" t="s">
        <v>938</v>
      </c>
    </row>
    <row r="11" spans="1:45">
      <c r="A11" s="62" t="s">
        <v>919</v>
      </c>
      <c r="B11" s="63" t="s">
        <v>165</v>
      </c>
      <c r="C11" s="64" t="s">
        <v>920</v>
      </c>
      <c r="D11">
        <v>0</v>
      </c>
      <c r="I11" s="67" t="s">
        <v>939</v>
      </c>
      <c r="W11" s="76" t="s">
        <v>948</v>
      </c>
      <c r="X11" s="72" t="s">
        <v>938</v>
      </c>
    </row>
    <row r="12" spans="1:45">
      <c r="A12" s="62" t="s">
        <v>919</v>
      </c>
      <c r="B12" s="63" t="s">
        <v>541</v>
      </c>
      <c r="C12" s="64" t="s">
        <v>920</v>
      </c>
      <c r="D12">
        <v>0</v>
      </c>
      <c r="I12" s="67" t="s">
        <v>939</v>
      </c>
      <c r="W12" s="76" t="s">
        <v>949</v>
      </c>
      <c r="X12" s="72" t="s">
        <v>938</v>
      </c>
    </row>
    <row r="13" spans="1:45">
      <c r="A13" s="62" t="s">
        <v>919</v>
      </c>
      <c r="B13" s="63" t="s">
        <v>167</v>
      </c>
      <c r="C13" s="64" t="s">
        <v>920</v>
      </c>
      <c r="D13">
        <v>0</v>
      </c>
      <c r="I13" s="67" t="s">
        <v>939</v>
      </c>
      <c r="W13" s="76" t="s">
        <v>950</v>
      </c>
      <c r="X13" s="72" t="s">
        <v>938</v>
      </c>
    </row>
    <row r="14" spans="1:45">
      <c r="A14" s="62" t="s">
        <v>919</v>
      </c>
      <c r="B14" s="63" t="s">
        <v>548</v>
      </c>
      <c r="C14" s="64" t="s">
        <v>920</v>
      </c>
      <c r="D14">
        <v>0</v>
      </c>
      <c r="I14" s="67" t="s">
        <v>939</v>
      </c>
      <c r="W14" s="76" t="s">
        <v>951</v>
      </c>
      <c r="X14" s="72" t="s">
        <v>938</v>
      </c>
    </row>
    <row r="15" spans="1:45">
      <c r="A15" s="62" t="s">
        <v>919</v>
      </c>
      <c r="B15" s="63" t="s">
        <v>169</v>
      </c>
      <c r="C15" s="64" t="s">
        <v>920</v>
      </c>
      <c r="D15">
        <v>0</v>
      </c>
      <c r="I15" s="67" t="s">
        <v>939</v>
      </c>
      <c r="W15" s="76" t="s">
        <v>952</v>
      </c>
      <c r="X15" s="72" t="s">
        <v>938</v>
      </c>
    </row>
    <row r="16" spans="1:45">
      <c r="A16" s="62" t="s">
        <v>919</v>
      </c>
      <c r="B16" s="63" t="s">
        <v>170</v>
      </c>
      <c r="C16" s="64" t="s">
        <v>920</v>
      </c>
      <c r="D16">
        <v>0</v>
      </c>
      <c r="I16" s="67" t="s">
        <v>939</v>
      </c>
      <c r="W16" s="76" t="s">
        <v>953</v>
      </c>
      <c r="X16" s="72" t="s">
        <v>938</v>
      </c>
    </row>
    <row r="17" spans="1:24">
      <c r="A17" s="62" t="s">
        <v>919</v>
      </c>
      <c r="B17" s="63" t="s">
        <v>171</v>
      </c>
      <c r="C17" s="64" t="s">
        <v>920</v>
      </c>
      <c r="D17">
        <v>0</v>
      </c>
      <c r="I17" s="67" t="s">
        <v>939</v>
      </c>
      <c r="W17" s="76" t="s">
        <v>954</v>
      </c>
      <c r="X17" s="72" t="s">
        <v>938</v>
      </c>
    </row>
    <row r="18" spans="1:24">
      <c r="A18" s="62" t="s">
        <v>919</v>
      </c>
      <c r="B18" s="63" t="s">
        <v>173</v>
      </c>
      <c r="C18" s="64" t="s">
        <v>920</v>
      </c>
      <c r="D18">
        <v>0</v>
      </c>
      <c r="I18" s="67" t="s">
        <v>939</v>
      </c>
      <c r="W18" s="76" t="s">
        <v>955</v>
      </c>
      <c r="X18" s="72" t="s">
        <v>938</v>
      </c>
    </row>
    <row r="19" spans="1:24">
      <c r="A19" s="62" t="s">
        <v>919</v>
      </c>
      <c r="B19" s="63" t="s">
        <v>543</v>
      </c>
      <c r="C19" s="64" t="s">
        <v>920</v>
      </c>
      <c r="D19">
        <v>0</v>
      </c>
      <c r="I19" s="67" t="s">
        <v>939</v>
      </c>
      <c r="W19" s="76" t="s">
        <v>956</v>
      </c>
      <c r="X19" s="72" t="s">
        <v>938</v>
      </c>
    </row>
    <row r="20" spans="1:24">
      <c r="A20" s="62" t="s">
        <v>919</v>
      </c>
      <c r="B20" s="63" t="s">
        <v>174</v>
      </c>
      <c r="C20" s="64" t="s">
        <v>920</v>
      </c>
      <c r="D20">
        <v>0</v>
      </c>
      <c r="I20" s="67" t="s">
        <v>939</v>
      </c>
      <c r="W20" s="76" t="s">
        <v>957</v>
      </c>
      <c r="X20" s="72" t="s">
        <v>938</v>
      </c>
    </row>
    <row r="21" spans="1:24">
      <c r="A21" s="62" t="s">
        <v>919</v>
      </c>
      <c r="B21" s="63" t="s">
        <v>175</v>
      </c>
      <c r="C21" s="64" t="s">
        <v>920</v>
      </c>
      <c r="D21">
        <v>0</v>
      </c>
      <c r="I21" s="67" t="s">
        <v>939</v>
      </c>
      <c r="W21" s="76" t="s">
        <v>958</v>
      </c>
      <c r="X21" s="72" t="s">
        <v>938</v>
      </c>
    </row>
    <row r="22" spans="1:24">
      <c r="A22" s="62" t="s">
        <v>919</v>
      </c>
      <c r="B22" s="63" t="s">
        <v>176</v>
      </c>
      <c r="C22" s="64" t="s">
        <v>920</v>
      </c>
      <c r="D22">
        <v>0</v>
      </c>
      <c r="I22" s="67" t="s">
        <v>939</v>
      </c>
      <c r="W22" s="76" t="s">
        <v>959</v>
      </c>
      <c r="X22" s="72" t="s">
        <v>938</v>
      </c>
    </row>
    <row r="23" spans="1:24">
      <c r="A23" s="62" t="s">
        <v>919</v>
      </c>
      <c r="B23" s="63" t="s">
        <v>178</v>
      </c>
      <c r="C23" s="64" t="s">
        <v>920</v>
      </c>
      <c r="D23">
        <v>0</v>
      </c>
      <c r="I23" s="67" t="s">
        <v>939</v>
      </c>
      <c r="W23" s="76" t="s">
        <v>960</v>
      </c>
      <c r="X23" s="72" t="s">
        <v>938</v>
      </c>
    </row>
    <row r="24" spans="1:24">
      <c r="A24" s="62" t="s">
        <v>919</v>
      </c>
      <c r="B24" s="63" t="s">
        <v>180</v>
      </c>
      <c r="C24" s="64" t="s">
        <v>920</v>
      </c>
      <c r="D24">
        <v>0</v>
      </c>
      <c r="I24" s="67" t="s">
        <v>939</v>
      </c>
      <c r="W24" s="76" t="s">
        <v>961</v>
      </c>
      <c r="X24" s="72" t="s">
        <v>938</v>
      </c>
    </row>
    <row r="25" spans="1:24">
      <c r="A25" s="62" t="s">
        <v>919</v>
      </c>
      <c r="B25" s="63" t="s">
        <v>544</v>
      </c>
      <c r="C25" s="64" t="s">
        <v>920</v>
      </c>
      <c r="D25">
        <v>0</v>
      </c>
      <c r="I25" s="67" t="s">
        <v>939</v>
      </c>
      <c r="W25" s="76" t="s">
        <v>962</v>
      </c>
      <c r="X25" s="72" t="s">
        <v>938</v>
      </c>
    </row>
    <row r="26" spans="1:24">
      <c r="A26" s="62" t="s">
        <v>919</v>
      </c>
      <c r="B26" s="63" t="s">
        <v>542</v>
      </c>
      <c r="C26" s="64" t="s">
        <v>920</v>
      </c>
      <c r="D26">
        <v>0</v>
      </c>
      <c r="I26" s="67" t="s">
        <v>939</v>
      </c>
      <c r="W26" s="76" t="s">
        <v>963</v>
      </c>
      <c r="X26" s="72" t="s">
        <v>938</v>
      </c>
    </row>
    <row r="27" spans="1:24">
      <c r="A27" s="62" t="s">
        <v>919</v>
      </c>
      <c r="B27" s="63" t="s">
        <v>181</v>
      </c>
      <c r="C27" s="64" t="s">
        <v>920</v>
      </c>
      <c r="D27">
        <v>0</v>
      </c>
      <c r="I27" s="67" t="s">
        <v>939</v>
      </c>
      <c r="W27" s="76" t="s">
        <v>964</v>
      </c>
      <c r="X27" s="72" t="s">
        <v>938</v>
      </c>
    </row>
    <row r="28" spans="1:24">
      <c r="A28" s="62" t="s">
        <v>919</v>
      </c>
      <c r="B28" s="63" t="s">
        <v>182</v>
      </c>
      <c r="C28" s="64" t="s">
        <v>920</v>
      </c>
      <c r="D28">
        <v>0</v>
      </c>
      <c r="I28" s="67" t="s">
        <v>939</v>
      </c>
      <c r="W28" s="76" t="s">
        <v>965</v>
      </c>
      <c r="X28" s="72" t="s">
        <v>938</v>
      </c>
    </row>
    <row r="29" spans="1:24">
      <c r="A29" s="62" t="s">
        <v>919</v>
      </c>
      <c r="B29" s="63" t="s">
        <v>184</v>
      </c>
      <c r="C29" s="64" t="s">
        <v>920</v>
      </c>
      <c r="D29">
        <v>0</v>
      </c>
      <c r="I29" s="67" t="s">
        <v>939</v>
      </c>
      <c r="W29" s="76" t="s">
        <v>966</v>
      </c>
      <c r="X29" s="72" t="s">
        <v>938</v>
      </c>
    </row>
    <row r="30" spans="1:24">
      <c r="A30" s="62" t="s">
        <v>919</v>
      </c>
      <c r="B30" s="63" t="s">
        <v>185</v>
      </c>
      <c r="C30" s="64" t="s">
        <v>920</v>
      </c>
      <c r="D30">
        <v>0</v>
      </c>
      <c r="I30" s="67" t="s">
        <v>939</v>
      </c>
      <c r="W30" s="76" t="s">
        <v>967</v>
      </c>
      <c r="X30" s="72" t="s">
        <v>938</v>
      </c>
    </row>
    <row r="31" spans="1:24">
      <c r="A31" s="62" t="s">
        <v>919</v>
      </c>
      <c r="B31" s="63" t="s">
        <v>186</v>
      </c>
      <c r="C31" s="64" t="s">
        <v>920</v>
      </c>
      <c r="D31">
        <v>0</v>
      </c>
      <c r="I31" s="67" t="s">
        <v>939</v>
      </c>
      <c r="W31" s="76" t="s">
        <v>968</v>
      </c>
      <c r="X31" s="72" t="s">
        <v>938</v>
      </c>
    </row>
    <row r="32" spans="1:24">
      <c r="A32" s="62" t="s">
        <v>919</v>
      </c>
      <c r="B32" s="63" t="s">
        <v>187</v>
      </c>
      <c r="C32" s="64" t="s">
        <v>920</v>
      </c>
      <c r="D32">
        <v>0</v>
      </c>
      <c r="I32" s="67" t="s">
        <v>939</v>
      </c>
      <c r="W32" s="76" t="s">
        <v>969</v>
      </c>
      <c r="X32" s="72" t="s">
        <v>938</v>
      </c>
    </row>
    <row r="33" spans="1:24">
      <c r="A33" s="62" t="s">
        <v>919</v>
      </c>
      <c r="B33" s="63" t="s">
        <v>189</v>
      </c>
      <c r="C33" s="64" t="s">
        <v>920</v>
      </c>
      <c r="D33">
        <v>0</v>
      </c>
      <c r="I33" s="67" t="s">
        <v>939</v>
      </c>
      <c r="W33" s="76" t="s">
        <v>970</v>
      </c>
      <c r="X33" s="72" t="s">
        <v>938</v>
      </c>
    </row>
    <row r="34" spans="1:24">
      <c r="A34" s="62" t="s">
        <v>919</v>
      </c>
      <c r="B34" s="63" t="s">
        <v>190</v>
      </c>
      <c r="C34" s="64" t="s">
        <v>920</v>
      </c>
      <c r="D34">
        <v>0</v>
      </c>
      <c r="I34" s="67" t="s">
        <v>939</v>
      </c>
      <c r="W34" s="76" t="s">
        <v>971</v>
      </c>
      <c r="X34" s="72" t="s">
        <v>938</v>
      </c>
    </row>
    <row r="35" spans="1:24">
      <c r="A35" s="62" t="s">
        <v>919</v>
      </c>
      <c r="B35" s="63" t="s">
        <v>191</v>
      </c>
      <c r="C35" s="64" t="s">
        <v>920</v>
      </c>
      <c r="D35">
        <v>0</v>
      </c>
      <c r="I35" s="67" t="s">
        <v>939</v>
      </c>
      <c r="W35" s="76" t="s">
        <v>972</v>
      </c>
      <c r="X35" s="72" t="s">
        <v>938</v>
      </c>
    </row>
    <row r="36" spans="1:24">
      <c r="A36" s="62" t="s">
        <v>919</v>
      </c>
      <c r="B36" s="63" t="s">
        <v>545</v>
      </c>
      <c r="C36" s="64" t="s">
        <v>920</v>
      </c>
      <c r="D36">
        <v>0</v>
      </c>
      <c r="I36" s="67" t="s">
        <v>939</v>
      </c>
      <c r="W36" s="76" t="s">
        <v>973</v>
      </c>
      <c r="X36" s="72" t="s">
        <v>938</v>
      </c>
    </row>
    <row r="37" spans="1:24">
      <c r="A37" s="62" t="s">
        <v>919</v>
      </c>
      <c r="B37" s="63" t="s">
        <v>192</v>
      </c>
      <c r="C37" s="64" t="s">
        <v>920</v>
      </c>
      <c r="D37">
        <v>0</v>
      </c>
      <c r="I37" s="67" t="s">
        <v>939</v>
      </c>
      <c r="W37" s="76" t="s">
        <v>974</v>
      </c>
      <c r="X37" s="72" t="s">
        <v>938</v>
      </c>
    </row>
    <row r="38" spans="1:24">
      <c r="A38" s="62" t="s">
        <v>919</v>
      </c>
      <c r="B38" s="63" t="s">
        <v>193</v>
      </c>
      <c r="C38" s="64" t="s">
        <v>920</v>
      </c>
      <c r="D38">
        <v>0</v>
      </c>
      <c r="I38" s="67" t="s">
        <v>939</v>
      </c>
      <c r="W38" s="76" t="s">
        <v>975</v>
      </c>
      <c r="X38" s="72" t="s">
        <v>938</v>
      </c>
    </row>
    <row r="39" spans="1:24">
      <c r="A39" s="62" t="s">
        <v>919</v>
      </c>
      <c r="B39" s="63" t="s">
        <v>194</v>
      </c>
      <c r="C39" s="64" t="s">
        <v>920</v>
      </c>
      <c r="D39">
        <v>0</v>
      </c>
      <c r="I39" s="67" t="s">
        <v>939</v>
      </c>
      <c r="W39" s="76" t="s">
        <v>976</v>
      </c>
      <c r="X39" s="72" t="s">
        <v>938</v>
      </c>
    </row>
    <row r="40" spans="1:24">
      <c r="A40" s="62" t="s">
        <v>919</v>
      </c>
      <c r="B40" s="63" t="s">
        <v>195</v>
      </c>
      <c r="C40" s="64" t="s">
        <v>920</v>
      </c>
      <c r="D40">
        <v>0</v>
      </c>
      <c r="I40" s="67" t="s">
        <v>939</v>
      </c>
      <c r="W40" s="76" t="s">
        <v>977</v>
      </c>
      <c r="X40" s="72" t="s">
        <v>938</v>
      </c>
    </row>
    <row r="41" spans="1:24">
      <c r="A41" s="62" t="s">
        <v>919</v>
      </c>
      <c r="B41" s="63" t="s">
        <v>196</v>
      </c>
      <c r="C41" s="64" t="s">
        <v>920</v>
      </c>
      <c r="D41">
        <v>0</v>
      </c>
      <c r="I41" s="67" t="s">
        <v>939</v>
      </c>
      <c r="W41" s="76" t="s">
        <v>978</v>
      </c>
      <c r="X41" s="72" t="s">
        <v>938</v>
      </c>
    </row>
    <row r="42" spans="1:24">
      <c r="A42" s="62" t="s">
        <v>919</v>
      </c>
      <c r="B42" s="63" t="s">
        <v>198</v>
      </c>
      <c r="C42" s="64" t="s">
        <v>920</v>
      </c>
      <c r="D42">
        <v>0</v>
      </c>
      <c r="I42" s="67" t="s">
        <v>939</v>
      </c>
      <c r="W42" s="76" t="s">
        <v>979</v>
      </c>
      <c r="X42" s="72" t="s">
        <v>938</v>
      </c>
    </row>
    <row r="43" spans="1:24">
      <c r="A43" s="62" t="s">
        <v>919</v>
      </c>
      <c r="B43" s="63" t="s">
        <v>540</v>
      </c>
      <c r="C43" s="64" t="s">
        <v>920</v>
      </c>
      <c r="D43">
        <v>0</v>
      </c>
      <c r="I43" s="67" t="s">
        <v>939</v>
      </c>
      <c r="W43" s="76" t="s">
        <v>980</v>
      </c>
      <c r="X43" s="72" t="s">
        <v>938</v>
      </c>
    </row>
    <row r="44" spans="1:24">
      <c r="A44" s="62" t="s">
        <v>919</v>
      </c>
      <c r="B44" s="63" t="s">
        <v>199</v>
      </c>
      <c r="C44" s="64" t="s">
        <v>920</v>
      </c>
      <c r="D44">
        <v>0</v>
      </c>
      <c r="I44" s="67" t="s">
        <v>939</v>
      </c>
      <c r="W44" s="76" t="s">
        <v>981</v>
      </c>
      <c r="X44" s="72" t="s">
        <v>938</v>
      </c>
    </row>
    <row r="45" spans="1:24">
      <c r="A45" s="62" t="s">
        <v>919</v>
      </c>
      <c r="B45" s="63" t="s">
        <v>200</v>
      </c>
      <c r="C45" s="64" t="s">
        <v>920</v>
      </c>
      <c r="D45">
        <v>0</v>
      </c>
      <c r="I45" s="67" t="s">
        <v>939</v>
      </c>
      <c r="W45" s="76" t="s">
        <v>982</v>
      </c>
      <c r="X45" s="72" t="s">
        <v>938</v>
      </c>
    </row>
    <row r="46" spans="1:24">
      <c r="A46" s="62" t="s">
        <v>919</v>
      </c>
      <c r="B46" s="63" t="s">
        <v>202</v>
      </c>
      <c r="C46" s="64" t="s">
        <v>920</v>
      </c>
      <c r="D46">
        <v>0</v>
      </c>
      <c r="I46" s="67" t="s">
        <v>939</v>
      </c>
      <c r="W46" s="76" t="s">
        <v>983</v>
      </c>
      <c r="X46" s="72" t="s">
        <v>938</v>
      </c>
    </row>
    <row r="47" spans="1:24">
      <c r="A47" s="62" t="s">
        <v>919</v>
      </c>
      <c r="B47" s="63" t="s">
        <v>203</v>
      </c>
      <c r="C47" s="64" t="s">
        <v>920</v>
      </c>
      <c r="D47">
        <v>0</v>
      </c>
      <c r="I47" s="67" t="s">
        <v>939</v>
      </c>
      <c r="W47" s="76" t="s">
        <v>984</v>
      </c>
      <c r="X47" s="72" t="s">
        <v>938</v>
      </c>
    </row>
    <row r="48" spans="1:24">
      <c r="A48" s="62" t="s">
        <v>919</v>
      </c>
      <c r="B48" s="63" t="s">
        <v>552</v>
      </c>
      <c r="C48" s="64" t="s">
        <v>920</v>
      </c>
      <c r="D48">
        <v>0</v>
      </c>
      <c r="I48" s="67" t="s">
        <v>939</v>
      </c>
      <c r="W48" s="76" t="s">
        <v>985</v>
      </c>
      <c r="X48" s="72" t="s">
        <v>938</v>
      </c>
    </row>
    <row r="49" spans="1:24">
      <c r="A49" s="62" t="s">
        <v>919</v>
      </c>
      <c r="B49" s="63" t="s">
        <v>204</v>
      </c>
      <c r="C49" s="64" t="s">
        <v>920</v>
      </c>
      <c r="D49">
        <v>0</v>
      </c>
      <c r="I49" s="67" t="s">
        <v>939</v>
      </c>
      <c r="W49" s="76" t="s">
        <v>986</v>
      </c>
      <c r="X49" s="72" t="s">
        <v>938</v>
      </c>
    </row>
    <row r="50" spans="1:24">
      <c r="A50" s="62" t="s">
        <v>919</v>
      </c>
      <c r="B50" s="63" t="s">
        <v>553</v>
      </c>
      <c r="C50" s="64" t="s">
        <v>920</v>
      </c>
      <c r="D50">
        <v>0</v>
      </c>
      <c r="I50" s="67" t="s">
        <v>939</v>
      </c>
      <c r="W50" s="76" t="s">
        <v>987</v>
      </c>
      <c r="X50" s="72" t="s">
        <v>938</v>
      </c>
    </row>
    <row r="51" spans="1:24">
      <c r="A51" s="62" t="s">
        <v>919</v>
      </c>
      <c r="B51" s="63" t="s">
        <v>206</v>
      </c>
      <c r="C51" s="64" t="s">
        <v>920</v>
      </c>
      <c r="D51">
        <v>0</v>
      </c>
      <c r="I51" s="67" t="s">
        <v>939</v>
      </c>
      <c r="W51" s="76" t="s">
        <v>988</v>
      </c>
      <c r="X51" s="72" t="s">
        <v>938</v>
      </c>
    </row>
    <row r="52" spans="1:24">
      <c r="A52" s="62" t="s">
        <v>919</v>
      </c>
      <c r="B52" s="63" t="s">
        <v>207</v>
      </c>
      <c r="C52" s="64" t="s">
        <v>920</v>
      </c>
      <c r="D52">
        <v>0</v>
      </c>
      <c r="I52" s="67" t="s">
        <v>939</v>
      </c>
      <c r="W52" s="76" t="s">
        <v>989</v>
      </c>
      <c r="X52" s="72" t="s">
        <v>938</v>
      </c>
    </row>
    <row r="53" spans="1:24">
      <c r="A53" s="62" t="s">
        <v>919</v>
      </c>
      <c r="B53" s="63" t="s">
        <v>208</v>
      </c>
      <c r="C53" s="64" t="s">
        <v>920</v>
      </c>
      <c r="D53">
        <v>0</v>
      </c>
      <c r="I53" s="67" t="s">
        <v>939</v>
      </c>
      <c r="W53" s="76" t="s">
        <v>990</v>
      </c>
      <c r="X53" s="72" t="s">
        <v>938</v>
      </c>
    </row>
    <row r="54" spans="1:24">
      <c r="A54" s="62" t="s">
        <v>919</v>
      </c>
      <c r="B54" s="63" t="s">
        <v>554</v>
      </c>
      <c r="C54" s="64" t="s">
        <v>920</v>
      </c>
      <c r="D54">
        <v>0</v>
      </c>
      <c r="I54" s="67" t="s">
        <v>939</v>
      </c>
      <c r="W54" s="76" t="s">
        <v>991</v>
      </c>
      <c r="X54" s="72" t="s">
        <v>938</v>
      </c>
    </row>
    <row r="55" spans="1:24" ht="17" thickBot="1">
      <c r="A55" s="62" t="s">
        <v>919</v>
      </c>
      <c r="B55" s="63" t="s">
        <v>209</v>
      </c>
      <c r="C55" s="64" t="s">
        <v>920</v>
      </c>
      <c r="D55">
        <v>0</v>
      </c>
      <c r="I55" s="67" t="s">
        <v>992</v>
      </c>
      <c r="W55" s="76" t="s">
        <v>993</v>
      </c>
      <c r="X55" s="72" t="s">
        <v>938</v>
      </c>
    </row>
    <row r="56" spans="1:24" ht="17" thickBot="1">
      <c r="A56" s="62" t="s">
        <v>919</v>
      </c>
      <c r="B56" s="79" t="s">
        <v>211</v>
      </c>
      <c r="C56" s="64" t="s">
        <v>920</v>
      </c>
      <c r="D56">
        <v>0</v>
      </c>
      <c r="I56" s="67" t="s">
        <v>992</v>
      </c>
      <c r="W56" s="76" t="s">
        <v>994</v>
      </c>
      <c r="X56" s="72" t="s">
        <v>938</v>
      </c>
    </row>
    <row r="57" spans="1:24">
      <c r="A57" s="62" t="s">
        <v>919</v>
      </c>
      <c r="B57" s="80" t="s">
        <v>212</v>
      </c>
      <c r="C57" s="64" t="s">
        <v>920</v>
      </c>
      <c r="D57">
        <v>0</v>
      </c>
      <c r="I57" s="67" t="s">
        <v>992</v>
      </c>
      <c r="W57" s="76" t="s">
        <v>995</v>
      </c>
      <c r="X57" s="72" t="s">
        <v>938</v>
      </c>
    </row>
    <row r="58" spans="1:24">
      <c r="A58" s="62" t="s">
        <v>919</v>
      </c>
      <c r="B58" s="63" t="s">
        <v>213</v>
      </c>
      <c r="C58" s="64" t="s">
        <v>920</v>
      </c>
      <c r="D58">
        <v>0</v>
      </c>
      <c r="I58" s="67" t="s">
        <v>992</v>
      </c>
      <c r="W58" s="76" t="s">
        <v>996</v>
      </c>
      <c r="X58" s="72" t="s">
        <v>938</v>
      </c>
    </row>
    <row r="59" spans="1:24">
      <c r="A59" s="62" t="s">
        <v>919</v>
      </c>
      <c r="B59" s="63" t="s">
        <v>215</v>
      </c>
      <c r="C59" s="64" t="s">
        <v>920</v>
      </c>
      <c r="D59">
        <v>0</v>
      </c>
      <c r="I59" s="67" t="s">
        <v>992</v>
      </c>
      <c r="W59" s="76" t="s">
        <v>997</v>
      </c>
      <c r="X59" s="72" t="s">
        <v>938</v>
      </c>
    </row>
    <row r="60" spans="1:24">
      <c r="A60" s="62" t="s">
        <v>919</v>
      </c>
      <c r="B60" s="63" t="s">
        <v>217</v>
      </c>
      <c r="C60" s="64" t="s">
        <v>920</v>
      </c>
      <c r="D60">
        <v>0</v>
      </c>
      <c r="I60" s="67" t="s">
        <v>992</v>
      </c>
      <c r="W60" s="76" t="s">
        <v>998</v>
      </c>
      <c r="X60" s="72" t="s">
        <v>938</v>
      </c>
    </row>
    <row r="61" spans="1:24">
      <c r="A61" s="62" t="s">
        <v>919</v>
      </c>
      <c r="B61" s="63" t="s">
        <v>218</v>
      </c>
      <c r="C61" s="64" t="s">
        <v>920</v>
      </c>
      <c r="D61">
        <v>0</v>
      </c>
      <c r="I61" s="67" t="s">
        <v>992</v>
      </c>
      <c r="W61" s="76" t="s">
        <v>999</v>
      </c>
      <c r="X61" s="72" t="s">
        <v>938</v>
      </c>
    </row>
    <row r="62" spans="1:24">
      <c r="A62" s="62" t="s">
        <v>919</v>
      </c>
      <c r="B62" s="63" t="s">
        <v>155</v>
      </c>
      <c r="C62" s="64" t="s">
        <v>920</v>
      </c>
      <c r="D62">
        <v>0</v>
      </c>
      <c r="I62" s="67" t="s">
        <v>992</v>
      </c>
      <c r="W62" s="76" t="s">
        <v>1000</v>
      </c>
      <c r="X62" s="72" t="s">
        <v>938</v>
      </c>
    </row>
    <row r="63" spans="1:24">
      <c r="A63" s="62" t="s">
        <v>919</v>
      </c>
      <c r="B63" s="63" t="s">
        <v>219</v>
      </c>
      <c r="C63" s="64" t="s">
        <v>920</v>
      </c>
      <c r="D63">
        <v>0</v>
      </c>
      <c r="I63" s="67" t="s">
        <v>992</v>
      </c>
      <c r="W63" s="76" t="s">
        <v>1001</v>
      </c>
      <c r="X63" s="72" t="s">
        <v>938</v>
      </c>
    </row>
    <row r="64" spans="1:24">
      <c r="A64" s="62" t="s">
        <v>919</v>
      </c>
      <c r="B64" s="63" t="s">
        <v>220</v>
      </c>
      <c r="C64" s="64" t="s">
        <v>920</v>
      </c>
      <c r="D64">
        <v>0</v>
      </c>
      <c r="I64" s="67" t="s">
        <v>992</v>
      </c>
      <c r="W64" s="76" t="s">
        <v>1002</v>
      </c>
      <c r="X64" s="72" t="s">
        <v>938</v>
      </c>
    </row>
    <row r="65" spans="1:24">
      <c r="A65" s="62" t="s">
        <v>919</v>
      </c>
      <c r="B65" s="63" t="s">
        <v>221</v>
      </c>
      <c r="C65" s="64" t="s">
        <v>920</v>
      </c>
      <c r="D65">
        <v>0</v>
      </c>
      <c r="I65" s="67" t="s">
        <v>992</v>
      </c>
      <c r="W65" s="76" t="s">
        <v>1003</v>
      </c>
      <c r="X65" s="72" t="s">
        <v>938</v>
      </c>
    </row>
    <row r="66" spans="1:24">
      <c r="A66" s="62" t="s">
        <v>919</v>
      </c>
      <c r="B66" s="63" t="s">
        <v>225</v>
      </c>
      <c r="C66" s="64" t="s">
        <v>920</v>
      </c>
      <c r="D66">
        <v>0</v>
      </c>
      <c r="I66" s="67" t="s">
        <v>992</v>
      </c>
      <c r="W66" s="76" t="s">
        <v>1004</v>
      </c>
      <c r="X66" s="72" t="s">
        <v>938</v>
      </c>
    </row>
    <row r="67" spans="1:24">
      <c r="A67" s="62" t="s">
        <v>919</v>
      </c>
      <c r="B67" s="63" t="s">
        <v>226</v>
      </c>
      <c r="C67" s="64" t="s">
        <v>920</v>
      </c>
      <c r="D67">
        <v>0</v>
      </c>
      <c r="I67" s="67" t="s">
        <v>992</v>
      </c>
      <c r="W67" s="76" t="s">
        <v>1005</v>
      </c>
      <c r="X67" s="72" t="s">
        <v>938</v>
      </c>
    </row>
    <row r="68" spans="1:24">
      <c r="A68" s="62" t="s">
        <v>919</v>
      </c>
      <c r="B68" s="63" t="s">
        <v>228</v>
      </c>
      <c r="C68" s="64" t="s">
        <v>920</v>
      </c>
      <c r="D68">
        <v>0</v>
      </c>
      <c r="I68" s="67" t="s">
        <v>992</v>
      </c>
      <c r="W68" s="76" t="s">
        <v>1006</v>
      </c>
      <c r="X68" s="72" t="s">
        <v>938</v>
      </c>
    </row>
    <row r="69" spans="1:24">
      <c r="A69" s="62" t="s">
        <v>919</v>
      </c>
      <c r="B69" s="63" t="s">
        <v>229</v>
      </c>
      <c r="C69" s="64" t="s">
        <v>920</v>
      </c>
      <c r="D69">
        <v>0</v>
      </c>
      <c r="I69" s="67" t="s">
        <v>992</v>
      </c>
      <c r="W69" s="76" t="s">
        <v>1007</v>
      </c>
      <c r="X69" s="72" t="s">
        <v>938</v>
      </c>
    </row>
    <row r="70" spans="1:24">
      <c r="A70" s="62" t="s">
        <v>919</v>
      </c>
      <c r="B70" s="63" t="s">
        <v>231</v>
      </c>
      <c r="C70" s="64" t="s">
        <v>920</v>
      </c>
      <c r="D70">
        <v>0</v>
      </c>
      <c r="I70" s="67" t="s">
        <v>992</v>
      </c>
      <c r="W70" s="76" t="s">
        <v>1008</v>
      </c>
      <c r="X70" s="72" t="s">
        <v>938</v>
      </c>
    </row>
    <row r="71" spans="1:24">
      <c r="A71" s="62" t="s">
        <v>919</v>
      </c>
      <c r="B71" s="63" t="s">
        <v>233</v>
      </c>
      <c r="C71" s="64" t="s">
        <v>920</v>
      </c>
      <c r="D71">
        <v>0</v>
      </c>
      <c r="I71" s="67" t="s">
        <v>992</v>
      </c>
      <c r="W71" s="76" t="s">
        <v>1009</v>
      </c>
      <c r="X71" s="72" t="s">
        <v>938</v>
      </c>
    </row>
    <row r="72" spans="1:24">
      <c r="A72" s="62" t="s">
        <v>919</v>
      </c>
      <c r="B72" s="63" t="s">
        <v>235</v>
      </c>
      <c r="C72" s="64" t="s">
        <v>920</v>
      </c>
      <c r="D72">
        <v>0</v>
      </c>
      <c r="I72" s="67" t="s">
        <v>992</v>
      </c>
      <c r="W72" s="76" t="s">
        <v>1010</v>
      </c>
      <c r="X72" s="72" t="s">
        <v>938</v>
      </c>
    </row>
    <row r="73" spans="1:24">
      <c r="A73" s="62" t="s">
        <v>919</v>
      </c>
      <c r="B73" s="63" t="s">
        <v>236</v>
      </c>
      <c r="C73" s="64" t="s">
        <v>920</v>
      </c>
      <c r="D73">
        <v>0</v>
      </c>
      <c r="I73" s="67" t="s">
        <v>992</v>
      </c>
      <c r="W73" s="76" t="s">
        <v>1011</v>
      </c>
      <c r="X73" s="72" t="s">
        <v>938</v>
      </c>
    </row>
    <row r="74" spans="1:24">
      <c r="A74" s="62" t="s">
        <v>919</v>
      </c>
      <c r="B74" s="63" t="s">
        <v>237</v>
      </c>
      <c r="C74" s="64" t="s">
        <v>920</v>
      </c>
      <c r="D74">
        <v>0</v>
      </c>
      <c r="I74" s="67" t="s">
        <v>992</v>
      </c>
      <c r="W74" s="76" t="s">
        <v>1012</v>
      </c>
      <c r="X74" s="72" t="s">
        <v>938</v>
      </c>
    </row>
    <row r="75" spans="1:24">
      <c r="A75" s="62" t="s">
        <v>919</v>
      </c>
      <c r="B75" s="63" t="s">
        <v>238</v>
      </c>
      <c r="C75" s="64" t="s">
        <v>920</v>
      </c>
      <c r="D75">
        <v>0</v>
      </c>
      <c r="I75" s="67" t="s">
        <v>992</v>
      </c>
      <c r="W75" s="76" t="s">
        <v>1013</v>
      </c>
      <c r="X75" s="72" t="s">
        <v>938</v>
      </c>
    </row>
    <row r="76" spans="1:24">
      <c r="A76" s="62" t="s">
        <v>919</v>
      </c>
      <c r="B76" s="63" t="s">
        <v>240</v>
      </c>
      <c r="C76" s="64" t="s">
        <v>920</v>
      </c>
      <c r="D76">
        <v>0</v>
      </c>
      <c r="I76" s="67" t="s">
        <v>992</v>
      </c>
      <c r="W76" s="76" t="s">
        <v>1014</v>
      </c>
      <c r="X76" s="72" t="s">
        <v>938</v>
      </c>
    </row>
    <row r="77" spans="1:24">
      <c r="A77" s="62" t="s">
        <v>919</v>
      </c>
      <c r="B77" s="63" t="s">
        <v>243</v>
      </c>
      <c r="C77" s="64" t="s">
        <v>920</v>
      </c>
      <c r="D77">
        <v>0</v>
      </c>
      <c r="I77" s="67" t="s">
        <v>992</v>
      </c>
      <c r="W77" s="76" t="s">
        <v>1015</v>
      </c>
      <c r="X77" s="72" t="s">
        <v>938</v>
      </c>
    </row>
    <row r="78" spans="1:24">
      <c r="A78" s="62" t="s">
        <v>919</v>
      </c>
      <c r="B78" s="63" t="s">
        <v>245</v>
      </c>
      <c r="C78" s="64" t="s">
        <v>920</v>
      </c>
      <c r="D78">
        <v>0</v>
      </c>
      <c r="I78" s="67" t="s">
        <v>992</v>
      </c>
      <c r="W78" s="76" t="s">
        <v>1016</v>
      </c>
      <c r="X78" s="72" t="s">
        <v>938</v>
      </c>
    </row>
    <row r="79" spans="1:24">
      <c r="A79" s="62" t="s">
        <v>919</v>
      </c>
      <c r="B79" s="63" t="s">
        <v>677</v>
      </c>
      <c r="C79" s="64" t="s">
        <v>920</v>
      </c>
      <c r="D79">
        <v>0</v>
      </c>
      <c r="I79" s="67" t="s">
        <v>992</v>
      </c>
      <c r="W79" s="76" t="s">
        <v>1017</v>
      </c>
      <c r="X79" s="72" t="s">
        <v>938</v>
      </c>
    </row>
    <row r="80" spans="1:24">
      <c r="A80" s="62" t="s">
        <v>919</v>
      </c>
      <c r="B80" s="63" t="s">
        <v>246</v>
      </c>
      <c r="C80" s="64" t="s">
        <v>920</v>
      </c>
      <c r="D80">
        <v>0</v>
      </c>
      <c r="I80" s="67" t="s">
        <v>992</v>
      </c>
      <c r="W80" s="76" t="s">
        <v>1018</v>
      </c>
      <c r="X80" s="72" t="s">
        <v>938</v>
      </c>
    </row>
    <row r="81" spans="1:24">
      <c r="A81" s="62" t="s">
        <v>919</v>
      </c>
      <c r="B81" s="63" t="s">
        <v>685</v>
      </c>
      <c r="C81" s="64" t="s">
        <v>920</v>
      </c>
      <c r="D81">
        <v>0</v>
      </c>
      <c r="I81" s="67" t="s">
        <v>992</v>
      </c>
      <c r="W81" s="76" t="s">
        <v>1019</v>
      </c>
      <c r="X81" s="72" t="s">
        <v>938</v>
      </c>
    </row>
    <row r="82" spans="1:24">
      <c r="A82" s="62" t="s">
        <v>919</v>
      </c>
      <c r="B82" s="63" t="s">
        <v>643</v>
      </c>
      <c r="C82" s="64" t="s">
        <v>920</v>
      </c>
      <c r="D82">
        <v>0</v>
      </c>
      <c r="I82" s="67" t="s">
        <v>992</v>
      </c>
      <c r="W82" s="76" t="s">
        <v>1020</v>
      </c>
      <c r="X82" s="72" t="s">
        <v>938</v>
      </c>
    </row>
    <row r="83" spans="1:24">
      <c r="A83" s="62" t="s">
        <v>919</v>
      </c>
      <c r="B83" s="63" t="s">
        <v>248</v>
      </c>
      <c r="C83" s="64" t="s">
        <v>920</v>
      </c>
      <c r="D83">
        <v>0</v>
      </c>
      <c r="I83" s="67" t="s">
        <v>992</v>
      </c>
      <c r="W83" s="76" t="s">
        <v>1021</v>
      </c>
      <c r="X83" s="72" t="s">
        <v>938</v>
      </c>
    </row>
    <row r="84" spans="1:24">
      <c r="A84" s="62" t="s">
        <v>919</v>
      </c>
      <c r="B84" s="63" t="s">
        <v>249</v>
      </c>
      <c r="C84" s="64" t="s">
        <v>920</v>
      </c>
      <c r="D84">
        <v>0</v>
      </c>
      <c r="I84" s="67" t="s">
        <v>992</v>
      </c>
      <c r="W84" s="76" t="s">
        <v>1022</v>
      </c>
      <c r="X84" s="72" t="s">
        <v>938</v>
      </c>
    </row>
    <row r="85" spans="1:24">
      <c r="A85" s="62" t="s">
        <v>919</v>
      </c>
      <c r="B85" s="63" t="s">
        <v>252</v>
      </c>
      <c r="C85" s="64" t="s">
        <v>920</v>
      </c>
      <c r="D85">
        <v>0</v>
      </c>
      <c r="I85" s="67" t="s">
        <v>992</v>
      </c>
      <c r="W85" s="76" t="s">
        <v>1023</v>
      </c>
      <c r="X85" s="72" t="s">
        <v>938</v>
      </c>
    </row>
    <row r="86" spans="1:24">
      <c r="A86" s="62" t="s">
        <v>919</v>
      </c>
      <c r="B86" s="63" t="s">
        <v>646</v>
      </c>
      <c r="C86" s="64" t="s">
        <v>920</v>
      </c>
      <c r="D86">
        <v>0</v>
      </c>
      <c r="I86" s="67" t="s">
        <v>992</v>
      </c>
      <c r="W86" s="76" t="s">
        <v>1024</v>
      </c>
      <c r="X86" s="72" t="s">
        <v>938</v>
      </c>
    </row>
    <row r="87" spans="1:24">
      <c r="A87" s="62" t="s">
        <v>919</v>
      </c>
      <c r="B87" s="63" t="s">
        <v>253</v>
      </c>
      <c r="C87" s="64" t="s">
        <v>920</v>
      </c>
      <c r="D87">
        <v>0</v>
      </c>
      <c r="I87" s="67" t="s">
        <v>992</v>
      </c>
      <c r="W87" s="76" t="s">
        <v>1025</v>
      </c>
      <c r="X87" s="72" t="s">
        <v>938</v>
      </c>
    </row>
    <row r="88" spans="1:24">
      <c r="A88" s="62" t="s">
        <v>919</v>
      </c>
      <c r="B88" s="63" t="s">
        <v>254</v>
      </c>
      <c r="C88" s="64" t="s">
        <v>920</v>
      </c>
      <c r="D88">
        <v>0</v>
      </c>
      <c r="I88" s="67" t="s">
        <v>992</v>
      </c>
      <c r="W88" s="76" t="s">
        <v>1026</v>
      </c>
      <c r="X88" s="72" t="s">
        <v>938</v>
      </c>
    </row>
    <row r="89" spans="1:24">
      <c r="A89" s="62" t="s">
        <v>919</v>
      </c>
      <c r="B89" s="63" t="s">
        <v>255</v>
      </c>
      <c r="C89" s="64" t="s">
        <v>920</v>
      </c>
      <c r="D89">
        <v>0</v>
      </c>
      <c r="I89" s="67" t="s">
        <v>992</v>
      </c>
      <c r="W89" s="76" t="s">
        <v>1027</v>
      </c>
      <c r="X89" s="72" t="s">
        <v>938</v>
      </c>
    </row>
    <row r="90" spans="1:24">
      <c r="A90" s="62" t="s">
        <v>919</v>
      </c>
      <c r="B90" s="63" t="s">
        <v>257</v>
      </c>
      <c r="C90" s="64" t="s">
        <v>920</v>
      </c>
      <c r="D90">
        <v>0</v>
      </c>
      <c r="I90" s="67" t="s">
        <v>992</v>
      </c>
      <c r="W90" s="76" t="s">
        <v>1028</v>
      </c>
      <c r="X90" s="72" t="s">
        <v>938</v>
      </c>
    </row>
    <row r="91" spans="1:24">
      <c r="A91" s="62" t="s">
        <v>919</v>
      </c>
      <c r="B91" s="63" t="s">
        <v>258</v>
      </c>
      <c r="C91" s="64" t="s">
        <v>920</v>
      </c>
      <c r="D91">
        <v>0</v>
      </c>
      <c r="I91" s="67" t="s">
        <v>992</v>
      </c>
      <c r="W91" s="76" t="s">
        <v>1029</v>
      </c>
      <c r="X91" s="72" t="s">
        <v>938</v>
      </c>
    </row>
    <row r="92" spans="1:24">
      <c r="A92" s="62" t="s">
        <v>919</v>
      </c>
      <c r="B92" s="63" t="s">
        <v>260</v>
      </c>
      <c r="C92" s="64" t="s">
        <v>920</v>
      </c>
      <c r="D92">
        <v>0</v>
      </c>
      <c r="I92" s="67" t="s">
        <v>992</v>
      </c>
      <c r="W92" s="76" t="s">
        <v>1030</v>
      </c>
      <c r="X92" s="72" t="s">
        <v>938</v>
      </c>
    </row>
    <row r="93" spans="1:24">
      <c r="A93" s="62" t="s">
        <v>919</v>
      </c>
      <c r="B93" s="63" t="s">
        <v>262</v>
      </c>
      <c r="C93" s="64" t="s">
        <v>920</v>
      </c>
      <c r="D93">
        <v>0</v>
      </c>
      <c r="I93" s="67" t="s">
        <v>992</v>
      </c>
      <c r="W93" s="76" t="s">
        <v>1031</v>
      </c>
      <c r="X93" s="72" t="s">
        <v>938</v>
      </c>
    </row>
    <row r="94" spans="1:24">
      <c r="A94" s="62" t="s">
        <v>919</v>
      </c>
      <c r="B94" s="63" t="s">
        <v>263</v>
      </c>
      <c r="C94" s="64" t="s">
        <v>920</v>
      </c>
      <c r="D94">
        <v>0</v>
      </c>
      <c r="I94" s="67" t="s">
        <v>992</v>
      </c>
      <c r="W94" s="76" t="s">
        <v>1032</v>
      </c>
      <c r="X94" s="72" t="s">
        <v>938</v>
      </c>
    </row>
    <row r="95" spans="1:24">
      <c r="A95" s="62" t="s">
        <v>919</v>
      </c>
      <c r="B95" s="63" t="s">
        <v>648</v>
      </c>
      <c r="C95" s="64" t="s">
        <v>920</v>
      </c>
      <c r="D95">
        <v>0</v>
      </c>
      <c r="I95" s="67" t="s">
        <v>992</v>
      </c>
      <c r="W95" s="76" t="s">
        <v>1033</v>
      </c>
      <c r="X95" s="72" t="s">
        <v>938</v>
      </c>
    </row>
    <row r="96" spans="1:24">
      <c r="A96" s="62" t="s">
        <v>919</v>
      </c>
      <c r="B96" s="63" t="s">
        <v>264</v>
      </c>
      <c r="C96" s="64" t="s">
        <v>920</v>
      </c>
      <c r="D96">
        <v>0</v>
      </c>
      <c r="I96" s="67" t="s">
        <v>992</v>
      </c>
      <c r="W96" s="76" t="s">
        <v>1034</v>
      </c>
      <c r="X96" s="72" t="s">
        <v>938</v>
      </c>
    </row>
    <row r="97" spans="1:24">
      <c r="A97" s="62" t="s">
        <v>919</v>
      </c>
      <c r="B97" s="63" t="s">
        <v>649</v>
      </c>
      <c r="C97" s="64" t="s">
        <v>920</v>
      </c>
      <c r="D97">
        <v>0</v>
      </c>
      <c r="I97" s="67" t="s">
        <v>992</v>
      </c>
      <c r="W97" s="76" t="s">
        <v>1035</v>
      </c>
      <c r="X97" s="72" t="s">
        <v>938</v>
      </c>
    </row>
    <row r="98" spans="1:24">
      <c r="A98" s="62" t="s">
        <v>919</v>
      </c>
      <c r="B98" s="63" t="s">
        <v>265</v>
      </c>
      <c r="C98" s="64" t="s">
        <v>920</v>
      </c>
      <c r="D98">
        <v>0</v>
      </c>
      <c r="I98" s="67" t="s">
        <v>992</v>
      </c>
      <c r="W98" s="76" t="s">
        <v>1036</v>
      </c>
      <c r="X98" s="72" t="s">
        <v>938</v>
      </c>
    </row>
    <row r="99" spans="1:24">
      <c r="A99" s="62" t="s">
        <v>919</v>
      </c>
      <c r="B99" s="63" t="s">
        <v>266</v>
      </c>
      <c r="C99" s="64" t="s">
        <v>920</v>
      </c>
      <c r="D99">
        <v>0</v>
      </c>
      <c r="I99" s="67" t="s">
        <v>992</v>
      </c>
      <c r="W99" s="76" t="s">
        <v>1037</v>
      </c>
      <c r="X99" s="72" t="s">
        <v>938</v>
      </c>
    </row>
    <row r="100" spans="1:24">
      <c r="A100" s="62" t="s">
        <v>919</v>
      </c>
      <c r="B100" s="63" t="s">
        <v>267</v>
      </c>
      <c r="C100" s="64" t="s">
        <v>920</v>
      </c>
      <c r="D100">
        <v>0</v>
      </c>
      <c r="I100" s="67" t="s">
        <v>992</v>
      </c>
      <c r="W100" s="76" t="s">
        <v>1038</v>
      </c>
      <c r="X100" s="72" t="s">
        <v>938</v>
      </c>
    </row>
    <row r="101" spans="1:24">
      <c r="A101" s="62" t="s">
        <v>919</v>
      </c>
      <c r="B101" s="63" t="s">
        <v>268</v>
      </c>
      <c r="C101" s="64" t="s">
        <v>920</v>
      </c>
      <c r="D101">
        <v>0</v>
      </c>
      <c r="I101" s="67" t="s">
        <v>992</v>
      </c>
      <c r="W101" s="76" t="s">
        <v>1039</v>
      </c>
      <c r="X101" s="72" t="s">
        <v>938</v>
      </c>
    </row>
    <row r="102" spans="1:24">
      <c r="A102" s="62" t="s">
        <v>919</v>
      </c>
      <c r="B102" s="63" t="s">
        <v>271</v>
      </c>
      <c r="C102" s="64" t="s">
        <v>920</v>
      </c>
      <c r="D102">
        <v>0</v>
      </c>
      <c r="I102" s="67" t="s">
        <v>992</v>
      </c>
      <c r="W102" s="76" t="s">
        <v>1040</v>
      </c>
      <c r="X102" s="72" t="s">
        <v>938</v>
      </c>
    </row>
    <row r="103" spans="1:24">
      <c r="A103" s="62" t="s">
        <v>919</v>
      </c>
      <c r="B103" s="63" t="s">
        <v>273</v>
      </c>
      <c r="C103" s="64" t="s">
        <v>920</v>
      </c>
      <c r="D103">
        <v>0</v>
      </c>
      <c r="I103" s="67" t="s">
        <v>992</v>
      </c>
      <c r="W103" s="76" t="s">
        <v>1041</v>
      </c>
      <c r="X103" s="72" t="s">
        <v>938</v>
      </c>
    </row>
    <row r="104" spans="1:24">
      <c r="A104" s="62" t="s">
        <v>919</v>
      </c>
      <c r="B104" s="63" t="s">
        <v>275</v>
      </c>
      <c r="C104" s="64" t="s">
        <v>920</v>
      </c>
      <c r="D104">
        <v>0</v>
      </c>
      <c r="I104" s="67" t="s">
        <v>992</v>
      </c>
      <c r="W104" s="76" t="s">
        <v>1042</v>
      </c>
      <c r="X104" s="72" t="s">
        <v>938</v>
      </c>
    </row>
    <row r="105" spans="1:24">
      <c r="A105" s="62" t="s">
        <v>919</v>
      </c>
      <c r="B105" s="63" t="s">
        <v>651</v>
      </c>
      <c r="C105" s="64" t="s">
        <v>920</v>
      </c>
      <c r="D105">
        <v>0</v>
      </c>
      <c r="I105" s="67" t="s">
        <v>992</v>
      </c>
      <c r="W105" s="76" t="s">
        <v>1043</v>
      </c>
      <c r="X105" s="72" t="s">
        <v>938</v>
      </c>
    </row>
    <row r="106" spans="1:24">
      <c r="A106" s="62" t="s">
        <v>919</v>
      </c>
      <c r="B106" s="63" t="s">
        <v>277</v>
      </c>
      <c r="C106" s="64" t="s">
        <v>920</v>
      </c>
      <c r="D106">
        <v>0</v>
      </c>
      <c r="I106" s="67" t="s">
        <v>992</v>
      </c>
      <c r="W106" s="76" t="s">
        <v>1044</v>
      </c>
      <c r="X106" s="72" t="s">
        <v>938</v>
      </c>
    </row>
    <row r="107" spans="1:24">
      <c r="A107" s="62" t="s">
        <v>919</v>
      </c>
      <c r="B107" s="63" t="s">
        <v>279</v>
      </c>
      <c r="C107" s="64" t="s">
        <v>920</v>
      </c>
      <c r="D107">
        <v>0</v>
      </c>
      <c r="I107" s="67" t="s">
        <v>992</v>
      </c>
      <c r="W107" s="76" t="s">
        <v>1045</v>
      </c>
      <c r="X107" s="72" t="s">
        <v>938</v>
      </c>
    </row>
    <row r="108" spans="1:24">
      <c r="A108" s="62" t="s">
        <v>919</v>
      </c>
      <c r="B108" s="63" t="s">
        <v>280</v>
      </c>
      <c r="C108" s="64" t="s">
        <v>920</v>
      </c>
      <c r="D108">
        <v>0</v>
      </c>
      <c r="I108" s="67" t="s">
        <v>992</v>
      </c>
      <c r="W108" s="76" t="s">
        <v>1046</v>
      </c>
      <c r="X108" s="72" t="s">
        <v>938</v>
      </c>
    </row>
    <row r="109" spans="1:24">
      <c r="A109" s="62" t="s">
        <v>919</v>
      </c>
      <c r="B109" s="63" t="s">
        <v>281</v>
      </c>
      <c r="C109" s="64" t="s">
        <v>920</v>
      </c>
      <c r="D109">
        <v>0</v>
      </c>
      <c r="I109" s="67" t="s">
        <v>992</v>
      </c>
      <c r="W109" s="76" t="s">
        <v>1047</v>
      </c>
      <c r="X109" s="72" t="s">
        <v>938</v>
      </c>
    </row>
    <row r="110" spans="1:24">
      <c r="A110" s="62" t="s">
        <v>919</v>
      </c>
      <c r="B110" s="63" t="s">
        <v>282</v>
      </c>
      <c r="C110" s="64" t="s">
        <v>920</v>
      </c>
      <c r="D110">
        <v>0</v>
      </c>
      <c r="I110" s="67" t="s">
        <v>992</v>
      </c>
      <c r="W110" s="76" t="s">
        <v>1048</v>
      </c>
      <c r="X110" s="72" t="s">
        <v>938</v>
      </c>
    </row>
    <row r="111" spans="1:24">
      <c r="A111" s="62" t="s">
        <v>919</v>
      </c>
      <c r="B111" s="63" t="s">
        <v>283</v>
      </c>
      <c r="C111" s="64" t="s">
        <v>920</v>
      </c>
      <c r="D111">
        <v>0</v>
      </c>
      <c r="I111" s="67" t="s">
        <v>992</v>
      </c>
      <c r="W111" s="76" t="s">
        <v>1049</v>
      </c>
      <c r="X111" s="72" t="s">
        <v>938</v>
      </c>
    </row>
    <row r="112" spans="1:24">
      <c r="A112" s="62" t="s">
        <v>919</v>
      </c>
      <c r="B112" s="63" t="s">
        <v>284</v>
      </c>
      <c r="C112" s="64" t="s">
        <v>920</v>
      </c>
      <c r="D112">
        <v>0</v>
      </c>
      <c r="I112" s="67" t="s">
        <v>992</v>
      </c>
      <c r="W112" s="76" t="s">
        <v>1050</v>
      </c>
      <c r="X112" s="72" t="s">
        <v>938</v>
      </c>
    </row>
    <row r="113" spans="1:24">
      <c r="A113" s="62" t="s">
        <v>919</v>
      </c>
      <c r="B113" s="63" t="s">
        <v>652</v>
      </c>
      <c r="C113" s="64" t="s">
        <v>920</v>
      </c>
      <c r="D113">
        <v>0</v>
      </c>
      <c r="I113" s="67" t="s">
        <v>992</v>
      </c>
      <c r="W113" s="76" t="s">
        <v>1051</v>
      </c>
      <c r="X113" s="72" t="s">
        <v>938</v>
      </c>
    </row>
    <row r="114" spans="1:24">
      <c r="A114" s="62" t="s">
        <v>919</v>
      </c>
      <c r="B114" s="63" t="s">
        <v>285</v>
      </c>
      <c r="C114" s="64" t="s">
        <v>920</v>
      </c>
      <c r="D114">
        <v>0</v>
      </c>
      <c r="I114" s="67" t="s">
        <v>992</v>
      </c>
      <c r="W114" s="76" t="s">
        <v>1052</v>
      </c>
      <c r="X114" s="72" t="s">
        <v>938</v>
      </c>
    </row>
    <row r="115" spans="1:24">
      <c r="A115" s="62" t="s">
        <v>919</v>
      </c>
      <c r="B115" s="63" t="s">
        <v>653</v>
      </c>
      <c r="C115" s="64" t="s">
        <v>920</v>
      </c>
      <c r="D115">
        <v>0</v>
      </c>
      <c r="I115" s="67" t="s">
        <v>992</v>
      </c>
      <c r="W115" s="76" t="s">
        <v>1053</v>
      </c>
      <c r="X115" s="72" t="s">
        <v>938</v>
      </c>
    </row>
    <row r="116" spans="1:24">
      <c r="A116" s="62" t="s">
        <v>919</v>
      </c>
      <c r="B116" s="63" t="s">
        <v>287</v>
      </c>
      <c r="C116" s="64" t="s">
        <v>920</v>
      </c>
      <c r="D116">
        <v>0</v>
      </c>
      <c r="I116" s="67" t="s">
        <v>992</v>
      </c>
      <c r="W116" s="76" t="s">
        <v>1054</v>
      </c>
      <c r="X116" s="72" t="s">
        <v>938</v>
      </c>
    </row>
    <row r="117" spans="1:24">
      <c r="A117" s="62" t="s">
        <v>919</v>
      </c>
      <c r="B117" s="63" t="s">
        <v>654</v>
      </c>
      <c r="C117" s="64" t="s">
        <v>920</v>
      </c>
      <c r="D117">
        <v>0</v>
      </c>
      <c r="I117" s="67" t="s">
        <v>992</v>
      </c>
      <c r="W117" s="76" t="s">
        <v>1055</v>
      </c>
      <c r="X117" s="72" t="s">
        <v>938</v>
      </c>
    </row>
    <row r="118" spans="1:24">
      <c r="A118" s="62" t="s">
        <v>919</v>
      </c>
      <c r="B118" s="63" t="s">
        <v>288</v>
      </c>
      <c r="C118" s="64" t="s">
        <v>920</v>
      </c>
      <c r="D118">
        <v>0</v>
      </c>
      <c r="I118" s="67" t="s">
        <v>992</v>
      </c>
      <c r="W118" s="76" t="s">
        <v>1056</v>
      </c>
      <c r="X118" s="72" t="s">
        <v>938</v>
      </c>
    </row>
    <row r="119" spans="1:24">
      <c r="A119" s="62" t="s">
        <v>919</v>
      </c>
      <c r="B119" s="63" t="s">
        <v>655</v>
      </c>
      <c r="C119" s="64" t="s">
        <v>920</v>
      </c>
      <c r="D119">
        <v>0</v>
      </c>
      <c r="I119" s="67" t="s">
        <v>992</v>
      </c>
      <c r="W119" s="76" t="s">
        <v>1057</v>
      </c>
      <c r="X119" s="72" t="s">
        <v>938</v>
      </c>
    </row>
    <row r="120" spans="1:24">
      <c r="A120" s="62" t="s">
        <v>919</v>
      </c>
      <c r="B120" s="63" t="s">
        <v>290</v>
      </c>
      <c r="C120" s="64" t="s">
        <v>920</v>
      </c>
      <c r="D120">
        <v>0</v>
      </c>
      <c r="I120" s="67" t="s">
        <v>992</v>
      </c>
      <c r="W120" s="76" t="s">
        <v>1058</v>
      </c>
      <c r="X120" s="72" t="s">
        <v>938</v>
      </c>
    </row>
    <row r="121" spans="1:24">
      <c r="A121" s="62" t="s">
        <v>919</v>
      </c>
      <c r="B121" s="63" t="s">
        <v>291</v>
      </c>
      <c r="C121" s="64" t="s">
        <v>920</v>
      </c>
      <c r="D121">
        <v>0</v>
      </c>
      <c r="I121" s="67" t="s">
        <v>992</v>
      </c>
      <c r="W121" s="76" t="s">
        <v>1059</v>
      </c>
      <c r="X121" s="72" t="s">
        <v>938</v>
      </c>
    </row>
    <row r="122" spans="1:24">
      <c r="A122" s="62" t="s">
        <v>919</v>
      </c>
      <c r="B122" s="63" t="s">
        <v>292</v>
      </c>
      <c r="C122" s="64" t="s">
        <v>920</v>
      </c>
      <c r="D122">
        <v>0</v>
      </c>
      <c r="I122" s="67" t="s">
        <v>992</v>
      </c>
      <c r="W122" s="76" t="s">
        <v>1060</v>
      </c>
      <c r="X122" s="72" t="s">
        <v>938</v>
      </c>
    </row>
    <row r="123" spans="1:24">
      <c r="A123" s="62" t="s">
        <v>919</v>
      </c>
      <c r="B123" s="63" t="s">
        <v>293</v>
      </c>
      <c r="C123" s="64" t="s">
        <v>920</v>
      </c>
      <c r="D123">
        <v>0</v>
      </c>
      <c r="I123" s="67" t="s">
        <v>992</v>
      </c>
      <c r="W123" s="76" t="s">
        <v>1061</v>
      </c>
      <c r="X123" s="72" t="s">
        <v>938</v>
      </c>
    </row>
    <row r="124" spans="1:24">
      <c r="A124" s="62" t="s">
        <v>919</v>
      </c>
      <c r="B124" s="63" t="s">
        <v>656</v>
      </c>
      <c r="C124" s="64" t="s">
        <v>920</v>
      </c>
      <c r="D124">
        <v>0</v>
      </c>
      <c r="I124" s="67" t="s">
        <v>992</v>
      </c>
      <c r="W124" s="76" t="s">
        <v>1062</v>
      </c>
      <c r="X124" s="72" t="s">
        <v>938</v>
      </c>
    </row>
    <row r="125" spans="1:24" ht="17" thickBot="1">
      <c r="A125" s="62" t="s">
        <v>919</v>
      </c>
      <c r="B125" s="63" t="s">
        <v>294</v>
      </c>
      <c r="C125" s="64" t="s">
        <v>920</v>
      </c>
      <c r="D125">
        <v>0</v>
      </c>
      <c r="I125" s="67" t="s">
        <v>1063</v>
      </c>
      <c r="W125" s="76" t="s">
        <v>1064</v>
      </c>
      <c r="X125" s="72" t="s">
        <v>938</v>
      </c>
    </row>
    <row r="126" spans="1:24" ht="17" thickBot="1">
      <c r="A126" s="62" t="s">
        <v>919</v>
      </c>
      <c r="B126" s="82" t="s">
        <v>657</v>
      </c>
      <c r="C126" s="64" t="s">
        <v>920</v>
      </c>
      <c r="D126">
        <v>0</v>
      </c>
      <c r="I126" s="67" t="s">
        <v>1063</v>
      </c>
      <c r="W126" s="76" t="s">
        <v>1065</v>
      </c>
      <c r="X126" s="72" t="s">
        <v>938</v>
      </c>
    </row>
    <row r="127" spans="1:24">
      <c r="A127" s="62" t="s">
        <v>919</v>
      </c>
      <c r="B127" s="80" t="s">
        <v>296</v>
      </c>
      <c r="C127" s="64" t="s">
        <v>920</v>
      </c>
      <c r="D127">
        <v>0</v>
      </c>
      <c r="I127" s="67" t="s">
        <v>1063</v>
      </c>
      <c r="W127" s="76" t="s">
        <v>1066</v>
      </c>
      <c r="X127" s="72" t="s">
        <v>938</v>
      </c>
    </row>
    <row r="128" spans="1:24">
      <c r="A128" s="62" t="s">
        <v>919</v>
      </c>
      <c r="B128" s="63" t="s">
        <v>297</v>
      </c>
      <c r="C128" s="64" t="s">
        <v>920</v>
      </c>
      <c r="D128">
        <v>0</v>
      </c>
      <c r="I128" s="67" t="s">
        <v>1063</v>
      </c>
      <c r="W128" s="76" t="s">
        <v>1067</v>
      </c>
      <c r="X128" s="72" t="s">
        <v>938</v>
      </c>
    </row>
    <row r="129" spans="1:24">
      <c r="A129" s="62" t="s">
        <v>919</v>
      </c>
      <c r="B129" s="63" t="s">
        <v>299</v>
      </c>
      <c r="C129" s="64" t="s">
        <v>920</v>
      </c>
      <c r="D129">
        <v>0</v>
      </c>
      <c r="I129" s="67" t="s">
        <v>1063</v>
      </c>
      <c r="W129" s="76" t="s">
        <v>1068</v>
      </c>
      <c r="X129" s="72" t="s">
        <v>938</v>
      </c>
    </row>
    <row r="130" spans="1:24">
      <c r="A130" s="62" t="s">
        <v>919</v>
      </c>
      <c r="B130" s="63" t="s">
        <v>300</v>
      </c>
      <c r="C130" s="64" t="s">
        <v>920</v>
      </c>
      <c r="D130">
        <v>0</v>
      </c>
      <c r="I130" s="67" t="s">
        <v>1063</v>
      </c>
      <c r="W130" s="76" t="s">
        <v>1069</v>
      </c>
      <c r="X130" s="72" t="s">
        <v>938</v>
      </c>
    </row>
    <row r="131" spans="1:24">
      <c r="A131" s="62" t="s">
        <v>919</v>
      </c>
      <c r="B131" s="63" t="s">
        <v>301</v>
      </c>
      <c r="C131" s="64" t="s">
        <v>920</v>
      </c>
      <c r="D131">
        <v>0</v>
      </c>
      <c r="I131" s="67" t="s">
        <v>1063</v>
      </c>
      <c r="W131" s="76" t="s">
        <v>1070</v>
      </c>
      <c r="X131" s="72" t="s">
        <v>938</v>
      </c>
    </row>
    <row r="132" spans="1:24">
      <c r="A132" s="62" t="s">
        <v>919</v>
      </c>
      <c r="B132" s="63" t="s">
        <v>302</v>
      </c>
      <c r="C132" s="64" t="s">
        <v>920</v>
      </c>
      <c r="D132">
        <v>0</v>
      </c>
      <c r="I132" s="67" t="s">
        <v>1063</v>
      </c>
      <c r="W132" s="76" t="s">
        <v>1071</v>
      </c>
      <c r="X132" s="72" t="s">
        <v>938</v>
      </c>
    </row>
    <row r="133" spans="1:24">
      <c r="A133" s="62" t="s">
        <v>919</v>
      </c>
      <c r="B133" s="63" t="s">
        <v>303</v>
      </c>
      <c r="C133" s="64" t="s">
        <v>920</v>
      </c>
      <c r="D133">
        <v>0</v>
      </c>
      <c r="I133" s="67" t="s">
        <v>1063</v>
      </c>
      <c r="W133" s="76" t="s">
        <v>1072</v>
      </c>
      <c r="X133" s="72" t="s">
        <v>938</v>
      </c>
    </row>
    <row r="134" spans="1:24">
      <c r="A134" s="62" t="s">
        <v>919</v>
      </c>
      <c r="B134" s="63" t="s">
        <v>304</v>
      </c>
      <c r="C134" s="64" t="s">
        <v>920</v>
      </c>
      <c r="D134">
        <v>0</v>
      </c>
      <c r="I134" s="67" t="s">
        <v>1063</v>
      </c>
      <c r="W134" s="76" t="s">
        <v>1073</v>
      </c>
      <c r="X134" s="72" t="s">
        <v>938</v>
      </c>
    </row>
    <row r="135" spans="1:24">
      <c r="A135" s="62" t="s">
        <v>919</v>
      </c>
      <c r="B135" s="63" t="s">
        <v>305</v>
      </c>
      <c r="C135" s="64" t="s">
        <v>920</v>
      </c>
      <c r="D135">
        <v>0</v>
      </c>
      <c r="I135" s="67" t="s">
        <v>1063</v>
      </c>
      <c r="W135" s="76" t="s">
        <v>1074</v>
      </c>
      <c r="X135" s="72" t="s">
        <v>938</v>
      </c>
    </row>
    <row r="136" spans="1:24">
      <c r="A136" s="62" t="s">
        <v>919</v>
      </c>
      <c r="B136" s="63" t="s">
        <v>309</v>
      </c>
      <c r="C136" s="64" t="s">
        <v>920</v>
      </c>
      <c r="D136">
        <v>0</v>
      </c>
      <c r="I136" s="67" t="s">
        <v>1063</v>
      </c>
      <c r="W136" s="76" t="s">
        <v>1075</v>
      </c>
      <c r="X136" s="72" t="s">
        <v>938</v>
      </c>
    </row>
    <row r="137" spans="1:24">
      <c r="A137" s="62" t="s">
        <v>919</v>
      </c>
      <c r="B137" s="63" t="s">
        <v>311</v>
      </c>
      <c r="C137" s="64" t="s">
        <v>920</v>
      </c>
      <c r="D137">
        <v>0</v>
      </c>
      <c r="I137" s="67" t="s">
        <v>1063</v>
      </c>
      <c r="W137" s="76" t="s">
        <v>1076</v>
      </c>
      <c r="X137" s="72" t="s">
        <v>938</v>
      </c>
    </row>
    <row r="138" spans="1:24">
      <c r="A138" s="62" t="s">
        <v>919</v>
      </c>
      <c r="B138" s="63" t="s">
        <v>313</v>
      </c>
      <c r="C138" s="64" t="s">
        <v>920</v>
      </c>
      <c r="D138">
        <v>0</v>
      </c>
      <c r="I138" s="67" t="s">
        <v>1063</v>
      </c>
      <c r="W138" s="76" t="s">
        <v>1077</v>
      </c>
      <c r="X138" s="72" t="s">
        <v>938</v>
      </c>
    </row>
    <row r="139" spans="1:24">
      <c r="A139" s="62" t="s">
        <v>919</v>
      </c>
      <c r="B139" s="63" t="s">
        <v>314</v>
      </c>
      <c r="C139" s="64" t="s">
        <v>920</v>
      </c>
      <c r="D139">
        <v>0</v>
      </c>
      <c r="I139" s="67" t="s">
        <v>1063</v>
      </c>
      <c r="W139" s="76" t="s">
        <v>1078</v>
      </c>
      <c r="X139" s="72" t="s">
        <v>938</v>
      </c>
    </row>
    <row r="140" spans="1:24">
      <c r="A140" s="62" t="s">
        <v>919</v>
      </c>
      <c r="B140" s="63" t="s">
        <v>316</v>
      </c>
      <c r="C140" s="64" t="s">
        <v>920</v>
      </c>
      <c r="D140">
        <v>0</v>
      </c>
      <c r="I140" s="67" t="s">
        <v>1063</v>
      </c>
      <c r="W140" s="76" t="s">
        <v>1079</v>
      </c>
      <c r="X140" s="72" t="s">
        <v>938</v>
      </c>
    </row>
    <row r="141" spans="1:24">
      <c r="A141" s="62" t="s">
        <v>919</v>
      </c>
      <c r="B141" s="63" t="s">
        <v>318</v>
      </c>
      <c r="C141" s="64" t="s">
        <v>920</v>
      </c>
      <c r="D141">
        <v>0</v>
      </c>
      <c r="I141" s="67" t="s">
        <v>1063</v>
      </c>
      <c r="W141" s="76" t="s">
        <v>1080</v>
      </c>
      <c r="X141" s="72" t="s">
        <v>938</v>
      </c>
    </row>
    <row r="142" spans="1:24">
      <c r="A142" s="62" t="s">
        <v>919</v>
      </c>
      <c r="B142" s="63" t="s">
        <v>320</v>
      </c>
      <c r="C142" s="64" t="s">
        <v>920</v>
      </c>
      <c r="D142">
        <v>0</v>
      </c>
      <c r="I142" s="67" t="s">
        <v>1063</v>
      </c>
      <c r="W142" s="76" t="s">
        <v>1081</v>
      </c>
      <c r="X142" s="72" t="s">
        <v>938</v>
      </c>
    </row>
    <row r="143" spans="1:24">
      <c r="A143" s="62" t="s">
        <v>919</v>
      </c>
      <c r="B143" s="63" t="s">
        <v>321</v>
      </c>
      <c r="C143" s="64" t="s">
        <v>920</v>
      </c>
      <c r="D143">
        <v>0</v>
      </c>
      <c r="I143" s="67" t="s">
        <v>1063</v>
      </c>
      <c r="W143" s="76" t="s">
        <v>1082</v>
      </c>
      <c r="X143" s="72" t="s">
        <v>938</v>
      </c>
    </row>
    <row r="144" spans="1:24">
      <c r="A144" s="62" t="s">
        <v>919</v>
      </c>
      <c r="B144" s="63" t="s">
        <v>322</v>
      </c>
      <c r="C144" s="64" t="s">
        <v>920</v>
      </c>
      <c r="D144">
        <v>0</v>
      </c>
      <c r="I144" s="67" t="s">
        <v>1063</v>
      </c>
      <c r="W144" s="76" t="s">
        <v>1083</v>
      </c>
      <c r="X144" s="72" t="s">
        <v>938</v>
      </c>
    </row>
    <row r="145" spans="1:24">
      <c r="A145" s="62" t="s">
        <v>919</v>
      </c>
      <c r="B145" s="63" t="s">
        <v>323</v>
      </c>
      <c r="C145" s="64" t="s">
        <v>920</v>
      </c>
      <c r="D145">
        <v>0</v>
      </c>
      <c r="I145" s="67" t="s">
        <v>1063</v>
      </c>
      <c r="W145" s="76" t="s">
        <v>1084</v>
      </c>
      <c r="X145" s="72" t="s">
        <v>938</v>
      </c>
    </row>
    <row r="146" spans="1:24">
      <c r="A146" s="62" t="s">
        <v>919</v>
      </c>
      <c r="B146" s="63" t="s">
        <v>325</v>
      </c>
      <c r="C146" s="64" t="s">
        <v>920</v>
      </c>
      <c r="D146">
        <v>0</v>
      </c>
      <c r="I146" s="67" t="s">
        <v>1063</v>
      </c>
      <c r="W146" s="76" t="s">
        <v>1085</v>
      </c>
      <c r="X146" s="72" t="s">
        <v>938</v>
      </c>
    </row>
    <row r="147" spans="1:24">
      <c r="A147" s="62" t="s">
        <v>919</v>
      </c>
      <c r="B147" s="63" t="s">
        <v>328</v>
      </c>
      <c r="C147" s="64" t="s">
        <v>920</v>
      </c>
      <c r="D147">
        <v>0</v>
      </c>
      <c r="I147" s="67" t="s">
        <v>1063</v>
      </c>
      <c r="W147" s="76" t="s">
        <v>1086</v>
      </c>
      <c r="X147" s="72" t="s">
        <v>938</v>
      </c>
    </row>
    <row r="148" spans="1:24">
      <c r="A148" s="62" t="s">
        <v>919</v>
      </c>
      <c r="B148" s="63" t="s">
        <v>329</v>
      </c>
      <c r="C148" s="64" t="s">
        <v>920</v>
      </c>
      <c r="D148">
        <v>0</v>
      </c>
      <c r="I148" s="67" t="s">
        <v>1063</v>
      </c>
      <c r="W148" s="76" t="s">
        <v>1087</v>
      </c>
      <c r="X148" s="72" t="s">
        <v>938</v>
      </c>
    </row>
    <row r="149" spans="1:24">
      <c r="A149" s="62" t="s">
        <v>919</v>
      </c>
      <c r="B149" s="63" t="s">
        <v>330</v>
      </c>
      <c r="C149" s="64" t="s">
        <v>920</v>
      </c>
      <c r="D149">
        <v>0</v>
      </c>
      <c r="I149" s="67" t="s">
        <v>1063</v>
      </c>
      <c r="W149" s="76" t="s">
        <v>1088</v>
      </c>
      <c r="X149" s="72" t="s">
        <v>938</v>
      </c>
    </row>
    <row r="150" spans="1:24">
      <c r="A150" s="62" t="s">
        <v>919</v>
      </c>
      <c r="B150" s="63" t="s">
        <v>331</v>
      </c>
      <c r="C150" s="64" t="s">
        <v>920</v>
      </c>
      <c r="D150">
        <v>0</v>
      </c>
      <c r="I150" s="67" t="s">
        <v>1063</v>
      </c>
      <c r="W150" s="76" t="s">
        <v>1089</v>
      </c>
      <c r="X150" s="72" t="s">
        <v>938</v>
      </c>
    </row>
    <row r="151" spans="1:24">
      <c r="A151" s="62" t="s">
        <v>919</v>
      </c>
      <c r="B151" s="63" t="s">
        <v>333</v>
      </c>
      <c r="C151" s="64" t="s">
        <v>920</v>
      </c>
      <c r="D151">
        <v>0</v>
      </c>
      <c r="I151" s="67" t="s">
        <v>1063</v>
      </c>
      <c r="W151" s="76" t="s">
        <v>1090</v>
      </c>
      <c r="X151" s="72" t="s">
        <v>938</v>
      </c>
    </row>
    <row r="152" spans="1:24">
      <c r="A152" s="62" t="s">
        <v>919</v>
      </c>
      <c r="B152" s="63" t="s">
        <v>334</v>
      </c>
      <c r="C152" s="64" t="s">
        <v>920</v>
      </c>
      <c r="D152">
        <v>0</v>
      </c>
      <c r="I152" s="67" t="s">
        <v>1063</v>
      </c>
      <c r="W152" s="76" t="s">
        <v>1091</v>
      </c>
      <c r="X152" s="72" t="s">
        <v>938</v>
      </c>
    </row>
    <row r="153" spans="1:24">
      <c r="A153" s="62" t="s">
        <v>919</v>
      </c>
      <c r="B153" s="63" t="s">
        <v>336</v>
      </c>
      <c r="C153" s="64" t="s">
        <v>920</v>
      </c>
      <c r="D153">
        <v>0</v>
      </c>
      <c r="I153" s="67" t="s">
        <v>1063</v>
      </c>
      <c r="W153" s="76" t="s">
        <v>1092</v>
      </c>
      <c r="X153" s="72" t="s">
        <v>938</v>
      </c>
    </row>
    <row r="154" spans="1:24">
      <c r="A154" s="62" t="s">
        <v>919</v>
      </c>
      <c r="B154" s="63" t="s">
        <v>338</v>
      </c>
      <c r="C154" s="64" t="s">
        <v>920</v>
      </c>
      <c r="D154">
        <v>0</v>
      </c>
      <c r="I154" s="67" t="s">
        <v>1063</v>
      </c>
      <c r="W154" s="76" t="s">
        <v>1093</v>
      </c>
      <c r="X154" s="72" t="s">
        <v>938</v>
      </c>
    </row>
    <row r="155" spans="1:24">
      <c r="A155" s="62" t="s">
        <v>919</v>
      </c>
      <c r="B155" s="63" t="s">
        <v>342</v>
      </c>
      <c r="C155" s="64" t="s">
        <v>920</v>
      </c>
      <c r="D155">
        <v>0</v>
      </c>
      <c r="I155" s="67" t="s">
        <v>1063</v>
      </c>
      <c r="W155" s="76" t="s">
        <v>1094</v>
      </c>
      <c r="X155" s="72" t="s">
        <v>938</v>
      </c>
    </row>
    <row r="156" spans="1:24">
      <c r="A156" s="62" t="s">
        <v>919</v>
      </c>
      <c r="B156" s="63" t="s">
        <v>343</v>
      </c>
      <c r="C156" s="64" t="s">
        <v>920</v>
      </c>
      <c r="D156">
        <v>0</v>
      </c>
      <c r="I156" s="67" t="s">
        <v>1063</v>
      </c>
      <c r="W156" s="76" t="s">
        <v>1095</v>
      </c>
      <c r="X156" s="72" t="s">
        <v>938</v>
      </c>
    </row>
    <row r="157" spans="1:24">
      <c r="A157" s="62" t="s">
        <v>919</v>
      </c>
      <c r="B157" s="63" t="s">
        <v>344</v>
      </c>
      <c r="C157" s="64" t="s">
        <v>920</v>
      </c>
      <c r="D157">
        <v>0</v>
      </c>
      <c r="I157" s="67" t="s">
        <v>1063</v>
      </c>
      <c r="W157" s="76" t="s">
        <v>1096</v>
      </c>
      <c r="X157" s="72" t="s">
        <v>938</v>
      </c>
    </row>
    <row r="158" spans="1:24">
      <c r="A158" s="62" t="s">
        <v>919</v>
      </c>
      <c r="B158" s="63" t="s">
        <v>345</v>
      </c>
      <c r="C158" s="64" t="s">
        <v>920</v>
      </c>
      <c r="D158">
        <v>0</v>
      </c>
      <c r="I158" s="67" t="s">
        <v>1063</v>
      </c>
      <c r="W158" s="76" t="s">
        <v>1097</v>
      </c>
      <c r="X158" s="72" t="s">
        <v>938</v>
      </c>
    </row>
    <row r="159" spans="1:24">
      <c r="A159" s="62" t="s">
        <v>919</v>
      </c>
      <c r="B159" s="63" t="s">
        <v>346</v>
      </c>
      <c r="C159" s="64" t="s">
        <v>920</v>
      </c>
      <c r="D159">
        <v>0</v>
      </c>
      <c r="I159" s="67" t="s">
        <v>1063</v>
      </c>
      <c r="W159" s="76" t="s">
        <v>1098</v>
      </c>
      <c r="X159" s="72" t="s">
        <v>938</v>
      </c>
    </row>
    <row r="160" spans="1:24">
      <c r="A160" s="62" t="s">
        <v>919</v>
      </c>
      <c r="B160" s="63" t="s">
        <v>349</v>
      </c>
      <c r="C160" s="64" t="s">
        <v>920</v>
      </c>
      <c r="D160">
        <v>0</v>
      </c>
      <c r="I160" s="67" t="s">
        <v>1063</v>
      </c>
      <c r="W160" s="76" t="s">
        <v>1099</v>
      </c>
      <c r="X160" s="72" t="s">
        <v>938</v>
      </c>
    </row>
    <row r="161" spans="1:24">
      <c r="A161" s="62" t="s">
        <v>919</v>
      </c>
      <c r="B161" s="63" t="s">
        <v>350</v>
      </c>
      <c r="C161" s="64" t="s">
        <v>920</v>
      </c>
      <c r="D161">
        <v>0</v>
      </c>
      <c r="I161" s="67" t="s">
        <v>1063</v>
      </c>
      <c r="W161" s="76" t="s">
        <v>1100</v>
      </c>
      <c r="X161" s="72" t="s">
        <v>938</v>
      </c>
    </row>
    <row r="162" spans="1:24">
      <c r="A162" s="62" t="s">
        <v>919</v>
      </c>
      <c r="B162" s="63" t="s">
        <v>352</v>
      </c>
      <c r="C162" s="64" t="s">
        <v>920</v>
      </c>
      <c r="D162">
        <v>0</v>
      </c>
      <c r="I162" s="67" t="s">
        <v>1063</v>
      </c>
      <c r="W162" s="76" t="s">
        <v>1101</v>
      </c>
      <c r="X162" s="72" t="s">
        <v>938</v>
      </c>
    </row>
    <row r="163" spans="1:24">
      <c r="A163" s="62" t="s">
        <v>919</v>
      </c>
      <c r="B163" s="63" t="s">
        <v>354</v>
      </c>
      <c r="C163" s="64" t="s">
        <v>920</v>
      </c>
      <c r="D163">
        <v>0</v>
      </c>
      <c r="I163" s="67" t="s">
        <v>1063</v>
      </c>
      <c r="W163" s="76" t="s">
        <v>1102</v>
      </c>
      <c r="X163" s="72" t="s">
        <v>938</v>
      </c>
    </row>
    <row r="164" spans="1:24">
      <c r="A164" s="62" t="s">
        <v>919</v>
      </c>
      <c r="B164" s="63" t="s">
        <v>355</v>
      </c>
      <c r="C164" s="64" t="s">
        <v>920</v>
      </c>
      <c r="D164">
        <v>0</v>
      </c>
      <c r="I164" s="67" t="s">
        <v>1063</v>
      </c>
      <c r="W164" s="76" t="s">
        <v>1103</v>
      </c>
      <c r="X164" s="72" t="s">
        <v>938</v>
      </c>
    </row>
    <row r="165" spans="1:24">
      <c r="A165" s="62" t="s">
        <v>919</v>
      </c>
      <c r="B165" s="63" t="s">
        <v>356</v>
      </c>
      <c r="C165" s="64" t="s">
        <v>920</v>
      </c>
      <c r="D165">
        <v>0</v>
      </c>
      <c r="I165" s="67" t="s">
        <v>1063</v>
      </c>
      <c r="W165" s="76" t="s">
        <v>1104</v>
      </c>
      <c r="X165" s="72" t="s">
        <v>938</v>
      </c>
    </row>
    <row r="166" spans="1:24">
      <c r="A166" s="62" t="s">
        <v>919</v>
      </c>
      <c r="B166" s="63" t="s">
        <v>357</v>
      </c>
      <c r="C166" s="64" t="s">
        <v>920</v>
      </c>
      <c r="D166">
        <v>0</v>
      </c>
      <c r="I166" s="67" t="s">
        <v>1063</v>
      </c>
      <c r="W166" s="76" t="s">
        <v>1105</v>
      </c>
      <c r="X166" s="72" t="s">
        <v>938</v>
      </c>
    </row>
    <row r="167" spans="1:24">
      <c r="A167" s="62" t="s">
        <v>919</v>
      </c>
      <c r="B167" s="63" t="s">
        <v>358</v>
      </c>
      <c r="C167" s="64" t="s">
        <v>920</v>
      </c>
      <c r="D167">
        <v>0</v>
      </c>
      <c r="I167" s="67" t="s">
        <v>1063</v>
      </c>
      <c r="W167" s="76" t="s">
        <v>1106</v>
      </c>
      <c r="X167" s="72" t="s">
        <v>938</v>
      </c>
    </row>
    <row r="168" spans="1:24">
      <c r="A168" s="62" t="s">
        <v>919</v>
      </c>
      <c r="B168" s="63" t="s">
        <v>359</v>
      </c>
      <c r="C168" s="64" t="s">
        <v>920</v>
      </c>
      <c r="D168">
        <v>0</v>
      </c>
      <c r="I168" s="67" t="s">
        <v>1063</v>
      </c>
      <c r="W168" s="76" t="s">
        <v>1107</v>
      </c>
      <c r="X168" s="72" t="s">
        <v>938</v>
      </c>
    </row>
    <row r="169" spans="1:24">
      <c r="A169" s="62" t="s">
        <v>919</v>
      </c>
      <c r="B169" s="63" t="s">
        <v>360</v>
      </c>
      <c r="C169" s="64" t="s">
        <v>920</v>
      </c>
      <c r="D169">
        <v>0</v>
      </c>
      <c r="I169" s="67" t="s">
        <v>1063</v>
      </c>
      <c r="W169" s="76" t="s">
        <v>1108</v>
      </c>
      <c r="X169" s="72" t="s">
        <v>938</v>
      </c>
    </row>
    <row r="170" spans="1:24">
      <c r="A170" s="62" t="s">
        <v>919</v>
      </c>
      <c r="B170" s="63" t="s">
        <v>361</v>
      </c>
      <c r="C170" s="64" t="s">
        <v>920</v>
      </c>
      <c r="D170">
        <v>0</v>
      </c>
      <c r="I170" s="67" t="s">
        <v>1063</v>
      </c>
      <c r="W170" s="76" t="s">
        <v>1109</v>
      </c>
      <c r="X170" s="72" t="s">
        <v>938</v>
      </c>
    </row>
    <row r="171" spans="1:24">
      <c r="A171" s="62" t="s">
        <v>919</v>
      </c>
      <c r="B171" s="63" t="s">
        <v>362</v>
      </c>
      <c r="C171" s="64" t="s">
        <v>920</v>
      </c>
      <c r="D171">
        <v>0</v>
      </c>
      <c r="I171" s="67" t="s">
        <v>1063</v>
      </c>
      <c r="W171" s="76" t="s">
        <v>1110</v>
      </c>
      <c r="X171" s="72" t="s">
        <v>938</v>
      </c>
    </row>
    <row r="172" spans="1:24">
      <c r="A172" s="62" t="s">
        <v>919</v>
      </c>
      <c r="B172" s="63" t="s">
        <v>365</v>
      </c>
      <c r="C172" s="64" t="s">
        <v>920</v>
      </c>
      <c r="D172">
        <v>0</v>
      </c>
      <c r="I172" s="67" t="s">
        <v>1063</v>
      </c>
      <c r="W172" s="76" t="s">
        <v>1111</v>
      </c>
      <c r="X172" s="72" t="s">
        <v>938</v>
      </c>
    </row>
    <row r="173" spans="1:24">
      <c r="A173" s="62" t="s">
        <v>919</v>
      </c>
      <c r="B173" s="63" t="s">
        <v>367</v>
      </c>
      <c r="C173" s="64" t="s">
        <v>920</v>
      </c>
      <c r="D173">
        <v>0</v>
      </c>
      <c r="I173" s="67" t="s">
        <v>1063</v>
      </c>
      <c r="W173" s="76" t="s">
        <v>1112</v>
      </c>
      <c r="X173" s="72" t="s">
        <v>938</v>
      </c>
    </row>
    <row r="174" spans="1:24">
      <c r="A174" s="62" t="s">
        <v>919</v>
      </c>
      <c r="B174" s="63" t="s">
        <v>661</v>
      </c>
      <c r="C174" s="64" t="s">
        <v>920</v>
      </c>
      <c r="D174">
        <v>0</v>
      </c>
      <c r="I174" s="67" t="s">
        <v>1063</v>
      </c>
      <c r="W174" s="76" t="s">
        <v>1113</v>
      </c>
      <c r="X174" s="72" t="s">
        <v>938</v>
      </c>
    </row>
    <row r="175" spans="1:24">
      <c r="A175" s="62" t="s">
        <v>919</v>
      </c>
      <c r="B175" s="63" t="s">
        <v>370</v>
      </c>
      <c r="C175" s="64" t="s">
        <v>920</v>
      </c>
      <c r="D175">
        <v>0</v>
      </c>
      <c r="I175" s="67" t="s">
        <v>1063</v>
      </c>
      <c r="W175" s="76" t="s">
        <v>1114</v>
      </c>
      <c r="X175" s="72" t="s">
        <v>938</v>
      </c>
    </row>
    <row r="176" spans="1:24">
      <c r="A176" s="62" t="s">
        <v>919</v>
      </c>
      <c r="B176" s="63" t="s">
        <v>372</v>
      </c>
      <c r="C176" s="64" t="s">
        <v>920</v>
      </c>
      <c r="D176">
        <v>0</v>
      </c>
      <c r="I176" s="67" t="s">
        <v>1063</v>
      </c>
      <c r="W176" s="76" t="s">
        <v>1115</v>
      </c>
      <c r="X176" s="72" t="s">
        <v>938</v>
      </c>
    </row>
    <row r="177" spans="1:24">
      <c r="A177" s="62" t="s">
        <v>919</v>
      </c>
      <c r="B177" s="63" t="s">
        <v>374</v>
      </c>
      <c r="C177" s="64" t="s">
        <v>920</v>
      </c>
      <c r="D177">
        <v>0</v>
      </c>
      <c r="I177" s="67" t="s">
        <v>1063</v>
      </c>
      <c r="W177" s="76" t="s">
        <v>1116</v>
      </c>
      <c r="X177" s="72" t="s">
        <v>938</v>
      </c>
    </row>
    <row r="178" spans="1:24">
      <c r="A178" s="62" t="s">
        <v>919</v>
      </c>
      <c r="B178" s="63" t="s">
        <v>375</v>
      </c>
      <c r="C178" s="64" t="s">
        <v>920</v>
      </c>
      <c r="D178">
        <v>0</v>
      </c>
      <c r="I178" s="67" t="s">
        <v>1063</v>
      </c>
      <c r="W178" s="76" t="s">
        <v>1117</v>
      </c>
      <c r="X178" s="72" t="s">
        <v>938</v>
      </c>
    </row>
    <row r="179" spans="1:24">
      <c r="A179" s="62" t="s">
        <v>919</v>
      </c>
      <c r="B179" s="63" t="s">
        <v>376</v>
      </c>
      <c r="C179" s="64" t="s">
        <v>920</v>
      </c>
      <c r="D179">
        <v>0</v>
      </c>
      <c r="I179" s="67" t="s">
        <v>1063</v>
      </c>
      <c r="W179" s="76" t="s">
        <v>1118</v>
      </c>
      <c r="X179" s="72" t="s">
        <v>938</v>
      </c>
    </row>
    <row r="180" spans="1:24">
      <c r="A180" s="62" t="s">
        <v>919</v>
      </c>
      <c r="B180" s="63" t="s">
        <v>377</v>
      </c>
      <c r="C180" s="64" t="s">
        <v>920</v>
      </c>
      <c r="D180">
        <v>0</v>
      </c>
      <c r="I180" s="67" t="s">
        <v>1063</v>
      </c>
      <c r="W180" s="76" t="s">
        <v>1119</v>
      </c>
      <c r="X180" s="72" t="s">
        <v>938</v>
      </c>
    </row>
    <row r="181" spans="1:24">
      <c r="A181" s="62" t="s">
        <v>919</v>
      </c>
      <c r="B181" s="63" t="s">
        <v>378</v>
      </c>
      <c r="C181" s="64" t="s">
        <v>920</v>
      </c>
      <c r="D181">
        <v>0</v>
      </c>
      <c r="I181" s="67" t="s">
        <v>1063</v>
      </c>
      <c r="W181" s="76" t="s">
        <v>1120</v>
      </c>
      <c r="X181" s="72" t="s">
        <v>938</v>
      </c>
    </row>
    <row r="182" spans="1:24">
      <c r="A182" s="62" t="s">
        <v>919</v>
      </c>
      <c r="B182" s="63" t="s">
        <v>379</v>
      </c>
      <c r="C182" s="64" t="s">
        <v>920</v>
      </c>
      <c r="D182">
        <v>0</v>
      </c>
      <c r="I182" s="67" t="s">
        <v>1063</v>
      </c>
      <c r="W182" s="76" t="s">
        <v>1121</v>
      </c>
      <c r="X182" s="72" t="s">
        <v>938</v>
      </c>
    </row>
    <row r="183" spans="1:24">
      <c r="A183" s="62" t="s">
        <v>919</v>
      </c>
      <c r="B183" s="63" t="s">
        <v>662</v>
      </c>
      <c r="C183" s="64" t="s">
        <v>920</v>
      </c>
      <c r="D183">
        <v>0</v>
      </c>
      <c r="I183" s="67" t="s">
        <v>1063</v>
      </c>
      <c r="W183" s="76" t="s">
        <v>1122</v>
      </c>
      <c r="X183" s="72" t="s">
        <v>938</v>
      </c>
    </row>
    <row r="184" spans="1:24">
      <c r="A184" s="62" t="s">
        <v>919</v>
      </c>
      <c r="B184" s="63" t="s">
        <v>380</v>
      </c>
      <c r="C184" s="64" t="s">
        <v>920</v>
      </c>
      <c r="D184">
        <v>0</v>
      </c>
      <c r="I184" s="67" t="s">
        <v>1063</v>
      </c>
      <c r="W184" s="76" t="s">
        <v>1123</v>
      </c>
      <c r="X184" s="72" t="s">
        <v>938</v>
      </c>
    </row>
    <row r="185" spans="1:24">
      <c r="A185" s="62" t="s">
        <v>919</v>
      </c>
      <c r="B185" s="63" t="s">
        <v>381</v>
      </c>
      <c r="C185" s="64" t="s">
        <v>920</v>
      </c>
      <c r="D185">
        <v>0</v>
      </c>
      <c r="I185" s="67" t="s">
        <v>1063</v>
      </c>
      <c r="W185" s="76" t="s">
        <v>1124</v>
      </c>
      <c r="X185" s="72" t="s">
        <v>938</v>
      </c>
    </row>
    <row r="186" spans="1:24">
      <c r="A186" s="62" t="s">
        <v>919</v>
      </c>
      <c r="B186" s="63" t="s">
        <v>383</v>
      </c>
      <c r="C186" s="64" t="s">
        <v>920</v>
      </c>
      <c r="D186">
        <v>0</v>
      </c>
      <c r="I186" s="67" t="s">
        <v>1063</v>
      </c>
      <c r="W186" s="76" t="s">
        <v>1125</v>
      </c>
      <c r="X186" s="72" t="s">
        <v>938</v>
      </c>
    </row>
    <row r="187" spans="1:24">
      <c r="A187" s="62" t="s">
        <v>919</v>
      </c>
      <c r="B187" s="63" t="s">
        <v>384</v>
      </c>
      <c r="C187" s="64" t="s">
        <v>920</v>
      </c>
      <c r="D187">
        <v>0</v>
      </c>
      <c r="I187" s="67" t="s">
        <v>1063</v>
      </c>
      <c r="W187" s="76" t="s">
        <v>1126</v>
      </c>
      <c r="X187" s="72" t="s">
        <v>938</v>
      </c>
    </row>
    <row r="188" spans="1:24">
      <c r="A188" s="62" t="s">
        <v>919</v>
      </c>
      <c r="B188" s="63" t="s">
        <v>385</v>
      </c>
      <c r="C188" s="64" t="s">
        <v>920</v>
      </c>
      <c r="D188">
        <v>0</v>
      </c>
      <c r="I188" s="67" t="s">
        <v>1063</v>
      </c>
      <c r="W188" s="76" t="s">
        <v>1127</v>
      </c>
      <c r="X188" s="72" t="s">
        <v>938</v>
      </c>
    </row>
    <row r="189" spans="1:24">
      <c r="A189" s="62" t="s">
        <v>919</v>
      </c>
      <c r="B189" s="63" t="s">
        <v>663</v>
      </c>
      <c r="C189" s="64" t="s">
        <v>920</v>
      </c>
      <c r="D189">
        <v>0</v>
      </c>
      <c r="I189" s="67" t="s">
        <v>1063</v>
      </c>
      <c r="W189" s="76" t="s">
        <v>1128</v>
      </c>
      <c r="X189" s="72" t="s">
        <v>938</v>
      </c>
    </row>
    <row r="190" spans="1:24">
      <c r="A190" s="62" t="s">
        <v>919</v>
      </c>
      <c r="B190" s="63" t="s">
        <v>387</v>
      </c>
      <c r="C190" s="64" t="s">
        <v>920</v>
      </c>
      <c r="D190">
        <v>0</v>
      </c>
      <c r="I190" s="67" t="s">
        <v>1063</v>
      </c>
      <c r="W190" s="76" t="s">
        <v>1129</v>
      </c>
      <c r="X190" s="72" t="s">
        <v>938</v>
      </c>
    </row>
    <row r="191" spans="1:24">
      <c r="A191" s="62" t="s">
        <v>919</v>
      </c>
      <c r="B191" s="63" t="s">
        <v>388</v>
      </c>
      <c r="C191" s="64" t="s">
        <v>920</v>
      </c>
      <c r="D191">
        <v>0</v>
      </c>
      <c r="I191" s="67" t="s">
        <v>1063</v>
      </c>
      <c r="W191" s="76" t="s">
        <v>1130</v>
      </c>
      <c r="X191" s="72" t="s">
        <v>938</v>
      </c>
    </row>
    <row r="192" spans="1:24">
      <c r="A192" s="62" t="s">
        <v>919</v>
      </c>
      <c r="B192" s="63" t="s">
        <v>389</v>
      </c>
      <c r="C192" s="64" t="s">
        <v>920</v>
      </c>
      <c r="D192">
        <v>0</v>
      </c>
      <c r="I192" s="67" t="s">
        <v>1063</v>
      </c>
      <c r="W192" s="76" t="s">
        <v>1131</v>
      </c>
      <c r="X192" s="72" t="s">
        <v>938</v>
      </c>
    </row>
    <row r="193" spans="1:24">
      <c r="A193" s="62" t="s">
        <v>919</v>
      </c>
      <c r="B193" s="63" t="s">
        <v>390</v>
      </c>
      <c r="C193" s="64" t="s">
        <v>920</v>
      </c>
      <c r="D193">
        <v>0</v>
      </c>
      <c r="I193" s="67" t="s">
        <v>1063</v>
      </c>
      <c r="W193" s="76" t="s">
        <v>1132</v>
      </c>
      <c r="X193" s="72" t="s">
        <v>938</v>
      </c>
    </row>
    <row r="194" spans="1:24">
      <c r="A194" s="62" t="s">
        <v>919</v>
      </c>
      <c r="B194" s="63" t="s">
        <v>391</v>
      </c>
      <c r="C194" s="64" t="s">
        <v>920</v>
      </c>
      <c r="D194">
        <v>0</v>
      </c>
      <c r="I194" s="67" t="s">
        <v>1063</v>
      </c>
      <c r="W194" s="76" t="s">
        <v>1133</v>
      </c>
      <c r="X194" s="72" t="s">
        <v>938</v>
      </c>
    </row>
    <row r="195" spans="1:24">
      <c r="A195" s="62" t="s">
        <v>919</v>
      </c>
      <c r="B195" s="83" t="s">
        <v>1134</v>
      </c>
      <c r="C195" s="64" t="s">
        <v>920</v>
      </c>
      <c r="D195">
        <v>0</v>
      </c>
      <c r="I195" s="76" t="s">
        <v>1135</v>
      </c>
      <c r="W195" s="76" t="s">
        <v>1136</v>
      </c>
      <c r="X195" s="72" t="s">
        <v>938</v>
      </c>
    </row>
    <row r="196" spans="1:24">
      <c r="A196" s="62" t="s">
        <v>919</v>
      </c>
      <c r="B196" s="83" t="s">
        <v>1137</v>
      </c>
      <c r="C196" s="64" t="s">
        <v>920</v>
      </c>
      <c r="D196">
        <v>0</v>
      </c>
      <c r="I196" s="76" t="s">
        <v>1135</v>
      </c>
      <c r="W196" s="76" t="s">
        <v>1138</v>
      </c>
      <c r="X196" s="72" t="s">
        <v>938</v>
      </c>
    </row>
    <row r="197" spans="1:24">
      <c r="A197" s="62" t="s">
        <v>919</v>
      </c>
      <c r="B197" s="83" t="s">
        <v>1139</v>
      </c>
      <c r="C197" s="64" t="s">
        <v>920</v>
      </c>
      <c r="D197">
        <v>0</v>
      </c>
      <c r="I197" s="76" t="s">
        <v>1135</v>
      </c>
      <c r="W197" s="76" t="s">
        <v>1140</v>
      </c>
      <c r="X197" s="72" t="s">
        <v>938</v>
      </c>
    </row>
    <row r="198" spans="1:24">
      <c r="A198" s="62" t="s">
        <v>919</v>
      </c>
      <c r="B198" s="83" t="s">
        <v>1141</v>
      </c>
      <c r="C198" s="64" t="s">
        <v>920</v>
      </c>
      <c r="D198">
        <v>0</v>
      </c>
      <c r="I198" s="76" t="s">
        <v>1135</v>
      </c>
      <c r="W198" s="76" t="s">
        <v>1142</v>
      </c>
      <c r="X198" s="72" t="s">
        <v>938</v>
      </c>
    </row>
    <row r="199" spans="1:24">
      <c r="A199" s="62" t="s">
        <v>919</v>
      </c>
      <c r="B199" s="83" t="s">
        <v>1143</v>
      </c>
      <c r="C199" s="64" t="s">
        <v>920</v>
      </c>
      <c r="D199">
        <v>0</v>
      </c>
      <c r="I199" s="76" t="s">
        <v>1135</v>
      </c>
      <c r="W199" s="76" t="s">
        <v>1144</v>
      </c>
      <c r="X199" s="72" t="s">
        <v>938</v>
      </c>
    </row>
    <row r="200" spans="1:24">
      <c r="A200" s="62" t="s">
        <v>919</v>
      </c>
      <c r="B200" s="83" t="s">
        <v>1145</v>
      </c>
      <c r="C200" s="64" t="s">
        <v>920</v>
      </c>
      <c r="D200">
        <v>0</v>
      </c>
      <c r="I200" s="76" t="s">
        <v>1135</v>
      </c>
      <c r="W200" s="76" t="s">
        <v>1146</v>
      </c>
      <c r="X200" s="72" t="s">
        <v>938</v>
      </c>
    </row>
    <row r="201" spans="1:24">
      <c r="A201" s="62" t="s">
        <v>919</v>
      </c>
      <c r="B201" s="83" t="s">
        <v>1147</v>
      </c>
      <c r="C201" s="64" t="s">
        <v>920</v>
      </c>
      <c r="D201">
        <v>0</v>
      </c>
      <c r="I201" s="76" t="s">
        <v>1135</v>
      </c>
      <c r="W201" s="76" t="s">
        <v>1148</v>
      </c>
      <c r="X201" s="72" t="s">
        <v>938</v>
      </c>
    </row>
    <row r="202" spans="1:24">
      <c r="A202" s="62" t="s">
        <v>919</v>
      </c>
      <c r="B202" s="83" t="s">
        <v>1149</v>
      </c>
      <c r="C202" s="64" t="s">
        <v>920</v>
      </c>
      <c r="D202">
        <v>0</v>
      </c>
      <c r="I202" s="76" t="s">
        <v>1135</v>
      </c>
      <c r="W202" s="76" t="s">
        <v>1150</v>
      </c>
      <c r="X202" s="72" t="s">
        <v>938</v>
      </c>
    </row>
    <row r="203" spans="1:24">
      <c r="A203" s="62" t="s">
        <v>919</v>
      </c>
      <c r="B203" s="83" t="s">
        <v>1151</v>
      </c>
      <c r="C203" s="64" t="s">
        <v>920</v>
      </c>
      <c r="D203">
        <v>0</v>
      </c>
      <c r="I203" s="76" t="s">
        <v>1135</v>
      </c>
      <c r="W203" s="76" t="s">
        <v>1152</v>
      </c>
      <c r="X203" s="72" t="s">
        <v>938</v>
      </c>
    </row>
    <row r="204" spans="1:24">
      <c r="A204" s="62" t="s">
        <v>919</v>
      </c>
      <c r="B204" s="83" t="s">
        <v>1153</v>
      </c>
      <c r="C204" s="64" t="s">
        <v>920</v>
      </c>
      <c r="D204">
        <v>0</v>
      </c>
      <c r="I204" s="76" t="s">
        <v>1135</v>
      </c>
      <c r="W204" s="76" t="s">
        <v>1154</v>
      </c>
      <c r="X204" s="72" t="s">
        <v>938</v>
      </c>
    </row>
    <row r="205" spans="1:24">
      <c r="A205" s="62" t="s">
        <v>919</v>
      </c>
      <c r="B205" s="83" t="s">
        <v>1155</v>
      </c>
      <c r="C205" s="64" t="s">
        <v>920</v>
      </c>
      <c r="D205">
        <v>0</v>
      </c>
      <c r="I205" s="76" t="s">
        <v>1135</v>
      </c>
      <c r="W205" s="76" t="s">
        <v>1156</v>
      </c>
      <c r="X205" s="72" t="s">
        <v>938</v>
      </c>
    </row>
    <row r="206" spans="1:24">
      <c r="A206" s="62" t="s">
        <v>919</v>
      </c>
      <c r="B206" s="83" t="s">
        <v>1157</v>
      </c>
      <c r="C206" s="64" t="s">
        <v>920</v>
      </c>
      <c r="D206">
        <v>0</v>
      </c>
      <c r="I206" s="76" t="s">
        <v>1135</v>
      </c>
      <c r="W206" s="76" t="s">
        <v>1158</v>
      </c>
      <c r="X206" s="72" t="s">
        <v>938</v>
      </c>
    </row>
    <row r="207" spans="1:24">
      <c r="A207" s="62" t="s">
        <v>919</v>
      </c>
      <c r="B207" s="83" t="s">
        <v>1159</v>
      </c>
      <c r="C207" s="64" t="s">
        <v>920</v>
      </c>
      <c r="D207">
        <v>0</v>
      </c>
      <c r="I207" s="76" t="s">
        <v>1135</v>
      </c>
      <c r="W207" s="76" t="s">
        <v>1160</v>
      </c>
      <c r="X207" s="72" t="s">
        <v>938</v>
      </c>
    </row>
    <row r="208" spans="1:24">
      <c r="A208" s="62" t="s">
        <v>919</v>
      </c>
      <c r="B208" s="83" t="s">
        <v>1161</v>
      </c>
      <c r="C208" s="64" t="s">
        <v>920</v>
      </c>
      <c r="D208">
        <v>0</v>
      </c>
      <c r="I208" s="76" t="s">
        <v>1135</v>
      </c>
      <c r="W208" s="76" t="s">
        <v>1162</v>
      </c>
      <c r="X208" s="72" t="s">
        <v>938</v>
      </c>
    </row>
    <row r="209" spans="1:24">
      <c r="A209" s="62" t="s">
        <v>919</v>
      </c>
      <c r="B209" s="83" t="s">
        <v>1163</v>
      </c>
      <c r="C209" s="64" t="s">
        <v>920</v>
      </c>
      <c r="D209">
        <v>0</v>
      </c>
      <c r="I209" s="76" t="s">
        <v>1135</v>
      </c>
      <c r="W209" s="76" t="s">
        <v>1164</v>
      </c>
      <c r="X209" s="72" t="s">
        <v>938</v>
      </c>
    </row>
    <row r="210" spans="1:24">
      <c r="A210" s="62" t="s">
        <v>919</v>
      </c>
      <c r="B210" s="83" t="s">
        <v>1165</v>
      </c>
      <c r="C210" s="64" t="s">
        <v>920</v>
      </c>
      <c r="D210">
        <v>0</v>
      </c>
      <c r="I210" s="76" t="s">
        <v>1135</v>
      </c>
      <c r="W210" s="76" t="s">
        <v>1166</v>
      </c>
      <c r="X210" s="72" t="s">
        <v>938</v>
      </c>
    </row>
    <row r="211" spans="1:24">
      <c r="A211" s="62" t="s">
        <v>919</v>
      </c>
      <c r="B211" s="83" t="s">
        <v>1167</v>
      </c>
      <c r="C211" s="64" t="s">
        <v>920</v>
      </c>
      <c r="D211">
        <v>0</v>
      </c>
      <c r="I211" s="76" t="s">
        <v>1135</v>
      </c>
      <c r="W211" s="76" t="s">
        <v>1168</v>
      </c>
      <c r="X211" s="72" t="s">
        <v>938</v>
      </c>
    </row>
    <row r="212" spans="1:24">
      <c r="A212" s="62" t="s">
        <v>919</v>
      </c>
      <c r="B212" s="83" t="s">
        <v>1169</v>
      </c>
      <c r="C212" s="64" t="s">
        <v>920</v>
      </c>
      <c r="D212">
        <v>0</v>
      </c>
      <c r="I212" s="76" t="s">
        <v>1135</v>
      </c>
      <c r="W212" s="76" t="s">
        <v>1170</v>
      </c>
      <c r="X212" s="72" t="s">
        <v>938</v>
      </c>
    </row>
    <row r="213" spans="1:24">
      <c r="A213" s="62" t="s">
        <v>919</v>
      </c>
      <c r="B213" s="83" t="s">
        <v>1171</v>
      </c>
      <c r="C213" s="64" t="s">
        <v>920</v>
      </c>
      <c r="D213">
        <v>0</v>
      </c>
      <c r="I213" s="76" t="s">
        <v>1135</v>
      </c>
      <c r="W213" s="76" t="s">
        <v>1172</v>
      </c>
      <c r="X213" s="72" t="s">
        <v>938</v>
      </c>
    </row>
    <row r="214" spans="1:24">
      <c r="A214" s="62" t="s">
        <v>919</v>
      </c>
      <c r="B214" s="83" t="s">
        <v>1173</v>
      </c>
      <c r="C214" s="64" t="s">
        <v>920</v>
      </c>
      <c r="D214">
        <v>0</v>
      </c>
      <c r="I214" s="76" t="s">
        <v>1135</v>
      </c>
      <c r="W214" s="76" t="s">
        <v>1174</v>
      </c>
      <c r="X214" s="72" t="s">
        <v>938</v>
      </c>
    </row>
    <row r="215" spans="1:24">
      <c r="A215" s="62" t="s">
        <v>919</v>
      </c>
      <c r="B215" s="83" t="s">
        <v>1175</v>
      </c>
      <c r="C215" s="64" t="s">
        <v>920</v>
      </c>
      <c r="D215">
        <v>0</v>
      </c>
      <c r="I215" s="76" t="s">
        <v>1135</v>
      </c>
      <c r="W215" s="76" t="s">
        <v>1176</v>
      </c>
      <c r="X215" s="72" t="s">
        <v>938</v>
      </c>
    </row>
    <row r="216" spans="1:24">
      <c r="A216" s="62" t="s">
        <v>919</v>
      </c>
      <c r="B216" s="83" t="s">
        <v>1177</v>
      </c>
      <c r="C216" s="64" t="s">
        <v>920</v>
      </c>
      <c r="D216">
        <v>0</v>
      </c>
      <c r="I216" s="76" t="s">
        <v>1135</v>
      </c>
      <c r="W216" s="76" t="s">
        <v>1178</v>
      </c>
      <c r="X216" s="72" t="s">
        <v>938</v>
      </c>
    </row>
    <row r="217" spans="1:24">
      <c r="A217" s="62" t="s">
        <v>919</v>
      </c>
      <c r="B217" s="83" t="s">
        <v>1179</v>
      </c>
      <c r="C217" s="64" t="s">
        <v>920</v>
      </c>
      <c r="D217">
        <v>0</v>
      </c>
      <c r="I217" s="76" t="s">
        <v>1135</v>
      </c>
      <c r="W217" s="76" t="s">
        <v>1180</v>
      </c>
      <c r="X217" s="72" t="s">
        <v>938</v>
      </c>
    </row>
    <row r="218" spans="1:24">
      <c r="A218" s="62" t="s">
        <v>919</v>
      </c>
      <c r="B218" s="83" t="s">
        <v>1181</v>
      </c>
      <c r="C218" s="64" t="s">
        <v>920</v>
      </c>
      <c r="D218">
        <v>0</v>
      </c>
      <c r="I218" s="76" t="s">
        <v>1135</v>
      </c>
      <c r="W218" s="76" t="s">
        <v>1182</v>
      </c>
      <c r="X218" s="72" t="s">
        <v>938</v>
      </c>
    </row>
    <row r="219" spans="1:24">
      <c r="A219" s="62" t="s">
        <v>919</v>
      </c>
      <c r="B219" s="83" t="s">
        <v>1183</v>
      </c>
      <c r="C219" s="64" t="s">
        <v>920</v>
      </c>
      <c r="D219">
        <v>0</v>
      </c>
      <c r="I219" s="76" t="s">
        <v>1135</v>
      </c>
      <c r="W219" s="76" t="s">
        <v>1184</v>
      </c>
      <c r="X219" s="72" t="s">
        <v>938</v>
      </c>
    </row>
    <row r="220" spans="1:24">
      <c r="A220" s="62" t="s">
        <v>919</v>
      </c>
      <c r="B220" s="83" t="s">
        <v>1185</v>
      </c>
      <c r="C220" s="64" t="s">
        <v>920</v>
      </c>
      <c r="D220">
        <v>0</v>
      </c>
      <c r="I220" s="76" t="s">
        <v>1135</v>
      </c>
      <c r="W220" s="76" t="s">
        <v>1186</v>
      </c>
      <c r="X220" s="72" t="s">
        <v>938</v>
      </c>
    </row>
    <row r="221" spans="1:24">
      <c r="A221" s="62" t="s">
        <v>919</v>
      </c>
      <c r="B221" s="83" t="s">
        <v>1187</v>
      </c>
      <c r="C221" s="64" t="s">
        <v>920</v>
      </c>
      <c r="D221">
        <v>0</v>
      </c>
      <c r="I221" s="76" t="s">
        <v>1135</v>
      </c>
      <c r="W221" s="76" t="s">
        <v>1188</v>
      </c>
      <c r="X221" s="72" t="s">
        <v>938</v>
      </c>
    </row>
    <row r="222" spans="1:24">
      <c r="A222" s="62" t="s">
        <v>919</v>
      </c>
      <c r="B222" s="83" t="s">
        <v>1189</v>
      </c>
      <c r="C222" s="64" t="s">
        <v>920</v>
      </c>
      <c r="D222">
        <v>0</v>
      </c>
      <c r="I222" s="76" t="s">
        <v>1135</v>
      </c>
      <c r="W222" s="76" t="s">
        <v>1190</v>
      </c>
      <c r="X222" s="72" t="s">
        <v>938</v>
      </c>
    </row>
    <row r="223" spans="1:24">
      <c r="A223" s="62" t="s">
        <v>919</v>
      </c>
      <c r="B223" s="83" t="s">
        <v>1191</v>
      </c>
      <c r="C223" s="64" t="s">
        <v>920</v>
      </c>
      <c r="D223">
        <v>0</v>
      </c>
      <c r="I223" s="76" t="s">
        <v>1135</v>
      </c>
      <c r="W223" s="76" t="s">
        <v>1192</v>
      </c>
      <c r="X223" s="72" t="s">
        <v>938</v>
      </c>
    </row>
    <row r="224" spans="1:24">
      <c r="A224" s="62" t="s">
        <v>919</v>
      </c>
      <c r="B224" s="83" t="s">
        <v>1193</v>
      </c>
      <c r="C224" s="64" t="s">
        <v>920</v>
      </c>
      <c r="D224">
        <v>0</v>
      </c>
      <c r="I224" s="76" t="s">
        <v>1135</v>
      </c>
      <c r="W224" s="76" t="s">
        <v>1194</v>
      </c>
      <c r="X224" s="72" t="s">
        <v>938</v>
      </c>
    </row>
    <row r="225" spans="1:24">
      <c r="A225" s="62" t="s">
        <v>919</v>
      </c>
      <c r="B225" s="83" t="s">
        <v>1195</v>
      </c>
      <c r="C225" s="64" t="s">
        <v>920</v>
      </c>
      <c r="D225">
        <v>0</v>
      </c>
      <c r="I225" s="76" t="s">
        <v>1135</v>
      </c>
      <c r="W225" s="76" t="s">
        <v>1196</v>
      </c>
      <c r="X225" s="72" t="s">
        <v>938</v>
      </c>
    </row>
    <row r="226" spans="1:24">
      <c r="A226" s="62" t="s">
        <v>919</v>
      </c>
      <c r="B226" s="83" t="s">
        <v>1197</v>
      </c>
      <c r="C226" s="64" t="s">
        <v>920</v>
      </c>
      <c r="D226">
        <v>0</v>
      </c>
      <c r="I226" s="76" t="s">
        <v>1135</v>
      </c>
      <c r="W226" s="76" t="s">
        <v>1198</v>
      </c>
      <c r="X226" s="72" t="s">
        <v>938</v>
      </c>
    </row>
    <row r="227" spans="1:24">
      <c r="A227" s="62" t="s">
        <v>919</v>
      </c>
      <c r="B227" s="76" t="s">
        <v>392</v>
      </c>
      <c r="C227" s="64" t="s">
        <v>920</v>
      </c>
      <c r="D227">
        <v>0</v>
      </c>
      <c r="I227" s="76" t="s">
        <v>1199</v>
      </c>
      <c r="W227" s="76" t="s">
        <v>1200</v>
      </c>
      <c r="X227" s="72" t="s">
        <v>938</v>
      </c>
    </row>
    <row r="228" spans="1:24">
      <c r="A228" s="62" t="s">
        <v>919</v>
      </c>
      <c r="B228" s="76" t="s">
        <v>393</v>
      </c>
      <c r="C228" s="64" t="s">
        <v>920</v>
      </c>
      <c r="D228">
        <v>0</v>
      </c>
      <c r="I228" s="76" t="s">
        <v>1199</v>
      </c>
      <c r="W228" s="76" t="s">
        <v>1201</v>
      </c>
      <c r="X228" s="72" t="s">
        <v>938</v>
      </c>
    </row>
    <row r="229" spans="1:24">
      <c r="A229" s="62" t="s">
        <v>919</v>
      </c>
      <c r="B229" s="76" t="s">
        <v>394</v>
      </c>
      <c r="C229" s="64" t="s">
        <v>920</v>
      </c>
      <c r="D229">
        <v>0</v>
      </c>
      <c r="I229" s="76" t="s">
        <v>1199</v>
      </c>
      <c r="W229" s="76" t="s">
        <v>1202</v>
      </c>
      <c r="X229" s="72" t="s">
        <v>938</v>
      </c>
    </row>
    <row r="230" spans="1:24">
      <c r="A230" s="62" t="s">
        <v>919</v>
      </c>
      <c r="B230" s="76" t="s">
        <v>395</v>
      </c>
      <c r="C230" s="64" t="s">
        <v>920</v>
      </c>
      <c r="D230">
        <v>0</v>
      </c>
      <c r="I230" s="76" t="s">
        <v>1199</v>
      </c>
      <c r="W230" s="76" t="s">
        <v>1203</v>
      </c>
      <c r="X230" s="72" t="s">
        <v>938</v>
      </c>
    </row>
    <row r="231" spans="1:24">
      <c r="A231" s="62" t="s">
        <v>919</v>
      </c>
      <c r="B231" s="76" t="s">
        <v>396</v>
      </c>
      <c r="C231" s="64" t="s">
        <v>920</v>
      </c>
      <c r="D231">
        <v>0</v>
      </c>
      <c r="I231" s="76" t="s">
        <v>1199</v>
      </c>
      <c r="W231" s="76" t="s">
        <v>1204</v>
      </c>
      <c r="X231" s="72" t="s">
        <v>938</v>
      </c>
    </row>
    <row r="232" spans="1:24">
      <c r="A232" s="62" t="s">
        <v>919</v>
      </c>
      <c r="B232" s="76" t="s">
        <v>397</v>
      </c>
      <c r="C232" s="64" t="s">
        <v>920</v>
      </c>
      <c r="D232">
        <v>0</v>
      </c>
      <c r="I232" s="76" t="s">
        <v>1199</v>
      </c>
      <c r="W232" s="76" t="s">
        <v>1205</v>
      </c>
      <c r="X232" s="72" t="s">
        <v>938</v>
      </c>
    </row>
    <row r="233" spans="1:24">
      <c r="A233" s="62" t="s">
        <v>919</v>
      </c>
      <c r="B233" s="76" t="s">
        <v>398</v>
      </c>
      <c r="C233" s="64" t="s">
        <v>920</v>
      </c>
      <c r="D233">
        <v>0</v>
      </c>
      <c r="I233" s="76" t="s">
        <v>1199</v>
      </c>
      <c r="W233" s="76" t="s">
        <v>1206</v>
      </c>
      <c r="X233" s="72" t="s">
        <v>938</v>
      </c>
    </row>
    <row r="234" spans="1:24">
      <c r="A234" s="62" t="s">
        <v>919</v>
      </c>
      <c r="B234" s="76" t="s">
        <v>399</v>
      </c>
      <c r="C234" s="64" t="s">
        <v>920</v>
      </c>
      <c r="D234">
        <v>0</v>
      </c>
      <c r="I234" s="76" t="s">
        <v>1199</v>
      </c>
      <c r="W234" s="76" t="s">
        <v>1207</v>
      </c>
      <c r="X234" s="72" t="s">
        <v>938</v>
      </c>
    </row>
    <row r="235" spans="1:24">
      <c r="A235" s="62" t="s">
        <v>919</v>
      </c>
      <c r="B235" s="76" t="s">
        <v>400</v>
      </c>
      <c r="C235" s="64" t="s">
        <v>920</v>
      </c>
      <c r="D235">
        <v>0</v>
      </c>
      <c r="I235" s="76" t="s">
        <v>1199</v>
      </c>
      <c r="W235" s="76" t="s">
        <v>1208</v>
      </c>
      <c r="X235" s="72" t="s">
        <v>938</v>
      </c>
    </row>
    <row r="236" spans="1:24">
      <c r="A236" s="62" t="s">
        <v>919</v>
      </c>
      <c r="B236" s="76" t="s">
        <v>402</v>
      </c>
      <c r="C236" s="64" t="s">
        <v>920</v>
      </c>
      <c r="D236">
        <v>0</v>
      </c>
      <c r="I236" s="76" t="s">
        <v>1199</v>
      </c>
      <c r="W236" s="76" t="s">
        <v>1209</v>
      </c>
      <c r="X236" s="72" t="s">
        <v>938</v>
      </c>
    </row>
    <row r="237" spans="1:24">
      <c r="A237" s="62" t="s">
        <v>919</v>
      </c>
      <c r="B237" s="76" t="s">
        <v>403</v>
      </c>
      <c r="C237" s="64" t="s">
        <v>920</v>
      </c>
      <c r="D237">
        <v>0</v>
      </c>
      <c r="I237" s="76" t="s">
        <v>1199</v>
      </c>
      <c r="W237" s="76" t="s">
        <v>1210</v>
      </c>
      <c r="X237" s="72" t="s">
        <v>938</v>
      </c>
    </row>
    <row r="238" spans="1:24">
      <c r="A238" s="62" t="s">
        <v>919</v>
      </c>
      <c r="B238" s="76" t="s">
        <v>404</v>
      </c>
      <c r="C238" s="64" t="s">
        <v>920</v>
      </c>
      <c r="D238">
        <v>0</v>
      </c>
      <c r="I238" s="76" t="s">
        <v>1199</v>
      </c>
      <c r="W238" s="76" t="s">
        <v>1211</v>
      </c>
      <c r="X238" s="72" t="s">
        <v>938</v>
      </c>
    </row>
    <row r="239" spans="1:24">
      <c r="A239" s="62" t="s">
        <v>919</v>
      </c>
      <c r="B239" s="76" t="s">
        <v>405</v>
      </c>
      <c r="C239" s="64" t="s">
        <v>920</v>
      </c>
      <c r="D239">
        <v>0</v>
      </c>
      <c r="I239" s="76" t="s">
        <v>1199</v>
      </c>
      <c r="W239" s="76" t="s">
        <v>1212</v>
      </c>
      <c r="X239" s="72" t="s">
        <v>938</v>
      </c>
    </row>
    <row r="240" spans="1:24">
      <c r="A240" s="62" t="s">
        <v>919</v>
      </c>
      <c r="B240" s="76" t="s">
        <v>406</v>
      </c>
      <c r="C240" s="64" t="s">
        <v>920</v>
      </c>
      <c r="D240">
        <v>0</v>
      </c>
      <c r="I240" s="76" t="s">
        <v>1199</v>
      </c>
      <c r="W240" s="76" t="s">
        <v>1213</v>
      </c>
      <c r="X240" s="72" t="s">
        <v>938</v>
      </c>
    </row>
    <row r="241" spans="1:24">
      <c r="A241" s="62" t="s">
        <v>919</v>
      </c>
      <c r="B241" s="76" t="s">
        <v>407</v>
      </c>
      <c r="C241" s="64" t="s">
        <v>920</v>
      </c>
      <c r="D241">
        <v>0</v>
      </c>
      <c r="I241" s="76" t="s">
        <v>1199</v>
      </c>
      <c r="W241" s="76" t="s">
        <v>1214</v>
      </c>
      <c r="X241" s="72" t="s">
        <v>938</v>
      </c>
    </row>
    <row r="242" spans="1:24">
      <c r="A242" s="62" t="s">
        <v>919</v>
      </c>
      <c r="B242" s="76" t="s">
        <v>408</v>
      </c>
      <c r="C242" s="64" t="s">
        <v>920</v>
      </c>
      <c r="D242">
        <v>0</v>
      </c>
      <c r="I242" s="76" t="s">
        <v>1199</v>
      </c>
      <c r="W242" s="76" t="s">
        <v>1215</v>
      </c>
      <c r="X242" s="72" t="s">
        <v>938</v>
      </c>
    </row>
    <row r="243" spans="1:24">
      <c r="A243" s="62" t="s">
        <v>919</v>
      </c>
      <c r="B243" s="76" t="s">
        <v>533</v>
      </c>
      <c r="C243" s="64" t="s">
        <v>920</v>
      </c>
      <c r="D243">
        <v>0</v>
      </c>
      <c r="I243" s="76" t="s">
        <v>1199</v>
      </c>
      <c r="W243" s="76" t="s">
        <v>1216</v>
      </c>
      <c r="X243" s="72" t="s">
        <v>938</v>
      </c>
    </row>
    <row r="244" spans="1:24">
      <c r="A244" s="62" t="s">
        <v>919</v>
      </c>
      <c r="B244" s="76" t="s">
        <v>534</v>
      </c>
      <c r="C244" s="64" t="s">
        <v>920</v>
      </c>
      <c r="D244">
        <v>0</v>
      </c>
      <c r="I244" s="76" t="s">
        <v>1199</v>
      </c>
      <c r="W244" s="76" t="s">
        <v>1217</v>
      </c>
      <c r="X244" s="72" t="s">
        <v>938</v>
      </c>
    </row>
    <row r="245" spans="1:24">
      <c r="A245" s="62" t="s">
        <v>919</v>
      </c>
      <c r="B245" s="76" t="s">
        <v>409</v>
      </c>
      <c r="C245" s="64" t="s">
        <v>920</v>
      </c>
      <c r="D245">
        <v>0</v>
      </c>
      <c r="I245" s="76" t="s">
        <v>1199</v>
      </c>
      <c r="W245" s="76" t="s">
        <v>1218</v>
      </c>
      <c r="X245" s="72" t="s">
        <v>938</v>
      </c>
    </row>
    <row r="246" spans="1:24">
      <c r="A246" s="62" t="s">
        <v>919</v>
      </c>
      <c r="B246" s="76" t="s">
        <v>410</v>
      </c>
      <c r="C246" s="64" t="s">
        <v>920</v>
      </c>
      <c r="D246">
        <v>0</v>
      </c>
      <c r="I246" s="76" t="s">
        <v>1199</v>
      </c>
      <c r="W246" s="76" t="s">
        <v>1219</v>
      </c>
      <c r="X246" s="72" t="s">
        <v>938</v>
      </c>
    </row>
    <row r="247" spans="1:24">
      <c r="A247" s="62" t="s">
        <v>919</v>
      </c>
      <c r="B247" s="76" t="s">
        <v>411</v>
      </c>
      <c r="C247" s="64" t="s">
        <v>920</v>
      </c>
      <c r="D247">
        <v>0</v>
      </c>
      <c r="I247" s="76" t="s">
        <v>1199</v>
      </c>
      <c r="W247" s="76" t="s">
        <v>1220</v>
      </c>
      <c r="X247" s="72" t="s">
        <v>938</v>
      </c>
    </row>
    <row r="248" spans="1:24">
      <c r="A248" s="62" t="s">
        <v>919</v>
      </c>
      <c r="B248" s="76" t="s">
        <v>413</v>
      </c>
      <c r="C248" s="64" t="s">
        <v>920</v>
      </c>
      <c r="D248">
        <v>0</v>
      </c>
      <c r="I248" s="76" t="s">
        <v>1199</v>
      </c>
      <c r="W248" s="76" t="s">
        <v>1221</v>
      </c>
      <c r="X248" s="72" t="s">
        <v>938</v>
      </c>
    </row>
    <row r="249" spans="1:24">
      <c r="A249" s="62" t="s">
        <v>919</v>
      </c>
      <c r="B249" s="76" t="s">
        <v>414</v>
      </c>
      <c r="C249" s="64" t="s">
        <v>920</v>
      </c>
      <c r="D249">
        <v>0</v>
      </c>
      <c r="I249" s="76" t="s">
        <v>1199</v>
      </c>
      <c r="W249" s="76" t="s">
        <v>1222</v>
      </c>
      <c r="X249" s="72" t="s">
        <v>938</v>
      </c>
    </row>
    <row r="250" spans="1:24">
      <c r="A250" s="62" t="s">
        <v>919</v>
      </c>
      <c r="B250" s="76" t="s">
        <v>415</v>
      </c>
      <c r="C250" s="64" t="s">
        <v>920</v>
      </c>
      <c r="D250">
        <v>0</v>
      </c>
      <c r="I250" s="76" t="s">
        <v>1199</v>
      </c>
      <c r="W250" s="76" t="s">
        <v>1223</v>
      </c>
      <c r="X250" s="72" t="s">
        <v>938</v>
      </c>
    </row>
    <row r="251" spans="1:24">
      <c r="A251" s="62" t="s">
        <v>919</v>
      </c>
      <c r="B251" s="76" t="s">
        <v>416</v>
      </c>
      <c r="C251" s="64" t="s">
        <v>920</v>
      </c>
      <c r="D251">
        <v>0</v>
      </c>
      <c r="I251" s="76" t="s">
        <v>1199</v>
      </c>
      <c r="W251" s="76" t="s">
        <v>1224</v>
      </c>
      <c r="X251" s="72" t="s">
        <v>938</v>
      </c>
    </row>
    <row r="252" spans="1:24">
      <c r="A252" s="62" t="s">
        <v>919</v>
      </c>
      <c r="B252" s="76" t="s">
        <v>688</v>
      </c>
      <c r="C252" s="64" t="s">
        <v>920</v>
      </c>
      <c r="D252">
        <v>0</v>
      </c>
      <c r="I252" s="76" t="s">
        <v>1199</v>
      </c>
      <c r="W252" s="76" t="s">
        <v>1225</v>
      </c>
      <c r="X252" s="72" t="s">
        <v>938</v>
      </c>
    </row>
    <row r="253" spans="1:24">
      <c r="A253" s="62" t="s">
        <v>919</v>
      </c>
      <c r="B253" s="76" t="s">
        <v>418</v>
      </c>
      <c r="C253" s="64" t="s">
        <v>920</v>
      </c>
      <c r="D253">
        <v>0</v>
      </c>
      <c r="I253" s="76" t="s">
        <v>1199</v>
      </c>
      <c r="W253" s="76" t="s">
        <v>1226</v>
      </c>
      <c r="X253" s="72" t="s">
        <v>938</v>
      </c>
    </row>
    <row r="254" spans="1:24">
      <c r="A254" s="62" t="s">
        <v>919</v>
      </c>
      <c r="B254" s="76" t="s">
        <v>419</v>
      </c>
      <c r="C254" s="64" t="s">
        <v>920</v>
      </c>
      <c r="D254">
        <v>0</v>
      </c>
      <c r="I254" s="76" t="s">
        <v>1199</v>
      </c>
      <c r="W254" s="76" t="s">
        <v>1227</v>
      </c>
      <c r="X254" s="72" t="s">
        <v>938</v>
      </c>
    </row>
    <row r="255" spans="1:24">
      <c r="A255" s="62" t="s">
        <v>919</v>
      </c>
      <c r="B255" s="76" t="s">
        <v>420</v>
      </c>
      <c r="C255" s="64" t="s">
        <v>920</v>
      </c>
      <c r="D255">
        <v>0</v>
      </c>
      <c r="I255" s="76" t="s">
        <v>1199</v>
      </c>
      <c r="W255" s="76" t="s">
        <v>1228</v>
      </c>
      <c r="X255" s="72" t="s">
        <v>938</v>
      </c>
    </row>
    <row r="256" spans="1:24">
      <c r="A256" s="62" t="s">
        <v>919</v>
      </c>
      <c r="B256" s="76" t="s">
        <v>535</v>
      </c>
      <c r="C256" s="64" t="s">
        <v>920</v>
      </c>
      <c r="D256">
        <v>0</v>
      </c>
      <c r="I256" s="76" t="s">
        <v>1199</v>
      </c>
      <c r="W256" s="76" t="s">
        <v>1229</v>
      </c>
      <c r="X256" s="72" t="s">
        <v>938</v>
      </c>
    </row>
    <row r="257" spans="1:24">
      <c r="A257" s="62" t="s">
        <v>919</v>
      </c>
      <c r="B257" s="76" t="s">
        <v>421</v>
      </c>
      <c r="C257" s="64" t="s">
        <v>920</v>
      </c>
      <c r="D257">
        <v>0</v>
      </c>
      <c r="I257" s="76" t="s">
        <v>1199</v>
      </c>
      <c r="W257" s="76" t="s">
        <v>1230</v>
      </c>
      <c r="X257" s="72" t="s">
        <v>938</v>
      </c>
    </row>
    <row r="258" spans="1:24">
      <c r="A258" s="62" t="s">
        <v>919</v>
      </c>
      <c r="B258" s="76" t="s">
        <v>422</v>
      </c>
      <c r="C258" s="64" t="s">
        <v>920</v>
      </c>
      <c r="D258">
        <v>0</v>
      </c>
      <c r="I258" s="76" t="s">
        <v>1199</v>
      </c>
      <c r="W258" s="76" t="s">
        <v>1231</v>
      </c>
      <c r="X258" s="72" t="s">
        <v>938</v>
      </c>
    </row>
    <row r="259" spans="1:24">
      <c r="A259" s="62" t="s">
        <v>919</v>
      </c>
      <c r="B259" s="76" t="s">
        <v>423</v>
      </c>
      <c r="C259" s="64" t="s">
        <v>920</v>
      </c>
      <c r="D259">
        <v>0</v>
      </c>
      <c r="I259" s="76" t="s">
        <v>1232</v>
      </c>
      <c r="W259" s="76" t="s">
        <v>1233</v>
      </c>
      <c r="X259" s="72" t="s">
        <v>938</v>
      </c>
    </row>
    <row r="260" spans="1:24">
      <c r="A260" s="62" t="s">
        <v>919</v>
      </c>
      <c r="B260" s="76" t="s">
        <v>424</v>
      </c>
      <c r="C260" s="64" t="s">
        <v>920</v>
      </c>
      <c r="D260">
        <v>0</v>
      </c>
      <c r="I260" s="76" t="s">
        <v>1232</v>
      </c>
      <c r="W260" s="76" t="s">
        <v>1234</v>
      </c>
      <c r="X260" s="72" t="s">
        <v>938</v>
      </c>
    </row>
    <row r="261" spans="1:24">
      <c r="A261" s="62" t="s">
        <v>919</v>
      </c>
      <c r="B261" s="76" t="s">
        <v>425</v>
      </c>
      <c r="C261" s="64" t="s">
        <v>920</v>
      </c>
      <c r="D261">
        <v>0</v>
      </c>
      <c r="I261" s="76" t="s">
        <v>1232</v>
      </c>
      <c r="W261" s="76" t="s">
        <v>1235</v>
      </c>
      <c r="X261" s="72" t="s">
        <v>938</v>
      </c>
    </row>
    <row r="262" spans="1:24">
      <c r="A262" s="62" t="s">
        <v>919</v>
      </c>
      <c r="B262" s="76" t="s">
        <v>426</v>
      </c>
      <c r="C262" s="64" t="s">
        <v>920</v>
      </c>
      <c r="D262">
        <v>0</v>
      </c>
      <c r="I262" s="76" t="s">
        <v>1232</v>
      </c>
      <c r="W262" s="76" t="s">
        <v>1236</v>
      </c>
      <c r="X262" s="72" t="s">
        <v>938</v>
      </c>
    </row>
    <row r="263" spans="1:24">
      <c r="A263" s="62" t="s">
        <v>919</v>
      </c>
      <c r="B263" s="76" t="s">
        <v>427</v>
      </c>
      <c r="C263" s="64" t="s">
        <v>920</v>
      </c>
      <c r="D263">
        <v>0</v>
      </c>
      <c r="I263" s="76" t="s">
        <v>1232</v>
      </c>
      <c r="W263" s="76" t="s">
        <v>1237</v>
      </c>
      <c r="X263" s="72" t="s">
        <v>938</v>
      </c>
    </row>
    <row r="264" spans="1:24">
      <c r="A264" s="62" t="s">
        <v>919</v>
      </c>
      <c r="B264" s="76" t="s">
        <v>428</v>
      </c>
      <c r="C264" s="64" t="s">
        <v>920</v>
      </c>
      <c r="D264">
        <v>0</v>
      </c>
      <c r="I264" s="76" t="s">
        <v>1232</v>
      </c>
      <c r="W264" s="76" t="s">
        <v>1238</v>
      </c>
      <c r="X264" s="72" t="s">
        <v>938</v>
      </c>
    </row>
    <row r="265" spans="1:24">
      <c r="A265" s="62" t="s">
        <v>919</v>
      </c>
      <c r="B265" s="76" t="s">
        <v>429</v>
      </c>
      <c r="C265" s="64" t="s">
        <v>920</v>
      </c>
      <c r="D265">
        <v>0</v>
      </c>
      <c r="I265" s="76" t="s">
        <v>1232</v>
      </c>
      <c r="W265" s="76" t="s">
        <v>1239</v>
      </c>
      <c r="X265" s="72" t="s">
        <v>938</v>
      </c>
    </row>
    <row r="266" spans="1:24">
      <c r="A266" s="62" t="s">
        <v>919</v>
      </c>
      <c r="B266" s="76" t="s">
        <v>430</v>
      </c>
      <c r="C266" s="64" t="s">
        <v>920</v>
      </c>
      <c r="D266">
        <v>0</v>
      </c>
      <c r="I266" s="76" t="s">
        <v>1232</v>
      </c>
      <c r="W266" s="76" t="s">
        <v>1240</v>
      </c>
      <c r="X266" s="72" t="s">
        <v>938</v>
      </c>
    </row>
    <row r="267" spans="1:24">
      <c r="A267" s="62" t="s">
        <v>919</v>
      </c>
      <c r="B267" s="76" t="s">
        <v>431</v>
      </c>
      <c r="C267" s="64" t="s">
        <v>920</v>
      </c>
      <c r="D267">
        <v>0</v>
      </c>
      <c r="I267" s="76" t="s">
        <v>1232</v>
      </c>
      <c r="W267" s="76" t="s">
        <v>1241</v>
      </c>
      <c r="X267" s="72" t="s">
        <v>938</v>
      </c>
    </row>
    <row r="268" spans="1:24">
      <c r="A268" s="62" t="s">
        <v>919</v>
      </c>
      <c r="B268" s="76" t="s">
        <v>433</v>
      </c>
      <c r="C268" s="64" t="s">
        <v>920</v>
      </c>
      <c r="D268">
        <v>0</v>
      </c>
      <c r="I268" s="76" t="s">
        <v>1232</v>
      </c>
      <c r="W268" s="76" t="s">
        <v>1242</v>
      </c>
      <c r="X268" s="72" t="s">
        <v>938</v>
      </c>
    </row>
    <row r="269" spans="1:24">
      <c r="A269" s="62" t="s">
        <v>919</v>
      </c>
      <c r="B269" s="76" t="s">
        <v>675</v>
      </c>
      <c r="C269" s="64" t="s">
        <v>920</v>
      </c>
      <c r="D269">
        <v>0</v>
      </c>
      <c r="I269" s="76" t="s">
        <v>1232</v>
      </c>
      <c r="W269" s="76" t="s">
        <v>1243</v>
      </c>
      <c r="X269" s="72" t="s">
        <v>938</v>
      </c>
    </row>
    <row r="270" spans="1:24">
      <c r="A270" s="62" t="s">
        <v>919</v>
      </c>
      <c r="B270" s="76" t="s">
        <v>434</v>
      </c>
      <c r="C270" s="64" t="s">
        <v>920</v>
      </c>
      <c r="D270">
        <v>0</v>
      </c>
      <c r="I270" s="76" t="s">
        <v>1232</v>
      </c>
      <c r="W270" s="76" t="s">
        <v>1244</v>
      </c>
      <c r="X270" s="72" t="s">
        <v>938</v>
      </c>
    </row>
    <row r="271" spans="1:24">
      <c r="A271" s="62" t="s">
        <v>919</v>
      </c>
      <c r="B271" s="76" t="s">
        <v>435</v>
      </c>
      <c r="C271" s="64" t="s">
        <v>920</v>
      </c>
      <c r="D271">
        <v>0</v>
      </c>
      <c r="I271" s="76" t="s">
        <v>1232</v>
      </c>
      <c r="W271" s="76" t="s">
        <v>1245</v>
      </c>
      <c r="X271" s="72" t="s">
        <v>938</v>
      </c>
    </row>
    <row r="272" spans="1:24">
      <c r="A272" s="62" t="s">
        <v>919</v>
      </c>
      <c r="B272" s="76" t="s">
        <v>436</v>
      </c>
      <c r="C272" s="64" t="s">
        <v>920</v>
      </c>
      <c r="D272">
        <v>0</v>
      </c>
      <c r="I272" s="76" t="s">
        <v>1232</v>
      </c>
      <c r="W272" s="76" t="s">
        <v>1246</v>
      </c>
      <c r="X272" s="72" t="s">
        <v>938</v>
      </c>
    </row>
    <row r="273" spans="1:24">
      <c r="A273" s="62" t="s">
        <v>919</v>
      </c>
      <c r="B273" s="76" t="s">
        <v>437</v>
      </c>
      <c r="C273" s="64" t="s">
        <v>920</v>
      </c>
      <c r="D273">
        <v>0</v>
      </c>
      <c r="I273" s="76" t="s">
        <v>1232</v>
      </c>
      <c r="W273" s="76" t="s">
        <v>1247</v>
      </c>
      <c r="X273" s="72" t="s">
        <v>938</v>
      </c>
    </row>
    <row r="274" spans="1:24">
      <c r="A274" s="62" t="s">
        <v>919</v>
      </c>
      <c r="B274" s="76" t="s">
        <v>438</v>
      </c>
      <c r="C274" s="64" t="s">
        <v>920</v>
      </c>
      <c r="D274">
        <v>0</v>
      </c>
      <c r="I274" s="76" t="s">
        <v>1232</v>
      </c>
      <c r="W274" s="76" t="s">
        <v>1248</v>
      </c>
      <c r="X274" s="72" t="s">
        <v>938</v>
      </c>
    </row>
    <row r="275" spans="1:24">
      <c r="A275" s="62" t="s">
        <v>919</v>
      </c>
      <c r="B275" s="76" t="s">
        <v>439</v>
      </c>
      <c r="C275" s="64" t="s">
        <v>920</v>
      </c>
      <c r="D275">
        <v>0</v>
      </c>
      <c r="I275" s="76" t="s">
        <v>1232</v>
      </c>
      <c r="W275" s="76" t="s">
        <v>1249</v>
      </c>
      <c r="X275" s="72" t="s">
        <v>938</v>
      </c>
    </row>
    <row r="276" spans="1:24">
      <c r="A276" s="62" t="s">
        <v>919</v>
      </c>
      <c r="B276" s="76" t="s">
        <v>440</v>
      </c>
      <c r="C276" s="64" t="s">
        <v>920</v>
      </c>
      <c r="D276">
        <v>0</v>
      </c>
      <c r="I276" s="76" t="s">
        <v>1232</v>
      </c>
      <c r="W276" s="76" t="s">
        <v>1250</v>
      </c>
      <c r="X276" s="72" t="s">
        <v>938</v>
      </c>
    </row>
    <row r="277" spans="1:24">
      <c r="A277" s="62" t="s">
        <v>919</v>
      </c>
      <c r="B277" s="76" t="s">
        <v>441</v>
      </c>
      <c r="C277" s="64" t="s">
        <v>920</v>
      </c>
      <c r="D277">
        <v>0</v>
      </c>
      <c r="I277" s="76" t="s">
        <v>1232</v>
      </c>
      <c r="W277" s="76" t="s">
        <v>1251</v>
      </c>
      <c r="X277" s="72" t="s">
        <v>938</v>
      </c>
    </row>
    <row r="278" spans="1:24">
      <c r="A278" s="62" t="s">
        <v>919</v>
      </c>
      <c r="B278" s="76" t="s">
        <v>442</v>
      </c>
      <c r="C278" s="64" t="s">
        <v>920</v>
      </c>
      <c r="D278">
        <v>0</v>
      </c>
      <c r="I278" s="76" t="s">
        <v>1232</v>
      </c>
      <c r="W278" s="76" t="s">
        <v>1252</v>
      </c>
      <c r="X278" s="72" t="s">
        <v>938</v>
      </c>
    </row>
    <row r="279" spans="1:24">
      <c r="A279" s="62" t="s">
        <v>919</v>
      </c>
      <c r="B279" s="76" t="s">
        <v>443</v>
      </c>
      <c r="C279" s="64" t="s">
        <v>920</v>
      </c>
      <c r="D279">
        <v>0</v>
      </c>
      <c r="I279" s="76" t="s">
        <v>1232</v>
      </c>
      <c r="W279" s="76" t="s">
        <v>1253</v>
      </c>
      <c r="X279" s="72" t="s">
        <v>938</v>
      </c>
    </row>
    <row r="280" spans="1:24">
      <c r="A280" s="62" t="s">
        <v>919</v>
      </c>
      <c r="B280" s="76" t="s">
        <v>445</v>
      </c>
      <c r="C280" s="64" t="s">
        <v>920</v>
      </c>
      <c r="D280">
        <v>0</v>
      </c>
      <c r="I280" s="76" t="s">
        <v>1232</v>
      </c>
      <c r="W280" s="76" t="s">
        <v>1254</v>
      </c>
      <c r="X280" s="72" t="s">
        <v>938</v>
      </c>
    </row>
    <row r="281" spans="1:24">
      <c r="A281" s="62" t="s">
        <v>919</v>
      </c>
      <c r="B281" s="76" t="s">
        <v>446</v>
      </c>
      <c r="C281" s="64" t="s">
        <v>920</v>
      </c>
      <c r="D281">
        <v>0</v>
      </c>
      <c r="I281" s="76" t="s">
        <v>1232</v>
      </c>
      <c r="W281" s="76" t="s">
        <v>1255</v>
      </c>
      <c r="X281" s="72" t="s">
        <v>938</v>
      </c>
    </row>
    <row r="282" spans="1:24">
      <c r="A282" s="62" t="s">
        <v>919</v>
      </c>
      <c r="B282" s="76" t="s">
        <v>447</v>
      </c>
      <c r="C282" s="64" t="s">
        <v>920</v>
      </c>
      <c r="D282">
        <v>0</v>
      </c>
      <c r="I282" s="76" t="s">
        <v>1232</v>
      </c>
      <c r="W282" s="76" t="s">
        <v>1256</v>
      </c>
      <c r="X282" s="72" t="s">
        <v>938</v>
      </c>
    </row>
    <row r="283" spans="1:24">
      <c r="A283" s="62" t="s">
        <v>919</v>
      </c>
      <c r="B283" s="76" t="s">
        <v>448</v>
      </c>
      <c r="C283" s="64" t="s">
        <v>920</v>
      </c>
      <c r="D283">
        <v>0</v>
      </c>
      <c r="I283" s="76" t="s">
        <v>1232</v>
      </c>
      <c r="W283" s="76" t="s">
        <v>1257</v>
      </c>
      <c r="X283" s="72" t="s">
        <v>938</v>
      </c>
    </row>
    <row r="284" spans="1:24">
      <c r="A284" s="62" t="s">
        <v>919</v>
      </c>
      <c r="B284" s="76" t="s">
        <v>682</v>
      </c>
      <c r="C284" s="64" t="s">
        <v>920</v>
      </c>
      <c r="D284">
        <v>0</v>
      </c>
      <c r="I284" s="76" t="s">
        <v>1232</v>
      </c>
      <c r="W284" s="76" t="s">
        <v>1258</v>
      </c>
      <c r="X284" s="72" t="s">
        <v>938</v>
      </c>
    </row>
    <row r="285" spans="1:24">
      <c r="A285" s="62" t="s">
        <v>919</v>
      </c>
      <c r="B285" s="76" t="s">
        <v>450</v>
      </c>
      <c r="C285" s="64" t="s">
        <v>920</v>
      </c>
      <c r="D285">
        <v>0</v>
      </c>
      <c r="I285" s="76" t="s">
        <v>1232</v>
      </c>
      <c r="W285" s="76" t="s">
        <v>1259</v>
      </c>
      <c r="X285" s="72" t="s">
        <v>938</v>
      </c>
    </row>
    <row r="286" spans="1:24">
      <c r="A286" s="62" t="s">
        <v>919</v>
      </c>
      <c r="B286" s="76" t="s">
        <v>451</v>
      </c>
      <c r="C286" s="64" t="s">
        <v>920</v>
      </c>
      <c r="D286">
        <v>0</v>
      </c>
      <c r="I286" s="76" t="s">
        <v>1232</v>
      </c>
      <c r="W286" s="76" t="s">
        <v>1260</v>
      </c>
      <c r="X286" s="72" t="s">
        <v>938</v>
      </c>
    </row>
    <row r="287" spans="1:24">
      <c r="A287" s="62" t="s">
        <v>919</v>
      </c>
      <c r="B287" s="76" t="s">
        <v>452</v>
      </c>
      <c r="C287" s="64" t="s">
        <v>920</v>
      </c>
      <c r="D287">
        <v>0</v>
      </c>
      <c r="I287" s="76" t="s">
        <v>1232</v>
      </c>
      <c r="W287" s="76" t="s">
        <v>1261</v>
      </c>
      <c r="X287" s="72" t="s">
        <v>938</v>
      </c>
    </row>
    <row r="288" spans="1:24">
      <c r="A288" s="62" t="s">
        <v>919</v>
      </c>
      <c r="B288" s="76" t="s">
        <v>453</v>
      </c>
      <c r="C288" s="64" t="s">
        <v>920</v>
      </c>
      <c r="D288">
        <v>0</v>
      </c>
      <c r="I288" s="76" t="s">
        <v>1232</v>
      </c>
      <c r="W288" s="76" t="s">
        <v>1262</v>
      </c>
      <c r="X288" s="72" t="s">
        <v>938</v>
      </c>
    </row>
    <row r="289" spans="1:24">
      <c r="A289" s="62" t="s">
        <v>919</v>
      </c>
      <c r="B289" s="76" t="s">
        <v>454</v>
      </c>
      <c r="C289" s="64" t="s">
        <v>920</v>
      </c>
      <c r="D289">
        <v>0</v>
      </c>
      <c r="I289" s="76" t="s">
        <v>1232</v>
      </c>
      <c r="W289" s="76" t="s">
        <v>1263</v>
      </c>
      <c r="X289" s="72" t="s">
        <v>938</v>
      </c>
    </row>
    <row r="290" spans="1:24">
      <c r="A290" s="62" t="s">
        <v>919</v>
      </c>
      <c r="B290" s="76" t="s">
        <v>455</v>
      </c>
      <c r="C290" s="64" t="s">
        <v>920</v>
      </c>
      <c r="D290">
        <v>0</v>
      </c>
      <c r="I290" s="76" t="s">
        <v>1232</v>
      </c>
      <c r="W290" s="76" t="s">
        <v>1264</v>
      </c>
      <c r="X290" s="72" t="s">
        <v>938</v>
      </c>
    </row>
  </sheetData>
  <dataValidations count="20">
    <dataValidation allowBlank="1" showInputMessage="1" showErrorMessage="1" promptTitle="Future Stock Date" prompt="Optionally input a date if you have stock arriving soon and wish to report it to your Retailer." sqref="P983043:Q983044 JL983043:JM983044 TH983043:TI983044 ADD983043:ADE983044 AMZ983043:ANA983044 AWV983043:AWW983044 BGR983043:BGS983044 BQN983043:BQO983044 CAJ983043:CAK983044 CKF983043:CKG983044 CUB983043:CUC983044 DDX983043:DDY983044 DNT983043:DNU983044 DXP983043:DXQ983044 EHL983043:EHM983044 ERH983043:ERI983044 FBD983043:FBE983044 FKZ983043:FLA983044 FUV983043:FUW983044 GER983043:GES983044 GON983043:GOO983044 GYJ983043:GYK983044 HIF983043:HIG983044 HSB983043:HSC983044 IBX983043:IBY983044 ILT983043:ILU983044 IVP983043:IVQ983044 JFL983043:JFM983044 JPH983043:JPI983044 JZD983043:JZE983044 KIZ983043:KJA983044 KSV983043:KSW983044 LCR983043:LCS983044 LMN983043:LMO983044 LWJ983043:LWK983044 MGF983043:MGG983044 MQB983043:MQC983044 MZX983043:MZY983044 NJT983043:NJU983044 NTP983043:NTQ983044 ODL983043:ODM983044 ONH983043:ONI983044 OXD983043:OXE983044 PGZ983043:PHA983044 PQV983043:PQW983044 QAR983043:QAS983044 QKN983043:QKO983044 QUJ983043:QUK983044 REF983043:REG983044 ROB983043:ROC983044 RXX983043:RXY983044 SHT983043:SHU983044 SRP983043:SRQ983044 TBL983043:TBM983044 TLH983043:TLI983044 TVD983043:TVE983044 UEZ983043:UFA983044 UOV983043:UOW983044 UYR983043:UYS983044 VIN983043:VIO983044 VSJ983043:VSK983044 WCF983043:WCG983044 WMB983043:WMC983044 WVX983043:WVY983044 P65539:Q65540 JL65539:JM65540 TH65539:TI65540 ADD65539:ADE65540 AMZ65539:ANA65540 AWV65539:AWW65540 BGR65539:BGS65540 BQN65539:BQO65540 CAJ65539:CAK65540 CKF65539:CKG65540 CUB65539:CUC65540 DDX65539:DDY65540 DNT65539:DNU65540 DXP65539:DXQ65540 EHL65539:EHM65540 ERH65539:ERI65540 FBD65539:FBE65540 FKZ65539:FLA65540 FUV65539:FUW65540 GER65539:GES65540 GON65539:GOO65540 GYJ65539:GYK65540 HIF65539:HIG65540 HSB65539:HSC65540 IBX65539:IBY65540 ILT65539:ILU65540 IVP65539:IVQ65540 JFL65539:JFM65540 JPH65539:JPI65540 JZD65539:JZE65540 KIZ65539:KJA65540 KSV65539:KSW65540 LCR65539:LCS65540 LMN65539:LMO65540 LWJ65539:LWK65540 MGF65539:MGG65540 MQB65539:MQC65540 MZX65539:MZY65540 NJT65539:NJU65540 NTP65539:NTQ65540 ODL65539:ODM65540 ONH65539:ONI65540 OXD65539:OXE65540 PGZ65539:PHA65540 PQV65539:PQW65540 QAR65539:QAS65540 QKN65539:QKO65540 QUJ65539:QUK65540 REF65539:REG65540 ROB65539:ROC65540 RXX65539:RXY65540 SHT65539:SHU65540 SRP65539:SRQ65540 TBL65539:TBM65540 TLH65539:TLI65540 TVD65539:TVE65540 UEZ65539:UFA65540 UOV65539:UOW65540 UYR65539:UYS65540 VIN65539:VIO65540 VSJ65539:VSK65540 WCF65539:WCG65540 WMB65539:WMC65540 WVX65539:WVY65540 P131075:Q131076 JL131075:JM131076 TH131075:TI131076 ADD131075:ADE131076 AMZ131075:ANA131076 AWV131075:AWW131076 BGR131075:BGS131076 BQN131075:BQO131076 CAJ131075:CAK131076 CKF131075:CKG131076 CUB131075:CUC131076 DDX131075:DDY131076 DNT131075:DNU131076 DXP131075:DXQ131076 EHL131075:EHM131076 ERH131075:ERI131076 FBD131075:FBE131076 FKZ131075:FLA131076 FUV131075:FUW131076 GER131075:GES131076 GON131075:GOO131076 GYJ131075:GYK131076 HIF131075:HIG131076 HSB131075:HSC131076 IBX131075:IBY131076 ILT131075:ILU131076 IVP131075:IVQ131076 JFL131075:JFM131076 JPH131075:JPI131076 JZD131075:JZE131076 KIZ131075:KJA131076 KSV131075:KSW131076 LCR131075:LCS131076 LMN131075:LMO131076 LWJ131075:LWK131076 MGF131075:MGG131076 MQB131075:MQC131076 MZX131075:MZY131076 NJT131075:NJU131076 NTP131075:NTQ131076 ODL131075:ODM131076 ONH131075:ONI131076 OXD131075:OXE131076 PGZ131075:PHA131076 PQV131075:PQW131076 QAR131075:QAS131076 QKN131075:QKO131076 QUJ131075:QUK131076 REF131075:REG131076 ROB131075:ROC131076 RXX131075:RXY131076 SHT131075:SHU131076 SRP131075:SRQ131076 TBL131075:TBM131076 TLH131075:TLI131076 TVD131075:TVE131076 UEZ131075:UFA131076 UOV131075:UOW131076 UYR131075:UYS131076 VIN131075:VIO131076 VSJ131075:VSK131076 WCF131075:WCG131076 WMB131075:WMC131076 WVX131075:WVY131076 P196611:Q196612 JL196611:JM196612 TH196611:TI196612 ADD196611:ADE196612 AMZ196611:ANA196612 AWV196611:AWW196612 BGR196611:BGS196612 BQN196611:BQO196612 CAJ196611:CAK196612 CKF196611:CKG196612 CUB196611:CUC196612 DDX196611:DDY196612 DNT196611:DNU196612 DXP196611:DXQ196612 EHL196611:EHM196612 ERH196611:ERI196612 FBD196611:FBE196612 FKZ196611:FLA196612 FUV196611:FUW196612 GER196611:GES196612 GON196611:GOO196612 GYJ196611:GYK196612 HIF196611:HIG196612 HSB196611:HSC196612 IBX196611:IBY196612 ILT196611:ILU196612 IVP196611:IVQ196612 JFL196611:JFM196612 JPH196611:JPI196612 JZD196611:JZE196612 KIZ196611:KJA196612 KSV196611:KSW196612 LCR196611:LCS196612 LMN196611:LMO196612 LWJ196611:LWK196612 MGF196611:MGG196612 MQB196611:MQC196612 MZX196611:MZY196612 NJT196611:NJU196612 NTP196611:NTQ196612 ODL196611:ODM196612 ONH196611:ONI196612 OXD196611:OXE196612 PGZ196611:PHA196612 PQV196611:PQW196612 QAR196611:QAS196612 QKN196611:QKO196612 QUJ196611:QUK196612 REF196611:REG196612 ROB196611:ROC196612 RXX196611:RXY196612 SHT196611:SHU196612 SRP196611:SRQ196612 TBL196611:TBM196612 TLH196611:TLI196612 TVD196611:TVE196612 UEZ196611:UFA196612 UOV196611:UOW196612 UYR196611:UYS196612 VIN196611:VIO196612 VSJ196611:VSK196612 WCF196611:WCG196612 WMB196611:WMC196612 WVX196611:WVY196612 P262147:Q262148 JL262147:JM262148 TH262147:TI262148 ADD262147:ADE262148 AMZ262147:ANA262148 AWV262147:AWW262148 BGR262147:BGS262148 BQN262147:BQO262148 CAJ262147:CAK262148 CKF262147:CKG262148 CUB262147:CUC262148 DDX262147:DDY262148 DNT262147:DNU262148 DXP262147:DXQ262148 EHL262147:EHM262148 ERH262147:ERI262148 FBD262147:FBE262148 FKZ262147:FLA262148 FUV262147:FUW262148 GER262147:GES262148 GON262147:GOO262148 GYJ262147:GYK262148 HIF262147:HIG262148 HSB262147:HSC262148 IBX262147:IBY262148 ILT262147:ILU262148 IVP262147:IVQ262148 JFL262147:JFM262148 JPH262147:JPI262148 JZD262147:JZE262148 KIZ262147:KJA262148 KSV262147:KSW262148 LCR262147:LCS262148 LMN262147:LMO262148 LWJ262147:LWK262148 MGF262147:MGG262148 MQB262147:MQC262148 MZX262147:MZY262148 NJT262147:NJU262148 NTP262147:NTQ262148 ODL262147:ODM262148 ONH262147:ONI262148 OXD262147:OXE262148 PGZ262147:PHA262148 PQV262147:PQW262148 QAR262147:QAS262148 QKN262147:QKO262148 QUJ262147:QUK262148 REF262147:REG262148 ROB262147:ROC262148 RXX262147:RXY262148 SHT262147:SHU262148 SRP262147:SRQ262148 TBL262147:TBM262148 TLH262147:TLI262148 TVD262147:TVE262148 UEZ262147:UFA262148 UOV262147:UOW262148 UYR262147:UYS262148 VIN262147:VIO262148 VSJ262147:VSK262148 WCF262147:WCG262148 WMB262147:WMC262148 WVX262147:WVY262148 P327683:Q327684 JL327683:JM327684 TH327683:TI327684 ADD327683:ADE327684 AMZ327683:ANA327684 AWV327683:AWW327684 BGR327683:BGS327684 BQN327683:BQO327684 CAJ327683:CAK327684 CKF327683:CKG327684 CUB327683:CUC327684 DDX327683:DDY327684 DNT327683:DNU327684 DXP327683:DXQ327684 EHL327683:EHM327684 ERH327683:ERI327684 FBD327683:FBE327684 FKZ327683:FLA327684 FUV327683:FUW327684 GER327683:GES327684 GON327683:GOO327684 GYJ327683:GYK327684 HIF327683:HIG327684 HSB327683:HSC327684 IBX327683:IBY327684 ILT327683:ILU327684 IVP327683:IVQ327684 JFL327683:JFM327684 JPH327683:JPI327684 JZD327683:JZE327684 KIZ327683:KJA327684 KSV327683:KSW327684 LCR327683:LCS327684 LMN327683:LMO327684 LWJ327683:LWK327684 MGF327683:MGG327684 MQB327683:MQC327684 MZX327683:MZY327684 NJT327683:NJU327684 NTP327683:NTQ327684 ODL327683:ODM327684 ONH327683:ONI327684 OXD327683:OXE327684 PGZ327683:PHA327684 PQV327683:PQW327684 QAR327683:QAS327684 QKN327683:QKO327684 QUJ327683:QUK327684 REF327683:REG327684 ROB327683:ROC327684 RXX327683:RXY327684 SHT327683:SHU327684 SRP327683:SRQ327684 TBL327683:TBM327684 TLH327683:TLI327684 TVD327683:TVE327684 UEZ327683:UFA327684 UOV327683:UOW327684 UYR327683:UYS327684 VIN327683:VIO327684 VSJ327683:VSK327684 WCF327683:WCG327684 WMB327683:WMC327684 WVX327683:WVY327684 P393219:Q393220 JL393219:JM393220 TH393219:TI393220 ADD393219:ADE393220 AMZ393219:ANA393220 AWV393219:AWW393220 BGR393219:BGS393220 BQN393219:BQO393220 CAJ393219:CAK393220 CKF393219:CKG393220 CUB393219:CUC393220 DDX393219:DDY393220 DNT393219:DNU393220 DXP393219:DXQ393220 EHL393219:EHM393220 ERH393219:ERI393220 FBD393219:FBE393220 FKZ393219:FLA393220 FUV393219:FUW393220 GER393219:GES393220 GON393219:GOO393220 GYJ393219:GYK393220 HIF393219:HIG393220 HSB393219:HSC393220 IBX393219:IBY393220 ILT393219:ILU393220 IVP393219:IVQ393220 JFL393219:JFM393220 JPH393219:JPI393220 JZD393219:JZE393220 KIZ393219:KJA393220 KSV393219:KSW393220 LCR393219:LCS393220 LMN393219:LMO393220 LWJ393219:LWK393220 MGF393219:MGG393220 MQB393219:MQC393220 MZX393219:MZY393220 NJT393219:NJU393220 NTP393219:NTQ393220 ODL393219:ODM393220 ONH393219:ONI393220 OXD393219:OXE393220 PGZ393219:PHA393220 PQV393219:PQW393220 QAR393219:QAS393220 QKN393219:QKO393220 QUJ393219:QUK393220 REF393219:REG393220 ROB393219:ROC393220 RXX393219:RXY393220 SHT393219:SHU393220 SRP393219:SRQ393220 TBL393219:TBM393220 TLH393219:TLI393220 TVD393219:TVE393220 UEZ393219:UFA393220 UOV393219:UOW393220 UYR393219:UYS393220 VIN393219:VIO393220 VSJ393219:VSK393220 WCF393219:WCG393220 WMB393219:WMC393220 WVX393219:WVY393220 P458755:Q458756 JL458755:JM458756 TH458755:TI458756 ADD458755:ADE458756 AMZ458755:ANA458756 AWV458755:AWW458756 BGR458755:BGS458756 BQN458755:BQO458756 CAJ458755:CAK458756 CKF458755:CKG458756 CUB458755:CUC458756 DDX458755:DDY458756 DNT458755:DNU458756 DXP458755:DXQ458756 EHL458755:EHM458756 ERH458755:ERI458756 FBD458755:FBE458756 FKZ458755:FLA458756 FUV458755:FUW458756 GER458755:GES458756 GON458755:GOO458756 GYJ458755:GYK458756 HIF458755:HIG458756 HSB458755:HSC458756 IBX458755:IBY458756 ILT458755:ILU458756 IVP458755:IVQ458756 JFL458755:JFM458756 JPH458755:JPI458756 JZD458755:JZE458756 KIZ458755:KJA458756 KSV458755:KSW458756 LCR458755:LCS458756 LMN458755:LMO458756 LWJ458755:LWK458756 MGF458755:MGG458756 MQB458755:MQC458756 MZX458755:MZY458756 NJT458755:NJU458756 NTP458755:NTQ458756 ODL458755:ODM458756 ONH458755:ONI458756 OXD458755:OXE458756 PGZ458755:PHA458756 PQV458755:PQW458756 QAR458755:QAS458756 QKN458755:QKO458756 QUJ458755:QUK458756 REF458755:REG458756 ROB458755:ROC458756 RXX458755:RXY458756 SHT458755:SHU458756 SRP458755:SRQ458756 TBL458755:TBM458756 TLH458755:TLI458756 TVD458755:TVE458756 UEZ458755:UFA458756 UOV458755:UOW458756 UYR458755:UYS458756 VIN458755:VIO458756 VSJ458755:VSK458756 WCF458755:WCG458756 WMB458755:WMC458756 WVX458755:WVY458756 P524291:Q524292 JL524291:JM524292 TH524291:TI524292 ADD524291:ADE524292 AMZ524291:ANA524292 AWV524291:AWW524292 BGR524291:BGS524292 BQN524291:BQO524292 CAJ524291:CAK524292 CKF524291:CKG524292 CUB524291:CUC524292 DDX524291:DDY524292 DNT524291:DNU524292 DXP524291:DXQ524292 EHL524291:EHM524292 ERH524291:ERI524292 FBD524291:FBE524292 FKZ524291:FLA524292 FUV524291:FUW524292 GER524291:GES524292 GON524291:GOO524292 GYJ524291:GYK524292 HIF524291:HIG524292 HSB524291:HSC524292 IBX524291:IBY524292 ILT524291:ILU524292 IVP524291:IVQ524292 JFL524291:JFM524292 JPH524291:JPI524292 JZD524291:JZE524292 KIZ524291:KJA524292 KSV524291:KSW524292 LCR524291:LCS524292 LMN524291:LMO524292 LWJ524291:LWK524292 MGF524291:MGG524292 MQB524291:MQC524292 MZX524291:MZY524292 NJT524291:NJU524292 NTP524291:NTQ524292 ODL524291:ODM524292 ONH524291:ONI524292 OXD524291:OXE524292 PGZ524291:PHA524292 PQV524291:PQW524292 QAR524291:QAS524292 QKN524291:QKO524292 QUJ524291:QUK524292 REF524291:REG524292 ROB524291:ROC524292 RXX524291:RXY524292 SHT524291:SHU524292 SRP524291:SRQ524292 TBL524291:TBM524292 TLH524291:TLI524292 TVD524291:TVE524292 UEZ524291:UFA524292 UOV524291:UOW524292 UYR524291:UYS524292 VIN524291:VIO524292 VSJ524291:VSK524292 WCF524291:WCG524292 WMB524291:WMC524292 WVX524291:WVY524292 P589827:Q589828 JL589827:JM589828 TH589827:TI589828 ADD589827:ADE589828 AMZ589827:ANA589828 AWV589827:AWW589828 BGR589827:BGS589828 BQN589827:BQO589828 CAJ589827:CAK589828 CKF589827:CKG589828 CUB589827:CUC589828 DDX589827:DDY589828 DNT589827:DNU589828 DXP589827:DXQ589828 EHL589827:EHM589828 ERH589827:ERI589828 FBD589827:FBE589828 FKZ589827:FLA589828 FUV589827:FUW589828 GER589827:GES589828 GON589827:GOO589828 GYJ589827:GYK589828 HIF589827:HIG589828 HSB589827:HSC589828 IBX589827:IBY589828 ILT589827:ILU589828 IVP589827:IVQ589828 JFL589827:JFM589828 JPH589827:JPI589828 JZD589827:JZE589828 KIZ589827:KJA589828 KSV589827:KSW589828 LCR589827:LCS589828 LMN589827:LMO589828 LWJ589827:LWK589828 MGF589827:MGG589828 MQB589827:MQC589828 MZX589827:MZY589828 NJT589827:NJU589828 NTP589827:NTQ589828 ODL589827:ODM589828 ONH589827:ONI589828 OXD589827:OXE589828 PGZ589827:PHA589828 PQV589827:PQW589828 QAR589827:QAS589828 QKN589827:QKO589828 QUJ589827:QUK589828 REF589827:REG589828 ROB589827:ROC589828 RXX589827:RXY589828 SHT589827:SHU589828 SRP589827:SRQ589828 TBL589827:TBM589828 TLH589827:TLI589828 TVD589827:TVE589828 UEZ589827:UFA589828 UOV589827:UOW589828 UYR589827:UYS589828 VIN589827:VIO589828 VSJ589827:VSK589828 WCF589827:WCG589828 WMB589827:WMC589828 WVX589827:WVY589828 P655363:Q655364 JL655363:JM655364 TH655363:TI655364 ADD655363:ADE655364 AMZ655363:ANA655364 AWV655363:AWW655364 BGR655363:BGS655364 BQN655363:BQO655364 CAJ655363:CAK655364 CKF655363:CKG655364 CUB655363:CUC655364 DDX655363:DDY655364 DNT655363:DNU655364 DXP655363:DXQ655364 EHL655363:EHM655364 ERH655363:ERI655364 FBD655363:FBE655364 FKZ655363:FLA655364 FUV655363:FUW655364 GER655363:GES655364 GON655363:GOO655364 GYJ655363:GYK655364 HIF655363:HIG655364 HSB655363:HSC655364 IBX655363:IBY655364 ILT655363:ILU655364 IVP655363:IVQ655364 JFL655363:JFM655364 JPH655363:JPI655364 JZD655363:JZE655364 KIZ655363:KJA655364 KSV655363:KSW655364 LCR655363:LCS655364 LMN655363:LMO655364 LWJ655363:LWK655364 MGF655363:MGG655364 MQB655363:MQC655364 MZX655363:MZY655364 NJT655363:NJU655364 NTP655363:NTQ655364 ODL655363:ODM655364 ONH655363:ONI655364 OXD655363:OXE655364 PGZ655363:PHA655364 PQV655363:PQW655364 QAR655363:QAS655364 QKN655363:QKO655364 QUJ655363:QUK655364 REF655363:REG655364 ROB655363:ROC655364 RXX655363:RXY655364 SHT655363:SHU655364 SRP655363:SRQ655364 TBL655363:TBM655364 TLH655363:TLI655364 TVD655363:TVE655364 UEZ655363:UFA655364 UOV655363:UOW655364 UYR655363:UYS655364 VIN655363:VIO655364 VSJ655363:VSK655364 WCF655363:WCG655364 WMB655363:WMC655364 WVX655363:WVY655364 P720899:Q720900 JL720899:JM720900 TH720899:TI720900 ADD720899:ADE720900 AMZ720899:ANA720900 AWV720899:AWW720900 BGR720899:BGS720900 BQN720899:BQO720900 CAJ720899:CAK720900 CKF720899:CKG720900 CUB720899:CUC720900 DDX720899:DDY720900 DNT720899:DNU720900 DXP720899:DXQ720900 EHL720899:EHM720900 ERH720899:ERI720900 FBD720899:FBE720900 FKZ720899:FLA720900 FUV720899:FUW720900 GER720899:GES720900 GON720899:GOO720900 GYJ720899:GYK720900 HIF720899:HIG720900 HSB720899:HSC720900 IBX720899:IBY720900 ILT720899:ILU720900 IVP720899:IVQ720900 JFL720899:JFM720900 JPH720899:JPI720900 JZD720899:JZE720900 KIZ720899:KJA720900 KSV720899:KSW720900 LCR720899:LCS720900 LMN720899:LMO720900 LWJ720899:LWK720900 MGF720899:MGG720900 MQB720899:MQC720900 MZX720899:MZY720900 NJT720899:NJU720900 NTP720899:NTQ720900 ODL720899:ODM720900 ONH720899:ONI720900 OXD720899:OXE720900 PGZ720899:PHA720900 PQV720899:PQW720900 QAR720899:QAS720900 QKN720899:QKO720900 QUJ720899:QUK720900 REF720899:REG720900 ROB720899:ROC720900 RXX720899:RXY720900 SHT720899:SHU720900 SRP720899:SRQ720900 TBL720899:TBM720900 TLH720899:TLI720900 TVD720899:TVE720900 UEZ720899:UFA720900 UOV720899:UOW720900 UYR720899:UYS720900 VIN720899:VIO720900 VSJ720899:VSK720900 WCF720899:WCG720900 WMB720899:WMC720900 WVX720899:WVY720900 P786435:Q786436 JL786435:JM786436 TH786435:TI786436 ADD786435:ADE786436 AMZ786435:ANA786436 AWV786435:AWW786436 BGR786435:BGS786436 BQN786435:BQO786436 CAJ786435:CAK786436 CKF786435:CKG786436 CUB786435:CUC786436 DDX786435:DDY786436 DNT786435:DNU786436 DXP786435:DXQ786436 EHL786435:EHM786436 ERH786435:ERI786436 FBD786435:FBE786436 FKZ786435:FLA786436 FUV786435:FUW786436 GER786435:GES786436 GON786435:GOO786436 GYJ786435:GYK786436 HIF786435:HIG786436 HSB786435:HSC786436 IBX786435:IBY786436 ILT786435:ILU786436 IVP786435:IVQ786436 JFL786435:JFM786436 JPH786435:JPI786436 JZD786435:JZE786436 KIZ786435:KJA786436 KSV786435:KSW786436 LCR786435:LCS786436 LMN786435:LMO786436 LWJ786435:LWK786436 MGF786435:MGG786436 MQB786435:MQC786436 MZX786435:MZY786436 NJT786435:NJU786436 NTP786435:NTQ786436 ODL786435:ODM786436 ONH786435:ONI786436 OXD786435:OXE786436 PGZ786435:PHA786436 PQV786435:PQW786436 QAR786435:QAS786436 QKN786435:QKO786436 QUJ786435:QUK786436 REF786435:REG786436 ROB786435:ROC786436 RXX786435:RXY786436 SHT786435:SHU786436 SRP786435:SRQ786436 TBL786435:TBM786436 TLH786435:TLI786436 TVD786435:TVE786436 UEZ786435:UFA786436 UOV786435:UOW786436 UYR786435:UYS786436 VIN786435:VIO786436 VSJ786435:VSK786436 WCF786435:WCG786436 WMB786435:WMC786436 WVX786435:WVY786436 P851971:Q851972 JL851971:JM851972 TH851971:TI851972 ADD851971:ADE851972 AMZ851971:ANA851972 AWV851971:AWW851972 BGR851971:BGS851972 BQN851971:BQO851972 CAJ851971:CAK851972 CKF851971:CKG851972 CUB851971:CUC851972 DDX851971:DDY851972 DNT851971:DNU851972 DXP851971:DXQ851972 EHL851971:EHM851972 ERH851971:ERI851972 FBD851971:FBE851972 FKZ851971:FLA851972 FUV851971:FUW851972 GER851971:GES851972 GON851971:GOO851972 GYJ851971:GYK851972 HIF851971:HIG851972 HSB851971:HSC851972 IBX851971:IBY851972 ILT851971:ILU851972 IVP851971:IVQ851972 JFL851971:JFM851972 JPH851971:JPI851972 JZD851971:JZE851972 KIZ851971:KJA851972 KSV851971:KSW851972 LCR851971:LCS851972 LMN851971:LMO851972 LWJ851971:LWK851972 MGF851971:MGG851972 MQB851971:MQC851972 MZX851971:MZY851972 NJT851971:NJU851972 NTP851971:NTQ851972 ODL851971:ODM851972 ONH851971:ONI851972 OXD851971:OXE851972 PGZ851971:PHA851972 PQV851971:PQW851972 QAR851971:QAS851972 QKN851971:QKO851972 QUJ851971:QUK851972 REF851971:REG851972 ROB851971:ROC851972 RXX851971:RXY851972 SHT851971:SHU851972 SRP851971:SRQ851972 TBL851971:TBM851972 TLH851971:TLI851972 TVD851971:TVE851972 UEZ851971:UFA851972 UOV851971:UOW851972 UYR851971:UYS851972 VIN851971:VIO851972 VSJ851971:VSK851972 WCF851971:WCG851972 WMB851971:WMC851972 WVX851971:WVY851972 P917507:Q917508 JL917507:JM917508 TH917507:TI917508 ADD917507:ADE917508 AMZ917507:ANA917508 AWV917507:AWW917508 BGR917507:BGS917508 BQN917507:BQO917508 CAJ917507:CAK917508 CKF917507:CKG917508 CUB917507:CUC917508 DDX917507:DDY917508 DNT917507:DNU917508 DXP917507:DXQ917508 EHL917507:EHM917508 ERH917507:ERI917508 FBD917507:FBE917508 FKZ917507:FLA917508 FUV917507:FUW917508 GER917507:GES917508 GON917507:GOO917508 GYJ917507:GYK917508 HIF917507:HIG917508 HSB917507:HSC917508 IBX917507:IBY917508 ILT917507:ILU917508 IVP917507:IVQ917508 JFL917507:JFM917508 JPH917507:JPI917508 JZD917507:JZE917508 KIZ917507:KJA917508 KSV917507:KSW917508 LCR917507:LCS917508 LMN917507:LMO917508 LWJ917507:LWK917508 MGF917507:MGG917508 MQB917507:MQC917508 MZX917507:MZY917508 NJT917507:NJU917508 NTP917507:NTQ917508 ODL917507:ODM917508 ONH917507:ONI917508 OXD917507:OXE917508 PGZ917507:PHA917508 PQV917507:PQW917508 QAR917507:QAS917508 QKN917507:QKO917508 QUJ917507:QUK917508 REF917507:REG917508 ROB917507:ROC917508 RXX917507:RXY917508 SHT917507:SHU917508 SRP917507:SRQ917508 TBL917507:TBM917508 TLH917507:TLI917508 TVD917507:TVE917508 UEZ917507:UFA917508 UOV917507:UOW917508 UYR917507:UYS917508 VIN917507:VIO917508 VSJ917507:VSK917508 WCF917507:WCG917508 WMB917507:WMC917508 WVX917507:WVY917508 P3:Q4 JL3:JM4 TH3:TI4 ADD3:ADE4 AMZ3:ANA4 AWV3:AWW4 BGR3:BGS4 BQN3:BQO4 CAJ3:CAK4 CKF3:CKG4 CUB3:CUC4 DDX3:DDY4 DNT3:DNU4 DXP3:DXQ4 EHL3:EHM4 ERH3:ERI4 FBD3:FBE4 FKZ3:FLA4 FUV3:FUW4 GER3:GES4 GON3:GOO4 GYJ3:GYK4 HIF3:HIG4 HSB3:HSC4 IBX3:IBY4 ILT3:ILU4 IVP3:IVQ4 JFL3:JFM4 JPH3:JPI4 JZD3:JZE4 KIZ3:KJA4 KSV3:KSW4 LCR3:LCS4 LMN3:LMO4 LWJ3:LWK4 MGF3:MGG4 MQB3:MQC4 MZX3:MZY4 NJT3:NJU4 NTP3:NTQ4 ODL3:ODM4 ONH3:ONI4 OXD3:OXE4 PGZ3:PHA4 PQV3:PQW4 QAR3:QAS4 QKN3:QKO4 QUJ3:QUK4 REF3:REG4 ROB3:ROC4 RXX3:RXY4 SHT3:SHU4 SRP3:SRQ4 TBL3:TBM4 TLH3:TLI4 TVD3:TVE4 UEZ3:UFA4 UOV3:UOW4 UYR3:UYS4 VIN3:VIO4 VSJ3:VSK4 WCF3:WCG4 WMB3:WMC4 WVX3:WVY4" xr:uid="{00000000-0002-0000-0600-000000000000}"/>
    <dataValidation allowBlank="1" showInputMessage="1" showErrorMessage="1" promptTitle="Discontinue Date" prompt="Optionally input a date if the item is to be or has been discontinued.  If you need to remove an item from being marked as discontinued, simply input the date '01/01/1900' here which will clear the status." sqref="O983043:O983044 JK983043:JK983044 TG983043:TG983044 ADC983043:ADC983044 AMY983043:AMY983044 AWU983043:AWU983044 BGQ983043:BGQ983044 BQM983043:BQM983044 CAI983043:CAI983044 CKE983043:CKE983044 CUA983043:CUA983044 DDW983043:DDW983044 DNS983043:DNS983044 DXO983043:DXO983044 EHK983043:EHK983044 ERG983043:ERG983044 FBC983043:FBC983044 FKY983043:FKY983044 FUU983043:FUU983044 GEQ983043:GEQ983044 GOM983043:GOM983044 GYI983043:GYI983044 HIE983043:HIE983044 HSA983043:HSA983044 IBW983043:IBW983044 ILS983043:ILS983044 IVO983043:IVO983044 JFK983043:JFK983044 JPG983043:JPG983044 JZC983043:JZC983044 KIY983043:KIY983044 KSU983043:KSU983044 LCQ983043:LCQ983044 LMM983043:LMM983044 LWI983043:LWI983044 MGE983043:MGE983044 MQA983043:MQA983044 MZW983043:MZW983044 NJS983043:NJS983044 NTO983043:NTO983044 ODK983043:ODK983044 ONG983043:ONG983044 OXC983043:OXC983044 PGY983043:PGY983044 PQU983043:PQU983044 QAQ983043:QAQ983044 QKM983043:QKM983044 QUI983043:QUI983044 REE983043:REE983044 ROA983043:ROA983044 RXW983043:RXW983044 SHS983043:SHS983044 SRO983043:SRO983044 TBK983043:TBK983044 TLG983043:TLG983044 TVC983043:TVC983044 UEY983043:UEY983044 UOU983043:UOU983044 UYQ983043:UYQ983044 VIM983043:VIM983044 VSI983043:VSI983044 WCE983043:WCE983044 WMA983043:WMA983044 WVW983043:WVW983044 O65539:O65540 JK65539:JK65540 TG65539:TG65540 ADC65539:ADC65540 AMY65539:AMY65540 AWU65539:AWU65540 BGQ65539:BGQ65540 BQM65539:BQM65540 CAI65539:CAI65540 CKE65539:CKE65540 CUA65539:CUA65540 DDW65539:DDW65540 DNS65539:DNS65540 DXO65539:DXO65540 EHK65539:EHK65540 ERG65539:ERG65540 FBC65539:FBC65540 FKY65539:FKY65540 FUU65539:FUU65540 GEQ65539:GEQ65540 GOM65539:GOM65540 GYI65539:GYI65540 HIE65539:HIE65540 HSA65539:HSA65540 IBW65539:IBW65540 ILS65539:ILS65540 IVO65539:IVO65540 JFK65539:JFK65540 JPG65539:JPG65540 JZC65539:JZC65540 KIY65539:KIY65540 KSU65539:KSU65540 LCQ65539:LCQ65540 LMM65539:LMM65540 LWI65539:LWI65540 MGE65539:MGE65540 MQA65539:MQA65540 MZW65539:MZW65540 NJS65539:NJS65540 NTO65539:NTO65540 ODK65539:ODK65540 ONG65539:ONG65540 OXC65539:OXC65540 PGY65539:PGY65540 PQU65539:PQU65540 QAQ65539:QAQ65540 QKM65539:QKM65540 QUI65539:QUI65540 REE65539:REE65540 ROA65539:ROA65540 RXW65539:RXW65540 SHS65539:SHS65540 SRO65539:SRO65540 TBK65539:TBK65540 TLG65539:TLG65540 TVC65539:TVC65540 UEY65539:UEY65540 UOU65539:UOU65540 UYQ65539:UYQ65540 VIM65539:VIM65540 VSI65539:VSI65540 WCE65539:WCE65540 WMA65539:WMA65540 WVW65539:WVW65540 O131075:O131076 JK131075:JK131076 TG131075:TG131076 ADC131075:ADC131076 AMY131075:AMY131076 AWU131075:AWU131076 BGQ131075:BGQ131076 BQM131075:BQM131076 CAI131075:CAI131076 CKE131075:CKE131076 CUA131075:CUA131076 DDW131075:DDW131076 DNS131075:DNS131076 DXO131075:DXO131076 EHK131075:EHK131076 ERG131075:ERG131076 FBC131075:FBC131076 FKY131075:FKY131076 FUU131075:FUU131076 GEQ131075:GEQ131076 GOM131075:GOM131076 GYI131075:GYI131076 HIE131075:HIE131076 HSA131075:HSA131076 IBW131075:IBW131076 ILS131075:ILS131076 IVO131075:IVO131076 JFK131075:JFK131076 JPG131075:JPG131076 JZC131075:JZC131076 KIY131075:KIY131076 KSU131075:KSU131076 LCQ131075:LCQ131076 LMM131075:LMM131076 LWI131075:LWI131076 MGE131075:MGE131076 MQA131075:MQA131076 MZW131075:MZW131076 NJS131075:NJS131076 NTO131075:NTO131076 ODK131075:ODK131076 ONG131075:ONG131076 OXC131075:OXC131076 PGY131075:PGY131076 PQU131075:PQU131076 QAQ131075:QAQ131076 QKM131075:QKM131076 QUI131075:QUI131076 REE131075:REE131076 ROA131075:ROA131076 RXW131075:RXW131076 SHS131075:SHS131076 SRO131075:SRO131076 TBK131075:TBK131076 TLG131075:TLG131076 TVC131075:TVC131076 UEY131075:UEY131076 UOU131075:UOU131076 UYQ131075:UYQ131076 VIM131075:VIM131076 VSI131075:VSI131076 WCE131075:WCE131076 WMA131075:WMA131076 WVW131075:WVW131076 O196611:O196612 JK196611:JK196612 TG196611:TG196612 ADC196611:ADC196612 AMY196611:AMY196612 AWU196611:AWU196612 BGQ196611:BGQ196612 BQM196611:BQM196612 CAI196611:CAI196612 CKE196611:CKE196612 CUA196611:CUA196612 DDW196611:DDW196612 DNS196611:DNS196612 DXO196611:DXO196612 EHK196611:EHK196612 ERG196611:ERG196612 FBC196611:FBC196612 FKY196611:FKY196612 FUU196611:FUU196612 GEQ196611:GEQ196612 GOM196611:GOM196612 GYI196611:GYI196612 HIE196611:HIE196612 HSA196611:HSA196612 IBW196611:IBW196612 ILS196611:ILS196612 IVO196611:IVO196612 JFK196611:JFK196612 JPG196611:JPG196612 JZC196611:JZC196612 KIY196611:KIY196612 KSU196611:KSU196612 LCQ196611:LCQ196612 LMM196611:LMM196612 LWI196611:LWI196612 MGE196611:MGE196612 MQA196611:MQA196612 MZW196611:MZW196612 NJS196611:NJS196612 NTO196611:NTO196612 ODK196611:ODK196612 ONG196611:ONG196612 OXC196611:OXC196612 PGY196611:PGY196612 PQU196611:PQU196612 QAQ196611:QAQ196612 QKM196611:QKM196612 QUI196611:QUI196612 REE196611:REE196612 ROA196611:ROA196612 RXW196611:RXW196612 SHS196611:SHS196612 SRO196611:SRO196612 TBK196611:TBK196612 TLG196611:TLG196612 TVC196611:TVC196612 UEY196611:UEY196612 UOU196611:UOU196612 UYQ196611:UYQ196612 VIM196611:VIM196612 VSI196611:VSI196612 WCE196611:WCE196612 WMA196611:WMA196612 WVW196611:WVW196612 O262147:O262148 JK262147:JK262148 TG262147:TG262148 ADC262147:ADC262148 AMY262147:AMY262148 AWU262147:AWU262148 BGQ262147:BGQ262148 BQM262147:BQM262148 CAI262147:CAI262148 CKE262147:CKE262148 CUA262147:CUA262148 DDW262147:DDW262148 DNS262147:DNS262148 DXO262147:DXO262148 EHK262147:EHK262148 ERG262147:ERG262148 FBC262147:FBC262148 FKY262147:FKY262148 FUU262147:FUU262148 GEQ262147:GEQ262148 GOM262147:GOM262148 GYI262147:GYI262148 HIE262147:HIE262148 HSA262147:HSA262148 IBW262147:IBW262148 ILS262147:ILS262148 IVO262147:IVO262148 JFK262147:JFK262148 JPG262147:JPG262148 JZC262147:JZC262148 KIY262147:KIY262148 KSU262147:KSU262148 LCQ262147:LCQ262148 LMM262147:LMM262148 LWI262147:LWI262148 MGE262147:MGE262148 MQA262147:MQA262148 MZW262147:MZW262148 NJS262147:NJS262148 NTO262147:NTO262148 ODK262147:ODK262148 ONG262147:ONG262148 OXC262147:OXC262148 PGY262147:PGY262148 PQU262147:PQU262148 QAQ262147:QAQ262148 QKM262147:QKM262148 QUI262147:QUI262148 REE262147:REE262148 ROA262147:ROA262148 RXW262147:RXW262148 SHS262147:SHS262148 SRO262147:SRO262148 TBK262147:TBK262148 TLG262147:TLG262148 TVC262147:TVC262148 UEY262147:UEY262148 UOU262147:UOU262148 UYQ262147:UYQ262148 VIM262147:VIM262148 VSI262147:VSI262148 WCE262147:WCE262148 WMA262147:WMA262148 WVW262147:WVW262148 O327683:O327684 JK327683:JK327684 TG327683:TG327684 ADC327683:ADC327684 AMY327683:AMY327684 AWU327683:AWU327684 BGQ327683:BGQ327684 BQM327683:BQM327684 CAI327683:CAI327684 CKE327683:CKE327684 CUA327683:CUA327684 DDW327683:DDW327684 DNS327683:DNS327684 DXO327683:DXO327684 EHK327683:EHK327684 ERG327683:ERG327684 FBC327683:FBC327684 FKY327683:FKY327684 FUU327683:FUU327684 GEQ327683:GEQ327684 GOM327683:GOM327684 GYI327683:GYI327684 HIE327683:HIE327684 HSA327683:HSA327684 IBW327683:IBW327684 ILS327683:ILS327684 IVO327683:IVO327684 JFK327683:JFK327684 JPG327683:JPG327684 JZC327683:JZC327684 KIY327683:KIY327684 KSU327683:KSU327684 LCQ327683:LCQ327684 LMM327683:LMM327684 LWI327683:LWI327684 MGE327683:MGE327684 MQA327683:MQA327684 MZW327683:MZW327684 NJS327683:NJS327684 NTO327683:NTO327684 ODK327683:ODK327684 ONG327683:ONG327684 OXC327683:OXC327684 PGY327683:PGY327684 PQU327683:PQU327684 QAQ327683:QAQ327684 QKM327683:QKM327684 QUI327683:QUI327684 REE327683:REE327684 ROA327683:ROA327684 RXW327683:RXW327684 SHS327683:SHS327684 SRO327683:SRO327684 TBK327683:TBK327684 TLG327683:TLG327684 TVC327683:TVC327684 UEY327683:UEY327684 UOU327683:UOU327684 UYQ327683:UYQ327684 VIM327683:VIM327684 VSI327683:VSI327684 WCE327683:WCE327684 WMA327683:WMA327684 WVW327683:WVW327684 O393219:O393220 JK393219:JK393220 TG393219:TG393220 ADC393219:ADC393220 AMY393219:AMY393220 AWU393219:AWU393220 BGQ393219:BGQ393220 BQM393219:BQM393220 CAI393219:CAI393220 CKE393219:CKE393220 CUA393219:CUA393220 DDW393219:DDW393220 DNS393219:DNS393220 DXO393219:DXO393220 EHK393219:EHK393220 ERG393219:ERG393220 FBC393219:FBC393220 FKY393219:FKY393220 FUU393219:FUU393220 GEQ393219:GEQ393220 GOM393219:GOM393220 GYI393219:GYI393220 HIE393219:HIE393220 HSA393219:HSA393220 IBW393219:IBW393220 ILS393219:ILS393220 IVO393219:IVO393220 JFK393219:JFK393220 JPG393219:JPG393220 JZC393219:JZC393220 KIY393219:KIY393220 KSU393219:KSU393220 LCQ393219:LCQ393220 LMM393219:LMM393220 LWI393219:LWI393220 MGE393219:MGE393220 MQA393219:MQA393220 MZW393219:MZW393220 NJS393219:NJS393220 NTO393219:NTO393220 ODK393219:ODK393220 ONG393219:ONG393220 OXC393219:OXC393220 PGY393219:PGY393220 PQU393219:PQU393220 QAQ393219:QAQ393220 QKM393219:QKM393220 QUI393219:QUI393220 REE393219:REE393220 ROA393219:ROA393220 RXW393219:RXW393220 SHS393219:SHS393220 SRO393219:SRO393220 TBK393219:TBK393220 TLG393219:TLG393220 TVC393219:TVC393220 UEY393219:UEY393220 UOU393219:UOU393220 UYQ393219:UYQ393220 VIM393219:VIM393220 VSI393219:VSI393220 WCE393219:WCE393220 WMA393219:WMA393220 WVW393219:WVW393220 O458755:O458756 JK458755:JK458756 TG458755:TG458756 ADC458755:ADC458756 AMY458755:AMY458756 AWU458755:AWU458756 BGQ458755:BGQ458756 BQM458755:BQM458756 CAI458755:CAI458756 CKE458755:CKE458756 CUA458755:CUA458756 DDW458755:DDW458756 DNS458755:DNS458756 DXO458755:DXO458756 EHK458755:EHK458756 ERG458755:ERG458756 FBC458755:FBC458756 FKY458755:FKY458756 FUU458755:FUU458756 GEQ458755:GEQ458756 GOM458755:GOM458756 GYI458755:GYI458756 HIE458755:HIE458756 HSA458755:HSA458756 IBW458755:IBW458756 ILS458755:ILS458756 IVO458755:IVO458756 JFK458755:JFK458756 JPG458755:JPG458756 JZC458755:JZC458756 KIY458755:KIY458756 KSU458755:KSU458756 LCQ458755:LCQ458756 LMM458755:LMM458756 LWI458755:LWI458756 MGE458755:MGE458756 MQA458755:MQA458756 MZW458755:MZW458756 NJS458755:NJS458756 NTO458755:NTO458756 ODK458755:ODK458756 ONG458755:ONG458756 OXC458755:OXC458756 PGY458755:PGY458756 PQU458755:PQU458756 QAQ458755:QAQ458756 QKM458755:QKM458756 QUI458755:QUI458756 REE458755:REE458756 ROA458755:ROA458756 RXW458755:RXW458756 SHS458755:SHS458756 SRO458755:SRO458756 TBK458755:TBK458756 TLG458755:TLG458756 TVC458755:TVC458756 UEY458755:UEY458756 UOU458755:UOU458756 UYQ458755:UYQ458756 VIM458755:VIM458756 VSI458755:VSI458756 WCE458755:WCE458756 WMA458755:WMA458756 WVW458755:WVW458756 O524291:O524292 JK524291:JK524292 TG524291:TG524292 ADC524291:ADC524292 AMY524291:AMY524292 AWU524291:AWU524292 BGQ524291:BGQ524292 BQM524291:BQM524292 CAI524291:CAI524292 CKE524291:CKE524292 CUA524291:CUA524292 DDW524291:DDW524292 DNS524291:DNS524292 DXO524291:DXO524292 EHK524291:EHK524292 ERG524291:ERG524292 FBC524291:FBC524292 FKY524291:FKY524292 FUU524291:FUU524292 GEQ524291:GEQ524292 GOM524291:GOM524292 GYI524291:GYI524292 HIE524291:HIE524292 HSA524291:HSA524292 IBW524291:IBW524292 ILS524291:ILS524292 IVO524291:IVO524292 JFK524291:JFK524292 JPG524291:JPG524292 JZC524291:JZC524292 KIY524291:KIY524292 KSU524291:KSU524292 LCQ524291:LCQ524292 LMM524291:LMM524292 LWI524291:LWI524292 MGE524291:MGE524292 MQA524291:MQA524292 MZW524291:MZW524292 NJS524291:NJS524292 NTO524291:NTO524292 ODK524291:ODK524292 ONG524291:ONG524292 OXC524291:OXC524292 PGY524291:PGY524292 PQU524291:PQU524292 QAQ524291:QAQ524292 QKM524291:QKM524292 QUI524291:QUI524292 REE524291:REE524292 ROA524291:ROA524292 RXW524291:RXW524292 SHS524291:SHS524292 SRO524291:SRO524292 TBK524291:TBK524292 TLG524291:TLG524292 TVC524291:TVC524292 UEY524291:UEY524292 UOU524291:UOU524292 UYQ524291:UYQ524292 VIM524291:VIM524292 VSI524291:VSI524292 WCE524291:WCE524292 WMA524291:WMA524292 WVW524291:WVW524292 O589827:O589828 JK589827:JK589828 TG589827:TG589828 ADC589827:ADC589828 AMY589827:AMY589828 AWU589827:AWU589828 BGQ589827:BGQ589828 BQM589827:BQM589828 CAI589827:CAI589828 CKE589827:CKE589828 CUA589827:CUA589828 DDW589827:DDW589828 DNS589827:DNS589828 DXO589827:DXO589828 EHK589827:EHK589828 ERG589827:ERG589828 FBC589827:FBC589828 FKY589827:FKY589828 FUU589827:FUU589828 GEQ589827:GEQ589828 GOM589827:GOM589828 GYI589827:GYI589828 HIE589827:HIE589828 HSA589827:HSA589828 IBW589827:IBW589828 ILS589827:ILS589828 IVO589827:IVO589828 JFK589827:JFK589828 JPG589827:JPG589828 JZC589827:JZC589828 KIY589827:KIY589828 KSU589827:KSU589828 LCQ589827:LCQ589828 LMM589827:LMM589828 LWI589827:LWI589828 MGE589827:MGE589828 MQA589827:MQA589828 MZW589827:MZW589828 NJS589827:NJS589828 NTO589827:NTO589828 ODK589827:ODK589828 ONG589827:ONG589828 OXC589827:OXC589828 PGY589827:PGY589828 PQU589827:PQU589828 QAQ589827:QAQ589828 QKM589827:QKM589828 QUI589827:QUI589828 REE589827:REE589828 ROA589827:ROA589828 RXW589827:RXW589828 SHS589827:SHS589828 SRO589827:SRO589828 TBK589827:TBK589828 TLG589827:TLG589828 TVC589827:TVC589828 UEY589827:UEY589828 UOU589827:UOU589828 UYQ589827:UYQ589828 VIM589827:VIM589828 VSI589827:VSI589828 WCE589827:WCE589828 WMA589827:WMA589828 WVW589827:WVW589828 O655363:O655364 JK655363:JK655364 TG655363:TG655364 ADC655363:ADC655364 AMY655363:AMY655364 AWU655363:AWU655364 BGQ655363:BGQ655364 BQM655363:BQM655364 CAI655363:CAI655364 CKE655363:CKE655364 CUA655363:CUA655364 DDW655363:DDW655364 DNS655363:DNS655364 DXO655363:DXO655364 EHK655363:EHK655364 ERG655363:ERG655364 FBC655363:FBC655364 FKY655363:FKY655364 FUU655363:FUU655364 GEQ655363:GEQ655364 GOM655363:GOM655364 GYI655363:GYI655364 HIE655363:HIE655364 HSA655363:HSA655364 IBW655363:IBW655364 ILS655363:ILS655364 IVO655363:IVO655364 JFK655363:JFK655364 JPG655363:JPG655364 JZC655363:JZC655364 KIY655363:KIY655364 KSU655363:KSU655364 LCQ655363:LCQ655364 LMM655363:LMM655364 LWI655363:LWI655364 MGE655363:MGE655364 MQA655363:MQA655364 MZW655363:MZW655364 NJS655363:NJS655364 NTO655363:NTO655364 ODK655363:ODK655364 ONG655363:ONG655364 OXC655363:OXC655364 PGY655363:PGY655364 PQU655363:PQU655364 QAQ655363:QAQ655364 QKM655363:QKM655364 QUI655363:QUI655364 REE655363:REE655364 ROA655363:ROA655364 RXW655363:RXW655364 SHS655363:SHS655364 SRO655363:SRO655364 TBK655363:TBK655364 TLG655363:TLG655364 TVC655363:TVC655364 UEY655363:UEY655364 UOU655363:UOU655364 UYQ655363:UYQ655364 VIM655363:VIM655364 VSI655363:VSI655364 WCE655363:WCE655364 WMA655363:WMA655364 WVW655363:WVW655364 O720899:O720900 JK720899:JK720900 TG720899:TG720900 ADC720899:ADC720900 AMY720899:AMY720900 AWU720899:AWU720900 BGQ720899:BGQ720900 BQM720899:BQM720900 CAI720899:CAI720900 CKE720899:CKE720900 CUA720899:CUA720900 DDW720899:DDW720900 DNS720899:DNS720900 DXO720899:DXO720900 EHK720899:EHK720900 ERG720899:ERG720900 FBC720899:FBC720900 FKY720899:FKY720900 FUU720899:FUU720900 GEQ720899:GEQ720900 GOM720899:GOM720900 GYI720899:GYI720900 HIE720899:HIE720900 HSA720899:HSA720900 IBW720899:IBW720900 ILS720899:ILS720900 IVO720899:IVO720900 JFK720899:JFK720900 JPG720899:JPG720900 JZC720899:JZC720900 KIY720899:KIY720900 KSU720899:KSU720900 LCQ720899:LCQ720900 LMM720899:LMM720900 LWI720899:LWI720900 MGE720899:MGE720900 MQA720899:MQA720900 MZW720899:MZW720900 NJS720899:NJS720900 NTO720899:NTO720900 ODK720899:ODK720900 ONG720899:ONG720900 OXC720899:OXC720900 PGY720899:PGY720900 PQU720899:PQU720900 QAQ720899:QAQ720900 QKM720899:QKM720900 QUI720899:QUI720900 REE720899:REE720900 ROA720899:ROA720900 RXW720899:RXW720900 SHS720899:SHS720900 SRO720899:SRO720900 TBK720899:TBK720900 TLG720899:TLG720900 TVC720899:TVC720900 UEY720899:UEY720900 UOU720899:UOU720900 UYQ720899:UYQ720900 VIM720899:VIM720900 VSI720899:VSI720900 WCE720899:WCE720900 WMA720899:WMA720900 WVW720899:WVW720900 O786435:O786436 JK786435:JK786436 TG786435:TG786436 ADC786435:ADC786436 AMY786435:AMY786436 AWU786435:AWU786436 BGQ786435:BGQ786436 BQM786435:BQM786436 CAI786435:CAI786436 CKE786435:CKE786436 CUA786435:CUA786436 DDW786435:DDW786436 DNS786435:DNS786436 DXO786435:DXO786436 EHK786435:EHK786436 ERG786435:ERG786436 FBC786435:FBC786436 FKY786435:FKY786436 FUU786435:FUU786436 GEQ786435:GEQ786436 GOM786435:GOM786436 GYI786435:GYI786436 HIE786435:HIE786436 HSA786435:HSA786436 IBW786435:IBW786436 ILS786435:ILS786436 IVO786435:IVO786436 JFK786435:JFK786436 JPG786435:JPG786436 JZC786435:JZC786436 KIY786435:KIY786436 KSU786435:KSU786436 LCQ786435:LCQ786436 LMM786435:LMM786436 LWI786435:LWI786436 MGE786435:MGE786436 MQA786435:MQA786436 MZW786435:MZW786436 NJS786435:NJS786436 NTO786435:NTO786436 ODK786435:ODK786436 ONG786435:ONG786436 OXC786435:OXC786436 PGY786435:PGY786436 PQU786435:PQU786436 QAQ786435:QAQ786436 QKM786435:QKM786436 QUI786435:QUI786436 REE786435:REE786436 ROA786435:ROA786436 RXW786435:RXW786436 SHS786435:SHS786436 SRO786435:SRO786436 TBK786435:TBK786436 TLG786435:TLG786436 TVC786435:TVC786436 UEY786435:UEY786436 UOU786435:UOU786436 UYQ786435:UYQ786436 VIM786435:VIM786436 VSI786435:VSI786436 WCE786435:WCE786436 WMA786435:WMA786436 WVW786435:WVW786436 O851971:O851972 JK851971:JK851972 TG851971:TG851972 ADC851971:ADC851972 AMY851971:AMY851972 AWU851971:AWU851972 BGQ851971:BGQ851972 BQM851971:BQM851972 CAI851971:CAI851972 CKE851971:CKE851972 CUA851971:CUA851972 DDW851971:DDW851972 DNS851971:DNS851972 DXO851971:DXO851972 EHK851971:EHK851972 ERG851971:ERG851972 FBC851971:FBC851972 FKY851971:FKY851972 FUU851971:FUU851972 GEQ851971:GEQ851972 GOM851971:GOM851972 GYI851971:GYI851972 HIE851971:HIE851972 HSA851971:HSA851972 IBW851971:IBW851972 ILS851971:ILS851972 IVO851971:IVO851972 JFK851971:JFK851972 JPG851971:JPG851972 JZC851971:JZC851972 KIY851971:KIY851972 KSU851971:KSU851972 LCQ851971:LCQ851972 LMM851971:LMM851972 LWI851971:LWI851972 MGE851971:MGE851972 MQA851971:MQA851972 MZW851971:MZW851972 NJS851971:NJS851972 NTO851971:NTO851972 ODK851971:ODK851972 ONG851971:ONG851972 OXC851971:OXC851972 PGY851971:PGY851972 PQU851971:PQU851972 QAQ851971:QAQ851972 QKM851971:QKM851972 QUI851971:QUI851972 REE851971:REE851972 ROA851971:ROA851972 RXW851971:RXW851972 SHS851971:SHS851972 SRO851971:SRO851972 TBK851971:TBK851972 TLG851971:TLG851972 TVC851971:TVC851972 UEY851971:UEY851972 UOU851971:UOU851972 UYQ851971:UYQ851972 VIM851971:VIM851972 VSI851971:VSI851972 WCE851971:WCE851972 WMA851971:WMA851972 WVW851971:WVW851972 O917507:O917508 JK917507:JK917508 TG917507:TG917508 ADC917507:ADC917508 AMY917507:AMY917508 AWU917507:AWU917508 BGQ917507:BGQ917508 BQM917507:BQM917508 CAI917507:CAI917508 CKE917507:CKE917508 CUA917507:CUA917508 DDW917507:DDW917508 DNS917507:DNS917508 DXO917507:DXO917508 EHK917507:EHK917508 ERG917507:ERG917508 FBC917507:FBC917508 FKY917507:FKY917508 FUU917507:FUU917508 GEQ917507:GEQ917508 GOM917507:GOM917508 GYI917507:GYI917508 HIE917507:HIE917508 HSA917507:HSA917508 IBW917507:IBW917508 ILS917507:ILS917508 IVO917507:IVO917508 JFK917507:JFK917508 JPG917507:JPG917508 JZC917507:JZC917508 KIY917507:KIY917508 KSU917507:KSU917508 LCQ917507:LCQ917508 LMM917507:LMM917508 LWI917507:LWI917508 MGE917507:MGE917508 MQA917507:MQA917508 MZW917507:MZW917508 NJS917507:NJS917508 NTO917507:NTO917508 ODK917507:ODK917508 ONG917507:ONG917508 OXC917507:OXC917508 PGY917507:PGY917508 PQU917507:PQU917508 QAQ917507:QAQ917508 QKM917507:QKM917508 QUI917507:QUI917508 REE917507:REE917508 ROA917507:ROA917508 RXW917507:RXW917508 SHS917507:SHS917508 SRO917507:SRO917508 TBK917507:TBK917508 TLG917507:TLG917508 TVC917507:TVC917508 UEY917507:UEY917508 UOU917507:UOU917508 UYQ917507:UYQ917508 VIM917507:VIM917508 VSI917507:VSI917508 WCE917507:WCE917508 WMA917507:WMA917508 WVW917507:WVW917508 O3:O4 JK3:JK4 TG3:TG4 ADC3:ADC4 AMY3:AMY4 AWU3:AWU4 BGQ3:BGQ4 BQM3:BQM4 CAI3:CAI4 CKE3:CKE4 CUA3:CUA4 DDW3:DDW4 DNS3:DNS4 DXO3:DXO4 EHK3:EHK4 ERG3:ERG4 FBC3:FBC4 FKY3:FKY4 FUU3:FUU4 GEQ3:GEQ4 GOM3:GOM4 GYI3:GYI4 HIE3:HIE4 HSA3:HSA4 IBW3:IBW4 ILS3:ILS4 IVO3:IVO4 JFK3:JFK4 JPG3:JPG4 JZC3:JZC4 KIY3:KIY4 KSU3:KSU4 LCQ3:LCQ4 LMM3:LMM4 LWI3:LWI4 MGE3:MGE4 MQA3:MQA4 MZW3:MZW4 NJS3:NJS4 NTO3:NTO4 ODK3:ODK4 ONG3:ONG4 OXC3:OXC4 PGY3:PGY4 PQU3:PQU4 QAQ3:QAQ4 QKM3:QKM4 QUI3:QUI4 REE3:REE4 ROA3:ROA4 RXW3:RXW4 SHS3:SHS4 SRO3:SRO4 TBK3:TBK4 TLG3:TLG4 TVC3:TVC4 UEY3:UEY4 UOU3:UOU4 UYQ3:UYQ4 VIM3:VIM4 VSI3:VSI4 WCE3:WCE4 WMA3:WMA4 WVW3:WVW4" xr:uid="{00000000-0002-0000-0600-000001000000}"/>
    <dataValidation allowBlank="1" showInputMessage="1" showErrorMessage="1" promptTitle="Future Warehouse Stock Date" prompt="Optionally input a date if you have stock arriving at this warehouse soon and wish to report it to your Retailer." sqref="AS720899:AS720900 KO720899:KO720900 UK720899:UK720900 AEG720899:AEG720900 AOC720899:AOC720900 AXY720899:AXY720900 BHU720899:BHU720900 BRQ720899:BRQ720900 CBM720899:CBM720900 CLI720899:CLI720900 CVE720899:CVE720900 DFA720899:DFA720900 DOW720899:DOW720900 DYS720899:DYS720900 EIO720899:EIO720900 ESK720899:ESK720900 FCG720899:FCG720900 FMC720899:FMC720900 FVY720899:FVY720900 GFU720899:GFU720900 GPQ720899:GPQ720900 GZM720899:GZM720900 HJI720899:HJI720900 HTE720899:HTE720900 IDA720899:IDA720900 IMW720899:IMW720900 IWS720899:IWS720900 JGO720899:JGO720900 JQK720899:JQK720900 KAG720899:KAG720900 KKC720899:KKC720900 KTY720899:KTY720900 LDU720899:LDU720900 LNQ720899:LNQ720900 LXM720899:LXM720900 MHI720899:MHI720900 MRE720899:MRE720900 NBA720899:NBA720900 NKW720899:NKW720900 NUS720899:NUS720900 OEO720899:OEO720900 OOK720899:OOK720900 OYG720899:OYG720900 PIC720899:PIC720900 PRY720899:PRY720900 QBU720899:QBU720900 QLQ720899:QLQ720900 QVM720899:QVM720900 RFI720899:RFI720900 RPE720899:RPE720900 RZA720899:RZA720900 SIW720899:SIW720900 SSS720899:SSS720900 TCO720899:TCO720900 TMK720899:TMK720900 TWG720899:TWG720900 UGC720899:UGC720900 UPY720899:UPY720900 UZU720899:UZU720900 VJQ720899:VJQ720900 VTM720899:VTM720900 WDI720899:WDI720900 WNE720899:WNE720900 WXA720899:WXA720900 AK65539:AK65540 KG65539:KG65540 UC65539:UC65540 ADY65539:ADY65540 ANU65539:ANU65540 AXQ65539:AXQ65540 BHM65539:BHM65540 BRI65539:BRI65540 CBE65539:CBE65540 CLA65539:CLA65540 CUW65539:CUW65540 DES65539:DES65540 DOO65539:DOO65540 DYK65539:DYK65540 EIG65539:EIG65540 ESC65539:ESC65540 FBY65539:FBY65540 FLU65539:FLU65540 FVQ65539:FVQ65540 GFM65539:GFM65540 GPI65539:GPI65540 GZE65539:GZE65540 HJA65539:HJA65540 HSW65539:HSW65540 ICS65539:ICS65540 IMO65539:IMO65540 IWK65539:IWK65540 JGG65539:JGG65540 JQC65539:JQC65540 JZY65539:JZY65540 KJU65539:KJU65540 KTQ65539:KTQ65540 LDM65539:LDM65540 LNI65539:LNI65540 LXE65539:LXE65540 MHA65539:MHA65540 MQW65539:MQW65540 NAS65539:NAS65540 NKO65539:NKO65540 NUK65539:NUK65540 OEG65539:OEG65540 OOC65539:OOC65540 OXY65539:OXY65540 PHU65539:PHU65540 PRQ65539:PRQ65540 QBM65539:QBM65540 QLI65539:QLI65540 QVE65539:QVE65540 RFA65539:RFA65540 ROW65539:ROW65540 RYS65539:RYS65540 SIO65539:SIO65540 SSK65539:SSK65540 TCG65539:TCG65540 TMC65539:TMC65540 TVY65539:TVY65540 UFU65539:UFU65540 UPQ65539:UPQ65540 UZM65539:UZM65540 VJI65539:VJI65540 VTE65539:VTE65540 WDA65539:WDA65540 WMW65539:WMW65540 WWS65539:WWS65540 AK131075:AK131076 KG131075:KG131076 UC131075:UC131076 ADY131075:ADY131076 ANU131075:ANU131076 AXQ131075:AXQ131076 BHM131075:BHM131076 BRI131075:BRI131076 CBE131075:CBE131076 CLA131075:CLA131076 CUW131075:CUW131076 DES131075:DES131076 DOO131075:DOO131076 DYK131075:DYK131076 EIG131075:EIG131076 ESC131075:ESC131076 FBY131075:FBY131076 FLU131075:FLU131076 FVQ131075:FVQ131076 GFM131075:GFM131076 GPI131075:GPI131076 GZE131075:GZE131076 HJA131075:HJA131076 HSW131075:HSW131076 ICS131075:ICS131076 IMO131075:IMO131076 IWK131075:IWK131076 JGG131075:JGG131076 JQC131075:JQC131076 JZY131075:JZY131076 KJU131075:KJU131076 KTQ131075:KTQ131076 LDM131075:LDM131076 LNI131075:LNI131076 LXE131075:LXE131076 MHA131075:MHA131076 MQW131075:MQW131076 NAS131075:NAS131076 NKO131075:NKO131076 NUK131075:NUK131076 OEG131075:OEG131076 OOC131075:OOC131076 OXY131075:OXY131076 PHU131075:PHU131076 PRQ131075:PRQ131076 QBM131075:QBM131076 QLI131075:QLI131076 QVE131075:QVE131076 RFA131075:RFA131076 ROW131075:ROW131076 RYS131075:RYS131076 SIO131075:SIO131076 SSK131075:SSK131076 TCG131075:TCG131076 TMC131075:TMC131076 TVY131075:TVY131076 UFU131075:UFU131076 UPQ131075:UPQ131076 UZM131075:UZM131076 VJI131075:VJI131076 VTE131075:VTE131076 WDA131075:WDA131076 WMW131075:WMW131076 WWS131075:WWS131076 AK196611:AK196612 KG196611:KG196612 UC196611:UC196612 ADY196611:ADY196612 ANU196611:ANU196612 AXQ196611:AXQ196612 BHM196611:BHM196612 BRI196611:BRI196612 CBE196611:CBE196612 CLA196611:CLA196612 CUW196611:CUW196612 DES196611:DES196612 DOO196611:DOO196612 DYK196611:DYK196612 EIG196611:EIG196612 ESC196611:ESC196612 FBY196611:FBY196612 FLU196611:FLU196612 FVQ196611:FVQ196612 GFM196611:GFM196612 GPI196611:GPI196612 GZE196611:GZE196612 HJA196611:HJA196612 HSW196611:HSW196612 ICS196611:ICS196612 IMO196611:IMO196612 IWK196611:IWK196612 JGG196611:JGG196612 JQC196611:JQC196612 JZY196611:JZY196612 KJU196611:KJU196612 KTQ196611:KTQ196612 LDM196611:LDM196612 LNI196611:LNI196612 LXE196611:LXE196612 MHA196611:MHA196612 MQW196611:MQW196612 NAS196611:NAS196612 NKO196611:NKO196612 NUK196611:NUK196612 OEG196611:OEG196612 OOC196611:OOC196612 OXY196611:OXY196612 PHU196611:PHU196612 PRQ196611:PRQ196612 QBM196611:QBM196612 QLI196611:QLI196612 QVE196611:QVE196612 RFA196611:RFA196612 ROW196611:ROW196612 RYS196611:RYS196612 SIO196611:SIO196612 SSK196611:SSK196612 TCG196611:TCG196612 TMC196611:TMC196612 TVY196611:TVY196612 UFU196611:UFU196612 UPQ196611:UPQ196612 UZM196611:UZM196612 VJI196611:VJI196612 VTE196611:VTE196612 WDA196611:WDA196612 WMW196611:WMW196612 WWS196611:WWS196612 AK262147:AK262148 KG262147:KG262148 UC262147:UC262148 ADY262147:ADY262148 ANU262147:ANU262148 AXQ262147:AXQ262148 BHM262147:BHM262148 BRI262147:BRI262148 CBE262147:CBE262148 CLA262147:CLA262148 CUW262147:CUW262148 DES262147:DES262148 DOO262147:DOO262148 DYK262147:DYK262148 EIG262147:EIG262148 ESC262147:ESC262148 FBY262147:FBY262148 FLU262147:FLU262148 FVQ262147:FVQ262148 GFM262147:GFM262148 GPI262147:GPI262148 GZE262147:GZE262148 HJA262147:HJA262148 HSW262147:HSW262148 ICS262147:ICS262148 IMO262147:IMO262148 IWK262147:IWK262148 JGG262147:JGG262148 JQC262147:JQC262148 JZY262147:JZY262148 KJU262147:KJU262148 KTQ262147:KTQ262148 LDM262147:LDM262148 LNI262147:LNI262148 LXE262147:LXE262148 MHA262147:MHA262148 MQW262147:MQW262148 NAS262147:NAS262148 NKO262147:NKO262148 NUK262147:NUK262148 OEG262147:OEG262148 OOC262147:OOC262148 OXY262147:OXY262148 PHU262147:PHU262148 PRQ262147:PRQ262148 QBM262147:QBM262148 QLI262147:QLI262148 QVE262147:QVE262148 RFA262147:RFA262148 ROW262147:ROW262148 RYS262147:RYS262148 SIO262147:SIO262148 SSK262147:SSK262148 TCG262147:TCG262148 TMC262147:TMC262148 TVY262147:TVY262148 UFU262147:UFU262148 UPQ262147:UPQ262148 UZM262147:UZM262148 VJI262147:VJI262148 VTE262147:VTE262148 WDA262147:WDA262148 WMW262147:WMW262148 WWS262147:WWS262148 AK327683:AK327684 KG327683:KG327684 UC327683:UC327684 ADY327683:ADY327684 ANU327683:ANU327684 AXQ327683:AXQ327684 BHM327683:BHM327684 BRI327683:BRI327684 CBE327683:CBE327684 CLA327683:CLA327684 CUW327683:CUW327684 DES327683:DES327684 DOO327683:DOO327684 DYK327683:DYK327684 EIG327683:EIG327684 ESC327683:ESC327684 FBY327683:FBY327684 FLU327683:FLU327684 FVQ327683:FVQ327684 GFM327683:GFM327684 GPI327683:GPI327684 GZE327683:GZE327684 HJA327683:HJA327684 HSW327683:HSW327684 ICS327683:ICS327684 IMO327683:IMO327684 IWK327683:IWK327684 JGG327683:JGG327684 JQC327683:JQC327684 JZY327683:JZY327684 KJU327683:KJU327684 KTQ327683:KTQ327684 LDM327683:LDM327684 LNI327683:LNI327684 LXE327683:LXE327684 MHA327683:MHA327684 MQW327683:MQW327684 NAS327683:NAS327684 NKO327683:NKO327684 NUK327683:NUK327684 OEG327683:OEG327684 OOC327683:OOC327684 OXY327683:OXY327684 PHU327683:PHU327684 PRQ327683:PRQ327684 QBM327683:QBM327684 QLI327683:QLI327684 QVE327683:QVE327684 RFA327683:RFA327684 ROW327683:ROW327684 RYS327683:RYS327684 SIO327683:SIO327684 SSK327683:SSK327684 TCG327683:TCG327684 TMC327683:TMC327684 TVY327683:TVY327684 UFU327683:UFU327684 UPQ327683:UPQ327684 UZM327683:UZM327684 VJI327683:VJI327684 VTE327683:VTE327684 WDA327683:WDA327684 WMW327683:WMW327684 WWS327683:WWS327684 AK393219:AK393220 KG393219:KG393220 UC393219:UC393220 ADY393219:ADY393220 ANU393219:ANU393220 AXQ393219:AXQ393220 BHM393219:BHM393220 BRI393219:BRI393220 CBE393219:CBE393220 CLA393219:CLA393220 CUW393219:CUW393220 DES393219:DES393220 DOO393219:DOO393220 DYK393219:DYK393220 EIG393219:EIG393220 ESC393219:ESC393220 FBY393219:FBY393220 FLU393219:FLU393220 FVQ393219:FVQ393220 GFM393219:GFM393220 GPI393219:GPI393220 GZE393219:GZE393220 HJA393219:HJA393220 HSW393219:HSW393220 ICS393219:ICS393220 IMO393219:IMO393220 IWK393219:IWK393220 JGG393219:JGG393220 JQC393219:JQC393220 JZY393219:JZY393220 KJU393219:KJU393220 KTQ393219:KTQ393220 LDM393219:LDM393220 LNI393219:LNI393220 LXE393219:LXE393220 MHA393219:MHA393220 MQW393219:MQW393220 NAS393219:NAS393220 NKO393219:NKO393220 NUK393219:NUK393220 OEG393219:OEG393220 OOC393219:OOC393220 OXY393219:OXY393220 PHU393219:PHU393220 PRQ393219:PRQ393220 QBM393219:QBM393220 QLI393219:QLI393220 QVE393219:QVE393220 RFA393219:RFA393220 ROW393219:ROW393220 RYS393219:RYS393220 SIO393219:SIO393220 SSK393219:SSK393220 TCG393219:TCG393220 TMC393219:TMC393220 TVY393219:TVY393220 UFU393219:UFU393220 UPQ393219:UPQ393220 UZM393219:UZM393220 VJI393219:VJI393220 VTE393219:VTE393220 WDA393219:WDA393220 WMW393219:WMW393220 WWS393219:WWS393220 AK458755:AK458756 KG458755:KG458756 UC458755:UC458756 ADY458755:ADY458756 ANU458755:ANU458756 AXQ458755:AXQ458756 BHM458755:BHM458756 BRI458755:BRI458756 CBE458755:CBE458756 CLA458755:CLA458756 CUW458755:CUW458756 DES458755:DES458756 DOO458755:DOO458756 DYK458755:DYK458756 EIG458755:EIG458756 ESC458755:ESC458756 FBY458755:FBY458756 FLU458755:FLU458756 FVQ458755:FVQ458756 GFM458755:GFM458756 GPI458755:GPI458756 GZE458755:GZE458756 HJA458755:HJA458756 HSW458755:HSW458756 ICS458755:ICS458756 IMO458755:IMO458756 IWK458755:IWK458756 JGG458755:JGG458756 JQC458755:JQC458756 JZY458755:JZY458756 KJU458755:KJU458756 KTQ458755:KTQ458756 LDM458755:LDM458756 LNI458755:LNI458756 LXE458755:LXE458756 MHA458755:MHA458756 MQW458755:MQW458756 NAS458755:NAS458756 NKO458755:NKO458756 NUK458755:NUK458756 OEG458755:OEG458756 OOC458755:OOC458756 OXY458755:OXY458756 PHU458755:PHU458756 PRQ458755:PRQ458756 QBM458755:QBM458756 QLI458755:QLI458756 QVE458755:QVE458756 RFA458755:RFA458756 ROW458755:ROW458756 RYS458755:RYS458756 SIO458755:SIO458756 SSK458755:SSK458756 TCG458755:TCG458756 TMC458755:TMC458756 TVY458755:TVY458756 UFU458755:UFU458756 UPQ458755:UPQ458756 UZM458755:UZM458756 VJI458755:VJI458756 VTE458755:VTE458756 WDA458755:WDA458756 WMW458755:WMW458756 WWS458755:WWS458756 AK524291:AK524292 KG524291:KG524292 UC524291:UC524292 ADY524291:ADY524292 ANU524291:ANU524292 AXQ524291:AXQ524292 BHM524291:BHM524292 BRI524291:BRI524292 CBE524291:CBE524292 CLA524291:CLA524292 CUW524291:CUW524292 DES524291:DES524292 DOO524291:DOO524292 DYK524291:DYK524292 EIG524291:EIG524292 ESC524291:ESC524292 FBY524291:FBY524292 FLU524291:FLU524292 FVQ524291:FVQ524292 GFM524291:GFM524292 GPI524291:GPI524292 GZE524291:GZE524292 HJA524291:HJA524292 HSW524291:HSW524292 ICS524291:ICS524292 IMO524291:IMO524292 IWK524291:IWK524292 JGG524291:JGG524292 JQC524291:JQC524292 JZY524291:JZY524292 KJU524291:KJU524292 KTQ524291:KTQ524292 LDM524291:LDM524292 LNI524291:LNI524292 LXE524291:LXE524292 MHA524291:MHA524292 MQW524291:MQW524292 NAS524291:NAS524292 NKO524291:NKO524292 NUK524291:NUK524292 OEG524291:OEG524292 OOC524291:OOC524292 OXY524291:OXY524292 PHU524291:PHU524292 PRQ524291:PRQ524292 QBM524291:QBM524292 QLI524291:QLI524292 QVE524291:QVE524292 RFA524291:RFA524292 ROW524291:ROW524292 RYS524291:RYS524292 SIO524291:SIO524292 SSK524291:SSK524292 TCG524291:TCG524292 TMC524291:TMC524292 TVY524291:TVY524292 UFU524291:UFU524292 UPQ524291:UPQ524292 UZM524291:UZM524292 VJI524291:VJI524292 VTE524291:VTE524292 WDA524291:WDA524292 WMW524291:WMW524292 WWS524291:WWS524292 AK589827:AK589828 KG589827:KG589828 UC589827:UC589828 ADY589827:ADY589828 ANU589827:ANU589828 AXQ589827:AXQ589828 BHM589827:BHM589828 BRI589827:BRI589828 CBE589827:CBE589828 CLA589827:CLA589828 CUW589827:CUW589828 DES589827:DES589828 DOO589827:DOO589828 DYK589827:DYK589828 EIG589827:EIG589828 ESC589827:ESC589828 FBY589827:FBY589828 FLU589827:FLU589828 FVQ589827:FVQ589828 GFM589827:GFM589828 GPI589827:GPI589828 GZE589827:GZE589828 HJA589827:HJA589828 HSW589827:HSW589828 ICS589827:ICS589828 IMO589827:IMO589828 IWK589827:IWK589828 JGG589827:JGG589828 JQC589827:JQC589828 JZY589827:JZY589828 KJU589827:KJU589828 KTQ589827:KTQ589828 LDM589827:LDM589828 LNI589827:LNI589828 LXE589827:LXE589828 MHA589827:MHA589828 MQW589827:MQW589828 NAS589827:NAS589828 NKO589827:NKO589828 NUK589827:NUK589828 OEG589827:OEG589828 OOC589827:OOC589828 OXY589827:OXY589828 PHU589827:PHU589828 PRQ589827:PRQ589828 QBM589827:QBM589828 QLI589827:QLI589828 QVE589827:QVE589828 RFA589827:RFA589828 ROW589827:ROW589828 RYS589827:RYS589828 SIO589827:SIO589828 SSK589827:SSK589828 TCG589827:TCG589828 TMC589827:TMC589828 TVY589827:TVY589828 UFU589827:UFU589828 UPQ589827:UPQ589828 UZM589827:UZM589828 VJI589827:VJI589828 VTE589827:VTE589828 WDA589827:WDA589828 WMW589827:WMW589828 WWS589827:WWS589828 AK655363:AK655364 KG655363:KG655364 UC655363:UC655364 ADY655363:ADY655364 ANU655363:ANU655364 AXQ655363:AXQ655364 BHM655363:BHM655364 BRI655363:BRI655364 CBE655363:CBE655364 CLA655363:CLA655364 CUW655363:CUW655364 DES655363:DES655364 DOO655363:DOO655364 DYK655363:DYK655364 EIG655363:EIG655364 ESC655363:ESC655364 FBY655363:FBY655364 FLU655363:FLU655364 FVQ655363:FVQ655364 GFM655363:GFM655364 GPI655363:GPI655364 GZE655363:GZE655364 HJA655363:HJA655364 HSW655363:HSW655364 ICS655363:ICS655364 IMO655363:IMO655364 IWK655363:IWK655364 JGG655363:JGG655364 JQC655363:JQC655364 JZY655363:JZY655364 KJU655363:KJU655364 KTQ655363:KTQ655364 LDM655363:LDM655364 LNI655363:LNI655364 LXE655363:LXE655364 MHA655363:MHA655364 MQW655363:MQW655364 NAS655363:NAS655364 NKO655363:NKO655364 NUK655363:NUK655364 OEG655363:OEG655364 OOC655363:OOC655364 OXY655363:OXY655364 PHU655363:PHU655364 PRQ655363:PRQ655364 QBM655363:QBM655364 QLI655363:QLI655364 QVE655363:QVE655364 RFA655363:RFA655364 ROW655363:ROW655364 RYS655363:RYS655364 SIO655363:SIO655364 SSK655363:SSK655364 TCG655363:TCG655364 TMC655363:TMC655364 TVY655363:TVY655364 UFU655363:UFU655364 UPQ655363:UPQ655364 UZM655363:UZM655364 VJI655363:VJI655364 VTE655363:VTE655364 WDA655363:WDA655364 WMW655363:WMW655364 WWS655363:WWS655364 AK720899:AK720900 KG720899:KG720900 UC720899:UC720900 ADY720899:ADY720900 ANU720899:ANU720900 AXQ720899:AXQ720900 BHM720899:BHM720900 BRI720899:BRI720900 CBE720899:CBE720900 CLA720899:CLA720900 CUW720899:CUW720900 DES720899:DES720900 DOO720899:DOO720900 DYK720899:DYK720900 EIG720899:EIG720900 ESC720899:ESC720900 FBY720899:FBY720900 FLU720899:FLU720900 FVQ720899:FVQ720900 GFM720899:GFM720900 GPI720899:GPI720900 GZE720899:GZE720900 HJA720899:HJA720900 HSW720899:HSW720900 ICS720899:ICS720900 IMO720899:IMO720900 IWK720899:IWK720900 JGG720899:JGG720900 JQC720899:JQC720900 JZY720899:JZY720900 KJU720899:KJU720900 KTQ720899:KTQ720900 LDM720899:LDM720900 LNI720899:LNI720900 LXE720899:LXE720900 MHA720899:MHA720900 MQW720899:MQW720900 NAS720899:NAS720900 NKO720899:NKO720900 NUK720899:NUK720900 OEG720899:OEG720900 OOC720899:OOC720900 OXY720899:OXY720900 PHU720899:PHU720900 PRQ720899:PRQ720900 QBM720899:QBM720900 QLI720899:QLI720900 QVE720899:QVE720900 RFA720899:RFA720900 ROW720899:ROW720900 RYS720899:RYS720900 SIO720899:SIO720900 SSK720899:SSK720900 TCG720899:TCG720900 TMC720899:TMC720900 TVY720899:TVY720900 UFU720899:UFU720900 UPQ720899:UPQ720900 UZM720899:UZM720900 VJI720899:VJI720900 VTE720899:VTE720900 WDA720899:WDA720900 WMW720899:WMW720900 WWS720899:WWS720900 AK786435:AK786436 KG786435:KG786436 UC786435:UC786436 ADY786435:ADY786436 ANU786435:ANU786436 AXQ786435:AXQ786436 BHM786435:BHM786436 BRI786435:BRI786436 CBE786435:CBE786436 CLA786435:CLA786436 CUW786435:CUW786436 DES786435:DES786436 DOO786435:DOO786436 DYK786435:DYK786436 EIG786435:EIG786436 ESC786435:ESC786436 FBY786435:FBY786436 FLU786435:FLU786436 FVQ786435:FVQ786436 GFM786435:GFM786436 GPI786435:GPI786436 GZE786435:GZE786436 HJA786435:HJA786436 HSW786435:HSW786436 ICS786435:ICS786436 IMO786435:IMO786436 IWK786435:IWK786436 JGG786435:JGG786436 JQC786435:JQC786436 JZY786435:JZY786436 KJU786435:KJU786436 KTQ786435:KTQ786436 LDM786435:LDM786436 LNI786435:LNI786436 LXE786435:LXE786436 MHA786435:MHA786436 MQW786435:MQW786436 NAS786435:NAS786436 NKO786435:NKO786436 NUK786435:NUK786436 OEG786435:OEG786436 OOC786435:OOC786436 OXY786435:OXY786436 PHU786435:PHU786436 PRQ786435:PRQ786436 QBM786435:QBM786436 QLI786435:QLI786436 QVE786435:QVE786436 RFA786435:RFA786436 ROW786435:ROW786436 RYS786435:RYS786436 SIO786435:SIO786436 SSK786435:SSK786436 TCG786435:TCG786436 TMC786435:TMC786436 TVY786435:TVY786436 UFU786435:UFU786436 UPQ786435:UPQ786436 UZM786435:UZM786436 VJI786435:VJI786436 VTE786435:VTE786436 WDA786435:WDA786436 WMW786435:WMW786436 WWS786435:WWS786436 AK851971:AK851972 KG851971:KG851972 UC851971:UC851972 ADY851971:ADY851972 ANU851971:ANU851972 AXQ851971:AXQ851972 BHM851971:BHM851972 BRI851971:BRI851972 CBE851971:CBE851972 CLA851971:CLA851972 CUW851971:CUW851972 DES851971:DES851972 DOO851971:DOO851972 DYK851971:DYK851972 EIG851971:EIG851972 ESC851971:ESC851972 FBY851971:FBY851972 FLU851971:FLU851972 FVQ851971:FVQ851972 GFM851971:GFM851972 GPI851971:GPI851972 GZE851971:GZE851972 HJA851971:HJA851972 HSW851971:HSW851972 ICS851971:ICS851972 IMO851971:IMO851972 IWK851971:IWK851972 JGG851971:JGG851972 JQC851971:JQC851972 JZY851971:JZY851972 KJU851971:KJU851972 KTQ851971:KTQ851972 LDM851971:LDM851972 LNI851971:LNI851972 LXE851971:LXE851972 MHA851971:MHA851972 MQW851971:MQW851972 NAS851971:NAS851972 NKO851971:NKO851972 NUK851971:NUK851972 OEG851971:OEG851972 OOC851971:OOC851972 OXY851971:OXY851972 PHU851971:PHU851972 PRQ851971:PRQ851972 QBM851971:QBM851972 QLI851971:QLI851972 QVE851971:QVE851972 RFA851971:RFA851972 ROW851971:ROW851972 RYS851971:RYS851972 SIO851971:SIO851972 SSK851971:SSK851972 TCG851971:TCG851972 TMC851971:TMC851972 TVY851971:TVY851972 UFU851971:UFU851972 UPQ851971:UPQ851972 UZM851971:UZM851972 VJI851971:VJI851972 VTE851971:VTE851972 WDA851971:WDA851972 WMW851971:WMW851972 WWS851971:WWS851972 AK917507:AK917508 KG917507:KG917508 UC917507:UC917508 ADY917507:ADY917508 ANU917507:ANU917508 AXQ917507:AXQ917508 BHM917507:BHM917508 BRI917507:BRI917508 CBE917507:CBE917508 CLA917507:CLA917508 CUW917507:CUW917508 DES917507:DES917508 DOO917507:DOO917508 DYK917507:DYK917508 EIG917507:EIG917508 ESC917507:ESC917508 FBY917507:FBY917508 FLU917507:FLU917508 FVQ917507:FVQ917508 GFM917507:GFM917508 GPI917507:GPI917508 GZE917507:GZE917508 HJA917507:HJA917508 HSW917507:HSW917508 ICS917507:ICS917508 IMO917507:IMO917508 IWK917507:IWK917508 JGG917507:JGG917508 JQC917507:JQC917508 JZY917507:JZY917508 KJU917507:KJU917508 KTQ917507:KTQ917508 LDM917507:LDM917508 LNI917507:LNI917508 LXE917507:LXE917508 MHA917507:MHA917508 MQW917507:MQW917508 NAS917507:NAS917508 NKO917507:NKO917508 NUK917507:NUK917508 OEG917507:OEG917508 OOC917507:OOC917508 OXY917507:OXY917508 PHU917507:PHU917508 PRQ917507:PRQ917508 QBM917507:QBM917508 QLI917507:QLI917508 QVE917507:QVE917508 RFA917507:RFA917508 ROW917507:ROW917508 RYS917507:RYS917508 SIO917507:SIO917508 SSK917507:SSK917508 TCG917507:TCG917508 TMC917507:TMC917508 TVY917507:TVY917508 UFU917507:UFU917508 UPQ917507:UPQ917508 UZM917507:UZM917508 VJI917507:VJI917508 VTE917507:VTE917508 WDA917507:WDA917508 WMW917507:WMW917508 WWS917507:WWS917508 AK983043:AK983044 KG983043:KG983044 UC983043:UC983044 ADY983043:ADY983044 ANU983043:ANU983044 AXQ983043:AXQ983044 BHM983043:BHM983044 BRI983043:BRI983044 CBE983043:CBE983044 CLA983043:CLA983044 CUW983043:CUW983044 DES983043:DES983044 DOO983043:DOO983044 DYK983043:DYK983044 EIG983043:EIG983044 ESC983043:ESC983044 FBY983043:FBY983044 FLU983043:FLU983044 FVQ983043:FVQ983044 GFM983043:GFM983044 GPI983043:GPI983044 GZE983043:GZE983044 HJA983043:HJA983044 HSW983043:HSW983044 ICS983043:ICS983044 IMO983043:IMO983044 IWK983043:IWK983044 JGG983043:JGG983044 JQC983043:JQC983044 JZY983043:JZY983044 KJU983043:KJU983044 KTQ983043:KTQ983044 LDM983043:LDM983044 LNI983043:LNI983044 LXE983043:LXE983044 MHA983043:MHA983044 MQW983043:MQW983044 NAS983043:NAS983044 NKO983043:NKO983044 NUK983043:NUK983044 OEG983043:OEG983044 OOC983043:OOC983044 OXY983043:OXY983044 PHU983043:PHU983044 PRQ983043:PRQ983044 QBM983043:QBM983044 QLI983043:QLI983044 QVE983043:QVE983044 RFA983043:RFA983044 ROW983043:ROW983044 RYS983043:RYS983044 SIO983043:SIO983044 SSK983043:SSK983044 TCG983043:TCG983044 TMC983043:TMC983044 TVY983043:TVY983044 UFU983043:UFU983044 UPQ983043:UPQ983044 UZM983043:UZM983044 VJI983043:VJI983044 VTE983043:VTE983044 WDA983043:WDA983044 WMW983043:WMW983044 WWS983043:WWS983044 AS786435:AS786436 KO786435:KO786436 UK786435:UK786436 AEG786435:AEG786436 AOC786435:AOC786436 AXY786435:AXY786436 BHU786435:BHU786436 BRQ786435:BRQ786436 CBM786435:CBM786436 CLI786435:CLI786436 CVE786435:CVE786436 DFA786435:DFA786436 DOW786435:DOW786436 DYS786435:DYS786436 EIO786435:EIO786436 ESK786435:ESK786436 FCG786435:FCG786436 FMC786435:FMC786436 FVY786435:FVY786436 GFU786435:GFU786436 GPQ786435:GPQ786436 GZM786435:GZM786436 HJI786435:HJI786436 HTE786435:HTE786436 IDA786435:IDA786436 IMW786435:IMW786436 IWS786435:IWS786436 JGO786435:JGO786436 JQK786435:JQK786436 KAG786435:KAG786436 KKC786435:KKC786436 KTY786435:KTY786436 LDU786435:LDU786436 LNQ786435:LNQ786436 LXM786435:LXM786436 MHI786435:MHI786436 MRE786435:MRE786436 NBA786435:NBA786436 NKW786435:NKW786436 NUS786435:NUS786436 OEO786435:OEO786436 OOK786435:OOK786436 OYG786435:OYG786436 PIC786435:PIC786436 PRY786435:PRY786436 QBU786435:QBU786436 QLQ786435:QLQ786436 QVM786435:QVM786436 RFI786435:RFI786436 RPE786435:RPE786436 RZA786435:RZA786436 SIW786435:SIW786436 SSS786435:SSS786436 TCO786435:TCO786436 TMK786435:TMK786436 TWG786435:TWG786436 UGC786435:UGC786436 UPY786435:UPY786436 UZU786435:UZU786436 VJQ786435:VJQ786436 VTM786435:VTM786436 WDI786435:WDI786436 WNE786435:WNE786436 WXA786435:WXA786436 AO65539:AO65540 KK65539:KK65540 UG65539:UG65540 AEC65539:AEC65540 ANY65539:ANY65540 AXU65539:AXU65540 BHQ65539:BHQ65540 BRM65539:BRM65540 CBI65539:CBI65540 CLE65539:CLE65540 CVA65539:CVA65540 DEW65539:DEW65540 DOS65539:DOS65540 DYO65539:DYO65540 EIK65539:EIK65540 ESG65539:ESG65540 FCC65539:FCC65540 FLY65539:FLY65540 FVU65539:FVU65540 GFQ65539:GFQ65540 GPM65539:GPM65540 GZI65539:GZI65540 HJE65539:HJE65540 HTA65539:HTA65540 ICW65539:ICW65540 IMS65539:IMS65540 IWO65539:IWO65540 JGK65539:JGK65540 JQG65539:JQG65540 KAC65539:KAC65540 KJY65539:KJY65540 KTU65539:KTU65540 LDQ65539:LDQ65540 LNM65539:LNM65540 LXI65539:LXI65540 MHE65539:MHE65540 MRA65539:MRA65540 NAW65539:NAW65540 NKS65539:NKS65540 NUO65539:NUO65540 OEK65539:OEK65540 OOG65539:OOG65540 OYC65539:OYC65540 PHY65539:PHY65540 PRU65539:PRU65540 QBQ65539:QBQ65540 QLM65539:QLM65540 QVI65539:QVI65540 RFE65539:RFE65540 RPA65539:RPA65540 RYW65539:RYW65540 SIS65539:SIS65540 SSO65539:SSO65540 TCK65539:TCK65540 TMG65539:TMG65540 TWC65539:TWC65540 UFY65539:UFY65540 UPU65539:UPU65540 UZQ65539:UZQ65540 VJM65539:VJM65540 VTI65539:VTI65540 WDE65539:WDE65540 WNA65539:WNA65540 WWW65539:WWW65540 AO131075:AO131076 KK131075:KK131076 UG131075:UG131076 AEC131075:AEC131076 ANY131075:ANY131076 AXU131075:AXU131076 BHQ131075:BHQ131076 BRM131075:BRM131076 CBI131075:CBI131076 CLE131075:CLE131076 CVA131075:CVA131076 DEW131075:DEW131076 DOS131075:DOS131076 DYO131075:DYO131076 EIK131075:EIK131076 ESG131075:ESG131076 FCC131075:FCC131076 FLY131075:FLY131076 FVU131075:FVU131076 GFQ131075:GFQ131076 GPM131075:GPM131076 GZI131075:GZI131076 HJE131075:HJE131076 HTA131075:HTA131076 ICW131075:ICW131076 IMS131075:IMS131076 IWO131075:IWO131076 JGK131075:JGK131076 JQG131075:JQG131076 KAC131075:KAC131076 KJY131075:KJY131076 KTU131075:KTU131076 LDQ131075:LDQ131076 LNM131075:LNM131076 LXI131075:LXI131076 MHE131075:MHE131076 MRA131075:MRA131076 NAW131075:NAW131076 NKS131075:NKS131076 NUO131075:NUO131076 OEK131075:OEK131076 OOG131075:OOG131076 OYC131075:OYC131076 PHY131075:PHY131076 PRU131075:PRU131076 QBQ131075:QBQ131076 QLM131075:QLM131076 QVI131075:QVI131076 RFE131075:RFE131076 RPA131075:RPA131076 RYW131075:RYW131076 SIS131075:SIS131076 SSO131075:SSO131076 TCK131075:TCK131076 TMG131075:TMG131076 TWC131075:TWC131076 UFY131075:UFY131076 UPU131075:UPU131076 UZQ131075:UZQ131076 VJM131075:VJM131076 VTI131075:VTI131076 WDE131075:WDE131076 WNA131075:WNA131076 WWW131075:WWW131076 AO196611:AO196612 KK196611:KK196612 UG196611:UG196612 AEC196611:AEC196612 ANY196611:ANY196612 AXU196611:AXU196612 BHQ196611:BHQ196612 BRM196611:BRM196612 CBI196611:CBI196612 CLE196611:CLE196612 CVA196611:CVA196612 DEW196611:DEW196612 DOS196611:DOS196612 DYO196611:DYO196612 EIK196611:EIK196612 ESG196611:ESG196612 FCC196611:FCC196612 FLY196611:FLY196612 FVU196611:FVU196612 GFQ196611:GFQ196612 GPM196611:GPM196612 GZI196611:GZI196612 HJE196611:HJE196612 HTA196611:HTA196612 ICW196611:ICW196612 IMS196611:IMS196612 IWO196611:IWO196612 JGK196611:JGK196612 JQG196611:JQG196612 KAC196611:KAC196612 KJY196611:KJY196612 KTU196611:KTU196612 LDQ196611:LDQ196612 LNM196611:LNM196612 LXI196611:LXI196612 MHE196611:MHE196612 MRA196611:MRA196612 NAW196611:NAW196612 NKS196611:NKS196612 NUO196611:NUO196612 OEK196611:OEK196612 OOG196611:OOG196612 OYC196611:OYC196612 PHY196611:PHY196612 PRU196611:PRU196612 QBQ196611:QBQ196612 QLM196611:QLM196612 QVI196611:QVI196612 RFE196611:RFE196612 RPA196611:RPA196612 RYW196611:RYW196612 SIS196611:SIS196612 SSO196611:SSO196612 TCK196611:TCK196612 TMG196611:TMG196612 TWC196611:TWC196612 UFY196611:UFY196612 UPU196611:UPU196612 UZQ196611:UZQ196612 VJM196611:VJM196612 VTI196611:VTI196612 WDE196611:WDE196612 WNA196611:WNA196612 WWW196611:WWW196612 AO262147:AO262148 KK262147:KK262148 UG262147:UG262148 AEC262147:AEC262148 ANY262147:ANY262148 AXU262147:AXU262148 BHQ262147:BHQ262148 BRM262147:BRM262148 CBI262147:CBI262148 CLE262147:CLE262148 CVA262147:CVA262148 DEW262147:DEW262148 DOS262147:DOS262148 DYO262147:DYO262148 EIK262147:EIK262148 ESG262147:ESG262148 FCC262147:FCC262148 FLY262147:FLY262148 FVU262147:FVU262148 GFQ262147:GFQ262148 GPM262147:GPM262148 GZI262147:GZI262148 HJE262147:HJE262148 HTA262147:HTA262148 ICW262147:ICW262148 IMS262147:IMS262148 IWO262147:IWO262148 JGK262147:JGK262148 JQG262147:JQG262148 KAC262147:KAC262148 KJY262147:KJY262148 KTU262147:KTU262148 LDQ262147:LDQ262148 LNM262147:LNM262148 LXI262147:LXI262148 MHE262147:MHE262148 MRA262147:MRA262148 NAW262147:NAW262148 NKS262147:NKS262148 NUO262147:NUO262148 OEK262147:OEK262148 OOG262147:OOG262148 OYC262147:OYC262148 PHY262147:PHY262148 PRU262147:PRU262148 QBQ262147:QBQ262148 QLM262147:QLM262148 QVI262147:QVI262148 RFE262147:RFE262148 RPA262147:RPA262148 RYW262147:RYW262148 SIS262147:SIS262148 SSO262147:SSO262148 TCK262147:TCK262148 TMG262147:TMG262148 TWC262147:TWC262148 UFY262147:UFY262148 UPU262147:UPU262148 UZQ262147:UZQ262148 VJM262147:VJM262148 VTI262147:VTI262148 WDE262147:WDE262148 WNA262147:WNA262148 WWW262147:WWW262148 AO327683:AO327684 KK327683:KK327684 UG327683:UG327684 AEC327683:AEC327684 ANY327683:ANY327684 AXU327683:AXU327684 BHQ327683:BHQ327684 BRM327683:BRM327684 CBI327683:CBI327684 CLE327683:CLE327684 CVA327683:CVA327684 DEW327683:DEW327684 DOS327683:DOS327684 DYO327683:DYO327684 EIK327683:EIK327684 ESG327683:ESG327684 FCC327683:FCC327684 FLY327683:FLY327684 FVU327683:FVU327684 GFQ327683:GFQ327684 GPM327683:GPM327684 GZI327683:GZI327684 HJE327683:HJE327684 HTA327683:HTA327684 ICW327683:ICW327684 IMS327683:IMS327684 IWO327683:IWO327684 JGK327683:JGK327684 JQG327683:JQG327684 KAC327683:KAC327684 KJY327683:KJY327684 KTU327683:KTU327684 LDQ327683:LDQ327684 LNM327683:LNM327684 LXI327683:LXI327684 MHE327683:MHE327684 MRA327683:MRA327684 NAW327683:NAW327684 NKS327683:NKS327684 NUO327683:NUO327684 OEK327683:OEK327684 OOG327683:OOG327684 OYC327683:OYC327684 PHY327683:PHY327684 PRU327683:PRU327684 QBQ327683:QBQ327684 QLM327683:QLM327684 QVI327683:QVI327684 RFE327683:RFE327684 RPA327683:RPA327684 RYW327683:RYW327684 SIS327683:SIS327684 SSO327683:SSO327684 TCK327683:TCK327684 TMG327683:TMG327684 TWC327683:TWC327684 UFY327683:UFY327684 UPU327683:UPU327684 UZQ327683:UZQ327684 VJM327683:VJM327684 VTI327683:VTI327684 WDE327683:WDE327684 WNA327683:WNA327684 WWW327683:WWW327684 AO393219:AO393220 KK393219:KK393220 UG393219:UG393220 AEC393219:AEC393220 ANY393219:ANY393220 AXU393219:AXU393220 BHQ393219:BHQ393220 BRM393219:BRM393220 CBI393219:CBI393220 CLE393219:CLE393220 CVA393219:CVA393220 DEW393219:DEW393220 DOS393219:DOS393220 DYO393219:DYO393220 EIK393219:EIK393220 ESG393219:ESG393220 FCC393219:FCC393220 FLY393219:FLY393220 FVU393219:FVU393220 GFQ393219:GFQ393220 GPM393219:GPM393220 GZI393219:GZI393220 HJE393219:HJE393220 HTA393219:HTA393220 ICW393219:ICW393220 IMS393219:IMS393220 IWO393219:IWO393220 JGK393219:JGK393220 JQG393219:JQG393220 KAC393219:KAC393220 KJY393219:KJY393220 KTU393219:KTU393220 LDQ393219:LDQ393220 LNM393219:LNM393220 LXI393219:LXI393220 MHE393219:MHE393220 MRA393219:MRA393220 NAW393219:NAW393220 NKS393219:NKS393220 NUO393219:NUO393220 OEK393219:OEK393220 OOG393219:OOG393220 OYC393219:OYC393220 PHY393219:PHY393220 PRU393219:PRU393220 QBQ393219:QBQ393220 QLM393219:QLM393220 QVI393219:QVI393220 RFE393219:RFE393220 RPA393219:RPA393220 RYW393219:RYW393220 SIS393219:SIS393220 SSO393219:SSO393220 TCK393219:TCK393220 TMG393219:TMG393220 TWC393219:TWC393220 UFY393219:UFY393220 UPU393219:UPU393220 UZQ393219:UZQ393220 VJM393219:VJM393220 VTI393219:VTI393220 WDE393219:WDE393220 WNA393219:WNA393220 WWW393219:WWW393220 AO458755:AO458756 KK458755:KK458756 UG458755:UG458756 AEC458755:AEC458756 ANY458755:ANY458756 AXU458755:AXU458756 BHQ458755:BHQ458756 BRM458755:BRM458756 CBI458755:CBI458756 CLE458755:CLE458756 CVA458755:CVA458756 DEW458755:DEW458756 DOS458755:DOS458756 DYO458755:DYO458756 EIK458755:EIK458756 ESG458755:ESG458756 FCC458755:FCC458756 FLY458755:FLY458756 FVU458755:FVU458756 GFQ458755:GFQ458756 GPM458755:GPM458756 GZI458755:GZI458756 HJE458755:HJE458756 HTA458755:HTA458756 ICW458755:ICW458756 IMS458755:IMS458756 IWO458755:IWO458756 JGK458755:JGK458756 JQG458755:JQG458756 KAC458755:KAC458756 KJY458755:KJY458756 KTU458755:KTU458756 LDQ458755:LDQ458756 LNM458755:LNM458756 LXI458755:LXI458756 MHE458755:MHE458756 MRA458755:MRA458756 NAW458755:NAW458756 NKS458755:NKS458756 NUO458755:NUO458756 OEK458755:OEK458756 OOG458755:OOG458756 OYC458755:OYC458756 PHY458755:PHY458756 PRU458755:PRU458756 QBQ458755:QBQ458756 QLM458755:QLM458756 QVI458755:QVI458756 RFE458755:RFE458756 RPA458755:RPA458756 RYW458755:RYW458756 SIS458755:SIS458756 SSO458755:SSO458756 TCK458755:TCK458756 TMG458755:TMG458756 TWC458755:TWC458756 UFY458755:UFY458756 UPU458755:UPU458756 UZQ458755:UZQ458756 VJM458755:VJM458756 VTI458755:VTI458756 WDE458755:WDE458756 WNA458755:WNA458756 WWW458755:WWW458756 AO524291:AO524292 KK524291:KK524292 UG524291:UG524292 AEC524291:AEC524292 ANY524291:ANY524292 AXU524291:AXU524292 BHQ524291:BHQ524292 BRM524291:BRM524292 CBI524291:CBI524292 CLE524291:CLE524292 CVA524291:CVA524292 DEW524291:DEW524292 DOS524291:DOS524292 DYO524291:DYO524292 EIK524291:EIK524292 ESG524291:ESG524292 FCC524291:FCC524292 FLY524291:FLY524292 FVU524291:FVU524292 GFQ524291:GFQ524292 GPM524291:GPM524292 GZI524291:GZI524292 HJE524291:HJE524292 HTA524291:HTA524292 ICW524291:ICW524292 IMS524291:IMS524292 IWO524291:IWO524292 JGK524291:JGK524292 JQG524291:JQG524292 KAC524291:KAC524292 KJY524291:KJY524292 KTU524291:KTU524292 LDQ524291:LDQ524292 LNM524291:LNM524292 LXI524291:LXI524292 MHE524291:MHE524292 MRA524291:MRA524292 NAW524291:NAW524292 NKS524291:NKS524292 NUO524291:NUO524292 OEK524291:OEK524292 OOG524291:OOG524292 OYC524291:OYC524292 PHY524291:PHY524292 PRU524291:PRU524292 QBQ524291:QBQ524292 QLM524291:QLM524292 QVI524291:QVI524292 RFE524291:RFE524292 RPA524291:RPA524292 RYW524291:RYW524292 SIS524291:SIS524292 SSO524291:SSO524292 TCK524291:TCK524292 TMG524291:TMG524292 TWC524291:TWC524292 UFY524291:UFY524292 UPU524291:UPU524292 UZQ524291:UZQ524292 VJM524291:VJM524292 VTI524291:VTI524292 WDE524291:WDE524292 WNA524291:WNA524292 WWW524291:WWW524292 AO589827:AO589828 KK589827:KK589828 UG589827:UG589828 AEC589827:AEC589828 ANY589827:ANY589828 AXU589827:AXU589828 BHQ589827:BHQ589828 BRM589827:BRM589828 CBI589827:CBI589828 CLE589827:CLE589828 CVA589827:CVA589828 DEW589827:DEW589828 DOS589827:DOS589828 DYO589827:DYO589828 EIK589827:EIK589828 ESG589827:ESG589828 FCC589827:FCC589828 FLY589827:FLY589828 FVU589827:FVU589828 GFQ589827:GFQ589828 GPM589827:GPM589828 GZI589827:GZI589828 HJE589827:HJE589828 HTA589827:HTA589828 ICW589827:ICW589828 IMS589827:IMS589828 IWO589827:IWO589828 JGK589827:JGK589828 JQG589827:JQG589828 KAC589827:KAC589828 KJY589827:KJY589828 KTU589827:KTU589828 LDQ589827:LDQ589828 LNM589827:LNM589828 LXI589827:LXI589828 MHE589827:MHE589828 MRA589827:MRA589828 NAW589827:NAW589828 NKS589827:NKS589828 NUO589827:NUO589828 OEK589827:OEK589828 OOG589827:OOG589828 OYC589827:OYC589828 PHY589827:PHY589828 PRU589827:PRU589828 QBQ589827:QBQ589828 QLM589827:QLM589828 QVI589827:QVI589828 RFE589827:RFE589828 RPA589827:RPA589828 RYW589827:RYW589828 SIS589827:SIS589828 SSO589827:SSO589828 TCK589827:TCK589828 TMG589827:TMG589828 TWC589827:TWC589828 UFY589827:UFY589828 UPU589827:UPU589828 UZQ589827:UZQ589828 VJM589827:VJM589828 VTI589827:VTI589828 WDE589827:WDE589828 WNA589827:WNA589828 WWW589827:WWW589828 AO655363:AO655364 KK655363:KK655364 UG655363:UG655364 AEC655363:AEC655364 ANY655363:ANY655364 AXU655363:AXU655364 BHQ655363:BHQ655364 BRM655363:BRM655364 CBI655363:CBI655364 CLE655363:CLE655364 CVA655363:CVA655364 DEW655363:DEW655364 DOS655363:DOS655364 DYO655363:DYO655364 EIK655363:EIK655364 ESG655363:ESG655364 FCC655363:FCC655364 FLY655363:FLY655364 FVU655363:FVU655364 GFQ655363:GFQ655364 GPM655363:GPM655364 GZI655363:GZI655364 HJE655363:HJE655364 HTA655363:HTA655364 ICW655363:ICW655364 IMS655363:IMS655364 IWO655363:IWO655364 JGK655363:JGK655364 JQG655363:JQG655364 KAC655363:KAC655364 KJY655363:KJY655364 KTU655363:KTU655364 LDQ655363:LDQ655364 LNM655363:LNM655364 LXI655363:LXI655364 MHE655363:MHE655364 MRA655363:MRA655364 NAW655363:NAW655364 NKS655363:NKS655364 NUO655363:NUO655364 OEK655363:OEK655364 OOG655363:OOG655364 OYC655363:OYC655364 PHY655363:PHY655364 PRU655363:PRU655364 QBQ655363:QBQ655364 QLM655363:QLM655364 QVI655363:QVI655364 RFE655363:RFE655364 RPA655363:RPA655364 RYW655363:RYW655364 SIS655363:SIS655364 SSO655363:SSO655364 TCK655363:TCK655364 TMG655363:TMG655364 TWC655363:TWC655364 UFY655363:UFY655364 UPU655363:UPU655364 UZQ655363:UZQ655364 VJM655363:VJM655364 VTI655363:VTI655364 WDE655363:WDE655364 WNA655363:WNA655364 WWW655363:WWW655364 AO720899:AO720900 KK720899:KK720900 UG720899:UG720900 AEC720899:AEC720900 ANY720899:ANY720900 AXU720899:AXU720900 BHQ720899:BHQ720900 BRM720899:BRM720900 CBI720899:CBI720900 CLE720899:CLE720900 CVA720899:CVA720900 DEW720899:DEW720900 DOS720899:DOS720900 DYO720899:DYO720900 EIK720899:EIK720900 ESG720899:ESG720900 FCC720899:FCC720900 FLY720899:FLY720900 FVU720899:FVU720900 GFQ720899:GFQ720900 GPM720899:GPM720900 GZI720899:GZI720900 HJE720899:HJE720900 HTA720899:HTA720900 ICW720899:ICW720900 IMS720899:IMS720900 IWO720899:IWO720900 JGK720899:JGK720900 JQG720899:JQG720900 KAC720899:KAC720900 KJY720899:KJY720900 KTU720899:KTU720900 LDQ720899:LDQ720900 LNM720899:LNM720900 LXI720899:LXI720900 MHE720899:MHE720900 MRA720899:MRA720900 NAW720899:NAW720900 NKS720899:NKS720900 NUO720899:NUO720900 OEK720899:OEK720900 OOG720899:OOG720900 OYC720899:OYC720900 PHY720899:PHY720900 PRU720899:PRU720900 QBQ720899:QBQ720900 QLM720899:QLM720900 QVI720899:QVI720900 RFE720899:RFE720900 RPA720899:RPA720900 RYW720899:RYW720900 SIS720899:SIS720900 SSO720899:SSO720900 TCK720899:TCK720900 TMG720899:TMG720900 TWC720899:TWC720900 UFY720899:UFY720900 UPU720899:UPU720900 UZQ720899:UZQ720900 VJM720899:VJM720900 VTI720899:VTI720900 WDE720899:WDE720900 WNA720899:WNA720900 WWW720899:WWW720900 AO786435:AO786436 KK786435:KK786436 UG786435:UG786436 AEC786435:AEC786436 ANY786435:ANY786436 AXU786435:AXU786436 BHQ786435:BHQ786436 BRM786435:BRM786436 CBI786435:CBI786436 CLE786435:CLE786436 CVA786435:CVA786436 DEW786435:DEW786436 DOS786435:DOS786436 DYO786435:DYO786436 EIK786435:EIK786436 ESG786435:ESG786436 FCC786435:FCC786436 FLY786435:FLY786436 FVU786435:FVU786436 GFQ786435:GFQ786436 GPM786435:GPM786436 GZI786435:GZI786436 HJE786435:HJE786436 HTA786435:HTA786436 ICW786435:ICW786436 IMS786435:IMS786436 IWO786435:IWO786436 JGK786435:JGK786436 JQG786435:JQG786436 KAC786435:KAC786436 KJY786435:KJY786436 KTU786435:KTU786436 LDQ786435:LDQ786436 LNM786435:LNM786436 LXI786435:LXI786436 MHE786435:MHE786436 MRA786435:MRA786436 NAW786435:NAW786436 NKS786435:NKS786436 NUO786435:NUO786436 OEK786435:OEK786436 OOG786435:OOG786436 OYC786435:OYC786436 PHY786435:PHY786436 PRU786435:PRU786436 QBQ786435:QBQ786436 QLM786435:QLM786436 QVI786435:QVI786436 RFE786435:RFE786436 RPA786435:RPA786436 RYW786435:RYW786436 SIS786435:SIS786436 SSO786435:SSO786436 TCK786435:TCK786436 TMG786435:TMG786436 TWC786435:TWC786436 UFY786435:UFY786436 UPU786435:UPU786436 UZQ786435:UZQ786436 VJM786435:VJM786436 VTI786435:VTI786436 WDE786435:WDE786436 WNA786435:WNA786436 WWW786435:WWW786436 AO851971:AO851972 KK851971:KK851972 UG851971:UG851972 AEC851971:AEC851972 ANY851971:ANY851972 AXU851971:AXU851972 BHQ851971:BHQ851972 BRM851971:BRM851972 CBI851971:CBI851972 CLE851971:CLE851972 CVA851971:CVA851972 DEW851971:DEW851972 DOS851971:DOS851972 DYO851971:DYO851972 EIK851971:EIK851972 ESG851971:ESG851972 FCC851971:FCC851972 FLY851971:FLY851972 FVU851971:FVU851972 GFQ851971:GFQ851972 GPM851971:GPM851972 GZI851971:GZI851972 HJE851971:HJE851972 HTA851971:HTA851972 ICW851971:ICW851972 IMS851971:IMS851972 IWO851971:IWO851972 JGK851971:JGK851972 JQG851971:JQG851972 KAC851971:KAC851972 KJY851971:KJY851972 KTU851971:KTU851972 LDQ851971:LDQ851972 LNM851971:LNM851972 LXI851971:LXI851972 MHE851971:MHE851972 MRA851971:MRA851972 NAW851971:NAW851972 NKS851971:NKS851972 NUO851971:NUO851972 OEK851971:OEK851972 OOG851971:OOG851972 OYC851971:OYC851972 PHY851971:PHY851972 PRU851971:PRU851972 QBQ851971:QBQ851972 QLM851971:QLM851972 QVI851971:QVI851972 RFE851971:RFE851972 RPA851971:RPA851972 RYW851971:RYW851972 SIS851971:SIS851972 SSO851971:SSO851972 TCK851971:TCK851972 TMG851971:TMG851972 TWC851971:TWC851972 UFY851971:UFY851972 UPU851971:UPU851972 UZQ851971:UZQ851972 VJM851971:VJM851972 VTI851971:VTI851972 WDE851971:WDE851972 WNA851971:WNA851972 WWW851971:WWW851972 AO917507:AO917508 KK917507:KK917508 UG917507:UG917508 AEC917507:AEC917508 ANY917507:ANY917508 AXU917507:AXU917508 BHQ917507:BHQ917508 BRM917507:BRM917508 CBI917507:CBI917508 CLE917507:CLE917508 CVA917507:CVA917508 DEW917507:DEW917508 DOS917507:DOS917508 DYO917507:DYO917508 EIK917507:EIK917508 ESG917507:ESG917508 FCC917507:FCC917508 FLY917507:FLY917508 FVU917507:FVU917508 GFQ917507:GFQ917508 GPM917507:GPM917508 GZI917507:GZI917508 HJE917507:HJE917508 HTA917507:HTA917508 ICW917507:ICW917508 IMS917507:IMS917508 IWO917507:IWO917508 JGK917507:JGK917508 JQG917507:JQG917508 KAC917507:KAC917508 KJY917507:KJY917508 KTU917507:KTU917508 LDQ917507:LDQ917508 LNM917507:LNM917508 LXI917507:LXI917508 MHE917507:MHE917508 MRA917507:MRA917508 NAW917507:NAW917508 NKS917507:NKS917508 NUO917507:NUO917508 OEK917507:OEK917508 OOG917507:OOG917508 OYC917507:OYC917508 PHY917507:PHY917508 PRU917507:PRU917508 QBQ917507:QBQ917508 QLM917507:QLM917508 QVI917507:QVI917508 RFE917507:RFE917508 RPA917507:RPA917508 RYW917507:RYW917508 SIS917507:SIS917508 SSO917507:SSO917508 TCK917507:TCK917508 TMG917507:TMG917508 TWC917507:TWC917508 UFY917507:UFY917508 UPU917507:UPU917508 UZQ917507:UZQ917508 VJM917507:VJM917508 VTI917507:VTI917508 WDE917507:WDE917508 WNA917507:WNA917508 WWW917507:WWW917508 AO983043:AO983044 KK983043:KK983044 UG983043:UG983044 AEC983043:AEC983044 ANY983043:ANY983044 AXU983043:AXU983044 BHQ983043:BHQ983044 BRM983043:BRM983044 CBI983043:CBI983044 CLE983043:CLE983044 CVA983043:CVA983044 DEW983043:DEW983044 DOS983043:DOS983044 DYO983043:DYO983044 EIK983043:EIK983044 ESG983043:ESG983044 FCC983043:FCC983044 FLY983043:FLY983044 FVU983043:FVU983044 GFQ983043:GFQ983044 GPM983043:GPM983044 GZI983043:GZI983044 HJE983043:HJE983044 HTA983043:HTA983044 ICW983043:ICW983044 IMS983043:IMS983044 IWO983043:IWO983044 JGK983043:JGK983044 JQG983043:JQG983044 KAC983043:KAC983044 KJY983043:KJY983044 KTU983043:KTU983044 LDQ983043:LDQ983044 LNM983043:LNM983044 LXI983043:LXI983044 MHE983043:MHE983044 MRA983043:MRA983044 NAW983043:NAW983044 NKS983043:NKS983044 NUO983043:NUO983044 OEK983043:OEK983044 OOG983043:OOG983044 OYC983043:OYC983044 PHY983043:PHY983044 PRU983043:PRU983044 QBQ983043:QBQ983044 QLM983043:QLM983044 QVI983043:QVI983044 RFE983043:RFE983044 RPA983043:RPA983044 RYW983043:RYW983044 SIS983043:SIS983044 SSO983043:SSO983044 TCK983043:TCK983044 TMG983043:TMG983044 TWC983043:TWC983044 UFY983043:UFY983044 UPU983043:UPU983044 UZQ983043:UZQ983044 VJM983043:VJM983044 VTI983043:VTI983044 WDE983043:WDE983044 WNA983043:WNA983044 WWW983043:WWW983044 AS851971:AS851972 KO851971:KO851972 UK851971:UK851972 AEG851971:AEG851972 AOC851971:AOC851972 AXY851971:AXY851972 BHU851971:BHU851972 BRQ851971:BRQ851972 CBM851971:CBM851972 CLI851971:CLI851972 CVE851971:CVE851972 DFA851971:DFA851972 DOW851971:DOW851972 DYS851971:DYS851972 EIO851971:EIO851972 ESK851971:ESK851972 FCG851971:FCG851972 FMC851971:FMC851972 FVY851971:FVY851972 GFU851971:GFU851972 GPQ851971:GPQ851972 GZM851971:GZM851972 HJI851971:HJI851972 HTE851971:HTE851972 IDA851971:IDA851972 IMW851971:IMW851972 IWS851971:IWS851972 JGO851971:JGO851972 JQK851971:JQK851972 KAG851971:KAG851972 KKC851971:KKC851972 KTY851971:KTY851972 LDU851971:LDU851972 LNQ851971:LNQ851972 LXM851971:LXM851972 MHI851971:MHI851972 MRE851971:MRE851972 NBA851971:NBA851972 NKW851971:NKW851972 NUS851971:NUS851972 OEO851971:OEO851972 OOK851971:OOK851972 OYG851971:OYG851972 PIC851971:PIC851972 PRY851971:PRY851972 QBU851971:QBU851972 QLQ851971:QLQ851972 QVM851971:QVM851972 RFI851971:RFI851972 RPE851971:RPE851972 RZA851971:RZA851972 SIW851971:SIW851972 SSS851971:SSS851972 TCO851971:TCO851972 TMK851971:TMK851972 TWG851971:TWG851972 UGC851971:UGC851972 UPY851971:UPY851972 UZU851971:UZU851972 VJQ851971:VJQ851972 VTM851971:VTM851972 WDI851971:WDI851972 WNE851971:WNE851972 WXA851971:WXA851972 AC65539:AC65540 JY65539:JY65540 TU65539:TU65540 ADQ65539:ADQ65540 ANM65539:ANM65540 AXI65539:AXI65540 BHE65539:BHE65540 BRA65539:BRA65540 CAW65539:CAW65540 CKS65539:CKS65540 CUO65539:CUO65540 DEK65539:DEK65540 DOG65539:DOG65540 DYC65539:DYC65540 EHY65539:EHY65540 ERU65539:ERU65540 FBQ65539:FBQ65540 FLM65539:FLM65540 FVI65539:FVI65540 GFE65539:GFE65540 GPA65539:GPA65540 GYW65539:GYW65540 HIS65539:HIS65540 HSO65539:HSO65540 ICK65539:ICK65540 IMG65539:IMG65540 IWC65539:IWC65540 JFY65539:JFY65540 JPU65539:JPU65540 JZQ65539:JZQ65540 KJM65539:KJM65540 KTI65539:KTI65540 LDE65539:LDE65540 LNA65539:LNA65540 LWW65539:LWW65540 MGS65539:MGS65540 MQO65539:MQO65540 NAK65539:NAK65540 NKG65539:NKG65540 NUC65539:NUC65540 ODY65539:ODY65540 ONU65539:ONU65540 OXQ65539:OXQ65540 PHM65539:PHM65540 PRI65539:PRI65540 QBE65539:QBE65540 QLA65539:QLA65540 QUW65539:QUW65540 RES65539:RES65540 ROO65539:ROO65540 RYK65539:RYK65540 SIG65539:SIG65540 SSC65539:SSC65540 TBY65539:TBY65540 TLU65539:TLU65540 TVQ65539:TVQ65540 UFM65539:UFM65540 UPI65539:UPI65540 UZE65539:UZE65540 VJA65539:VJA65540 VSW65539:VSW65540 WCS65539:WCS65540 WMO65539:WMO65540 WWK65539:WWK65540 AC131075:AC131076 JY131075:JY131076 TU131075:TU131076 ADQ131075:ADQ131076 ANM131075:ANM131076 AXI131075:AXI131076 BHE131075:BHE131076 BRA131075:BRA131076 CAW131075:CAW131076 CKS131075:CKS131076 CUO131075:CUO131076 DEK131075:DEK131076 DOG131075:DOG131076 DYC131075:DYC131076 EHY131075:EHY131076 ERU131075:ERU131076 FBQ131075:FBQ131076 FLM131075:FLM131076 FVI131075:FVI131076 GFE131075:GFE131076 GPA131075:GPA131076 GYW131075:GYW131076 HIS131075:HIS131076 HSO131075:HSO131076 ICK131075:ICK131076 IMG131075:IMG131076 IWC131075:IWC131076 JFY131075:JFY131076 JPU131075:JPU131076 JZQ131075:JZQ131076 KJM131075:KJM131076 KTI131075:KTI131076 LDE131075:LDE131076 LNA131075:LNA131076 LWW131075:LWW131076 MGS131075:MGS131076 MQO131075:MQO131076 NAK131075:NAK131076 NKG131075:NKG131076 NUC131075:NUC131076 ODY131075:ODY131076 ONU131075:ONU131076 OXQ131075:OXQ131076 PHM131075:PHM131076 PRI131075:PRI131076 QBE131075:QBE131076 QLA131075:QLA131076 QUW131075:QUW131076 RES131075:RES131076 ROO131075:ROO131076 RYK131075:RYK131076 SIG131075:SIG131076 SSC131075:SSC131076 TBY131075:TBY131076 TLU131075:TLU131076 TVQ131075:TVQ131076 UFM131075:UFM131076 UPI131075:UPI131076 UZE131075:UZE131076 VJA131075:VJA131076 VSW131075:VSW131076 WCS131075:WCS131076 WMO131075:WMO131076 WWK131075:WWK131076 AC196611:AC196612 JY196611:JY196612 TU196611:TU196612 ADQ196611:ADQ196612 ANM196611:ANM196612 AXI196611:AXI196612 BHE196611:BHE196612 BRA196611:BRA196612 CAW196611:CAW196612 CKS196611:CKS196612 CUO196611:CUO196612 DEK196611:DEK196612 DOG196611:DOG196612 DYC196611:DYC196612 EHY196611:EHY196612 ERU196611:ERU196612 FBQ196611:FBQ196612 FLM196611:FLM196612 FVI196611:FVI196612 GFE196611:GFE196612 GPA196611:GPA196612 GYW196611:GYW196612 HIS196611:HIS196612 HSO196611:HSO196612 ICK196611:ICK196612 IMG196611:IMG196612 IWC196611:IWC196612 JFY196611:JFY196612 JPU196611:JPU196612 JZQ196611:JZQ196612 KJM196611:KJM196612 KTI196611:KTI196612 LDE196611:LDE196612 LNA196611:LNA196612 LWW196611:LWW196612 MGS196611:MGS196612 MQO196611:MQO196612 NAK196611:NAK196612 NKG196611:NKG196612 NUC196611:NUC196612 ODY196611:ODY196612 ONU196611:ONU196612 OXQ196611:OXQ196612 PHM196611:PHM196612 PRI196611:PRI196612 QBE196611:QBE196612 QLA196611:QLA196612 QUW196611:QUW196612 RES196611:RES196612 ROO196611:ROO196612 RYK196611:RYK196612 SIG196611:SIG196612 SSC196611:SSC196612 TBY196611:TBY196612 TLU196611:TLU196612 TVQ196611:TVQ196612 UFM196611:UFM196612 UPI196611:UPI196612 UZE196611:UZE196612 VJA196611:VJA196612 VSW196611:VSW196612 WCS196611:WCS196612 WMO196611:WMO196612 WWK196611:WWK196612 AC262147:AC262148 JY262147:JY262148 TU262147:TU262148 ADQ262147:ADQ262148 ANM262147:ANM262148 AXI262147:AXI262148 BHE262147:BHE262148 BRA262147:BRA262148 CAW262147:CAW262148 CKS262147:CKS262148 CUO262147:CUO262148 DEK262147:DEK262148 DOG262147:DOG262148 DYC262147:DYC262148 EHY262147:EHY262148 ERU262147:ERU262148 FBQ262147:FBQ262148 FLM262147:FLM262148 FVI262147:FVI262148 GFE262147:GFE262148 GPA262147:GPA262148 GYW262147:GYW262148 HIS262147:HIS262148 HSO262147:HSO262148 ICK262147:ICK262148 IMG262147:IMG262148 IWC262147:IWC262148 JFY262147:JFY262148 JPU262147:JPU262148 JZQ262147:JZQ262148 KJM262147:KJM262148 KTI262147:KTI262148 LDE262147:LDE262148 LNA262147:LNA262148 LWW262147:LWW262148 MGS262147:MGS262148 MQO262147:MQO262148 NAK262147:NAK262148 NKG262147:NKG262148 NUC262147:NUC262148 ODY262147:ODY262148 ONU262147:ONU262148 OXQ262147:OXQ262148 PHM262147:PHM262148 PRI262147:PRI262148 QBE262147:QBE262148 QLA262147:QLA262148 QUW262147:QUW262148 RES262147:RES262148 ROO262147:ROO262148 RYK262147:RYK262148 SIG262147:SIG262148 SSC262147:SSC262148 TBY262147:TBY262148 TLU262147:TLU262148 TVQ262147:TVQ262148 UFM262147:UFM262148 UPI262147:UPI262148 UZE262147:UZE262148 VJA262147:VJA262148 VSW262147:VSW262148 WCS262147:WCS262148 WMO262147:WMO262148 WWK262147:WWK262148 AC327683:AC327684 JY327683:JY327684 TU327683:TU327684 ADQ327683:ADQ327684 ANM327683:ANM327684 AXI327683:AXI327684 BHE327683:BHE327684 BRA327683:BRA327684 CAW327683:CAW327684 CKS327683:CKS327684 CUO327683:CUO327684 DEK327683:DEK327684 DOG327683:DOG327684 DYC327683:DYC327684 EHY327683:EHY327684 ERU327683:ERU327684 FBQ327683:FBQ327684 FLM327683:FLM327684 FVI327683:FVI327684 GFE327683:GFE327684 GPA327683:GPA327684 GYW327683:GYW327684 HIS327683:HIS327684 HSO327683:HSO327684 ICK327683:ICK327684 IMG327683:IMG327684 IWC327683:IWC327684 JFY327683:JFY327684 JPU327683:JPU327684 JZQ327683:JZQ327684 KJM327683:KJM327684 KTI327683:KTI327684 LDE327683:LDE327684 LNA327683:LNA327684 LWW327683:LWW327684 MGS327683:MGS327684 MQO327683:MQO327684 NAK327683:NAK327684 NKG327683:NKG327684 NUC327683:NUC327684 ODY327683:ODY327684 ONU327683:ONU327684 OXQ327683:OXQ327684 PHM327683:PHM327684 PRI327683:PRI327684 QBE327683:QBE327684 QLA327683:QLA327684 QUW327683:QUW327684 RES327683:RES327684 ROO327683:ROO327684 RYK327683:RYK327684 SIG327683:SIG327684 SSC327683:SSC327684 TBY327683:TBY327684 TLU327683:TLU327684 TVQ327683:TVQ327684 UFM327683:UFM327684 UPI327683:UPI327684 UZE327683:UZE327684 VJA327683:VJA327684 VSW327683:VSW327684 WCS327683:WCS327684 WMO327683:WMO327684 WWK327683:WWK327684 AC393219:AC393220 JY393219:JY393220 TU393219:TU393220 ADQ393219:ADQ393220 ANM393219:ANM393220 AXI393219:AXI393220 BHE393219:BHE393220 BRA393219:BRA393220 CAW393219:CAW393220 CKS393219:CKS393220 CUO393219:CUO393220 DEK393219:DEK393220 DOG393219:DOG393220 DYC393219:DYC393220 EHY393219:EHY393220 ERU393219:ERU393220 FBQ393219:FBQ393220 FLM393219:FLM393220 FVI393219:FVI393220 GFE393219:GFE393220 GPA393219:GPA393220 GYW393219:GYW393220 HIS393219:HIS393220 HSO393219:HSO393220 ICK393219:ICK393220 IMG393219:IMG393220 IWC393219:IWC393220 JFY393219:JFY393220 JPU393219:JPU393220 JZQ393219:JZQ393220 KJM393219:KJM393220 KTI393219:KTI393220 LDE393219:LDE393220 LNA393219:LNA393220 LWW393219:LWW393220 MGS393219:MGS393220 MQO393219:MQO393220 NAK393219:NAK393220 NKG393219:NKG393220 NUC393219:NUC393220 ODY393219:ODY393220 ONU393219:ONU393220 OXQ393219:OXQ393220 PHM393219:PHM393220 PRI393219:PRI393220 QBE393219:QBE393220 QLA393219:QLA393220 QUW393219:QUW393220 RES393219:RES393220 ROO393219:ROO393220 RYK393219:RYK393220 SIG393219:SIG393220 SSC393219:SSC393220 TBY393219:TBY393220 TLU393219:TLU393220 TVQ393219:TVQ393220 UFM393219:UFM393220 UPI393219:UPI393220 UZE393219:UZE393220 VJA393219:VJA393220 VSW393219:VSW393220 WCS393219:WCS393220 WMO393219:WMO393220 WWK393219:WWK393220 AC458755:AC458756 JY458755:JY458756 TU458755:TU458756 ADQ458755:ADQ458756 ANM458755:ANM458756 AXI458755:AXI458756 BHE458755:BHE458756 BRA458755:BRA458756 CAW458755:CAW458756 CKS458755:CKS458756 CUO458755:CUO458756 DEK458755:DEK458756 DOG458755:DOG458756 DYC458755:DYC458756 EHY458755:EHY458756 ERU458755:ERU458756 FBQ458755:FBQ458756 FLM458755:FLM458756 FVI458755:FVI458756 GFE458755:GFE458756 GPA458755:GPA458756 GYW458755:GYW458756 HIS458755:HIS458756 HSO458755:HSO458756 ICK458755:ICK458756 IMG458755:IMG458756 IWC458755:IWC458756 JFY458755:JFY458756 JPU458755:JPU458756 JZQ458755:JZQ458756 KJM458755:KJM458756 KTI458755:KTI458756 LDE458755:LDE458756 LNA458755:LNA458756 LWW458755:LWW458756 MGS458755:MGS458756 MQO458755:MQO458756 NAK458755:NAK458756 NKG458755:NKG458756 NUC458755:NUC458756 ODY458755:ODY458756 ONU458755:ONU458756 OXQ458755:OXQ458756 PHM458755:PHM458756 PRI458755:PRI458756 QBE458755:QBE458756 QLA458755:QLA458756 QUW458755:QUW458756 RES458755:RES458756 ROO458755:ROO458756 RYK458755:RYK458756 SIG458755:SIG458756 SSC458755:SSC458756 TBY458755:TBY458756 TLU458755:TLU458756 TVQ458755:TVQ458756 UFM458755:UFM458756 UPI458755:UPI458756 UZE458755:UZE458756 VJA458755:VJA458756 VSW458755:VSW458756 WCS458755:WCS458756 WMO458755:WMO458756 WWK458755:WWK458756 AC524291:AC524292 JY524291:JY524292 TU524291:TU524292 ADQ524291:ADQ524292 ANM524291:ANM524292 AXI524291:AXI524292 BHE524291:BHE524292 BRA524291:BRA524292 CAW524291:CAW524292 CKS524291:CKS524292 CUO524291:CUO524292 DEK524291:DEK524292 DOG524291:DOG524292 DYC524291:DYC524292 EHY524291:EHY524292 ERU524291:ERU524292 FBQ524291:FBQ524292 FLM524291:FLM524292 FVI524291:FVI524292 GFE524291:GFE524292 GPA524291:GPA524292 GYW524291:GYW524292 HIS524291:HIS524292 HSO524291:HSO524292 ICK524291:ICK524292 IMG524291:IMG524292 IWC524291:IWC524292 JFY524291:JFY524292 JPU524291:JPU524292 JZQ524291:JZQ524292 KJM524291:KJM524292 KTI524291:KTI524292 LDE524291:LDE524292 LNA524291:LNA524292 LWW524291:LWW524292 MGS524291:MGS524292 MQO524291:MQO524292 NAK524291:NAK524292 NKG524291:NKG524292 NUC524291:NUC524292 ODY524291:ODY524292 ONU524291:ONU524292 OXQ524291:OXQ524292 PHM524291:PHM524292 PRI524291:PRI524292 QBE524291:QBE524292 QLA524291:QLA524292 QUW524291:QUW524292 RES524291:RES524292 ROO524291:ROO524292 RYK524291:RYK524292 SIG524291:SIG524292 SSC524291:SSC524292 TBY524291:TBY524292 TLU524291:TLU524292 TVQ524291:TVQ524292 UFM524291:UFM524292 UPI524291:UPI524292 UZE524291:UZE524292 VJA524291:VJA524292 VSW524291:VSW524292 WCS524291:WCS524292 WMO524291:WMO524292 WWK524291:WWK524292 AC589827:AC589828 JY589827:JY589828 TU589827:TU589828 ADQ589827:ADQ589828 ANM589827:ANM589828 AXI589827:AXI589828 BHE589827:BHE589828 BRA589827:BRA589828 CAW589827:CAW589828 CKS589827:CKS589828 CUO589827:CUO589828 DEK589827:DEK589828 DOG589827:DOG589828 DYC589827:DYC589828 EHY589827:EHY589828 ERU589827:ERU589828 FBQ589827:FBQ589828 FLM589827:FLM589828 FVI589827:FVI589828 GFE589827:GFE589828 GPA589827:GPA589828 GYW589827:GYW589828 HIS589827:HIS589828 HSO589827:HSO589828 ICK589827:ICK589828 IMG589827:IMG589828 IWC589827:IWC589828 JFY589827:JFY589828 JPU589827:JPU589828 JZQ589827:JZQ589828 KJM589827:KJM589828 KTI589827:KTI589828 LDE589827:LDE589828 LNA589827:LNA589828 LWW589827:LWW589828 MGS589827:MGS589828 MQO589827:MQO589828 NAK589827:NAK589828 NKG589827:NKG589828 NUC589827:NUC589828 ODY589827:ODY589828 ONU589827:ONU589828 OXQ589827:OXQ589828 PHM589827:PHM589828 PRI589827:PRI589828 QBE589827:QBE589828 QLA589827:QLA589828 QUW589827:QUW589828 RES589827:RES589828 ROO589827:ROO589828 RYK589827:RYK589828 SIG589827:SIG589828 SSC589827:SSC589828 TBY589827:TBY589828 TLU589827:TLU589828 TVQ589827:TVQ589828 UFM589827:UFM589828 UPI589827:UPI589828 UZE589827:UZE589828 VJA589827:VJA589828 VSW589827:VSW589828 WCS589827:WCS589828 WMO589827:WMO589828 WWK589827:WWK589828 AC655363:AC655364 JY655363:JY655364 TU655363:TU655364 ADQ655363:ADQ655364 ANM655363:ANM655364 AXI655363:AXI655364 BHE655363:BHE655364 BRA655363:BRA655364 CAW655363:CAW655364 CKS655363:CKS655364 CUO655363:CUO655364 DEK655363:DEK655364 DOG655363:DOG655364 DYC655363:DYC655364 EHY655363:EHY655364 ERU655363:ERU655364 FBQ655363:FBQ655364 FLM655363:FLM655364 FVI655363:FVI655364 GFE655363:GFE655364 GPA655363:GPA655364 GYW655363:GYW655364 HIS655363:HIS655364 HSO655363:HSO655364 ICK655363:ICK655364 IMG655363:IMG655364 IWC655363:IWC655364 JFY655363:JFY655364 JPU655363:JPU655364 JZQ655363:JZQ655364 KJM655363:KJM655364 KTI655363:KTI655364 LDE655363:LDE655364 LNA655363:LNA655364 LWW655363:LWW655364 MGS655363:MGS655364 MQO655363:MQO655364 NAK655363:NAK655364 NKG655363:NKG655364 NUC655363:NUC655364 ODY655363:ODY655364 ONU655363:ONU655364 OXQ655363:OXQ655364 PHM655363:PHM655364 PRI655363:PRI655364 QBE655363:QBE655364 QLA655363:QLA655364 QUW655363:QUW655364 RES655363:RES655364 ROO655363:ROO655364 RYK655363:RYK655364 SIG655363:SIG655364 SSC655363:SSC655364 TBY655363:TBY655364 TLU655363:TLU655364 TVQ655363:TVQ655364 UFM655363:UFM655364 UPI655363:UPI655364 UZE655363:UZE655364 VJA655363:VJA655364 VSW655363:VSW655364 WCS655363:WCS655364 WMO655363:WMO655364 WWK655363:WWK655364 AC720899:AC720900 JY720899:JY720900 TU720899:TU720900 ADQ720899:ADQ720900 ANM720899:ANM720900 AXI720899:AXI720900 BHE720899:BHE720900 BRA720899:BRA720900 CAW720899:CAW720900 CKS720899:CKS720900 CUO720899:CUO720900 DEK720899:DEK720900 DOG720899:DOG720900 DYC720899:DYC720900 EHY720899:EHY720900 ERU720899:ERU720900 FBQ720899:FBQ720900 FLM720899:FLM720900 FVI720899:FVI720900 GFE720899:GFE720900 GPA720899:GPA720900 GYW720899:GYW720900 HIS720899:HIS720900 HSO720899:HSO720900 ICK720899:ICK720900 IMG720899:IMG720900 IWC720899:IWC720900 JFY720899:JFY720900 JPU720899:JPU720900 JZQ720899:JZQ720900 KJM720899:KJM720900 KTI720899:KTI720900 LDE720899:LDE720900 LNA720899:LNA720900 LWW720899:LWW720900 MGS720899:MGS720900 MQO720899:MQO720900 NAK720899:NAK720900 NKG720899:NKG720900 NUC720899:NUC720900 ODY720899:ODY720900 ONU720899:ONU720900 OXQ720899:OXQ720900 PHM720899:PHM720900 PRI720899:PRI720900 QBE720899:QBE720900 QLA720899:QLA720900 QUW720899:QUW720900 RES720899:RES720900 ROO720899:ROO720900 RYK720899:RYK720900 SIG720899:SIG720900 SSC720899:SSC720900 TBY720899:TBY720900 TLU720899:TLU720900 TVQ720899:TVQ720900 UFM720899:UFM720900 UPI720899:UPI720900 UZE720899:UZE720900 VJA720899:VJA720900 VSW720899:VSW720900 WCS720899:WCS720900 WMO720899:WMO720900 WWK720899:WWK720900 AC786435:AC786436 JY786435:JY786436 TU786435:TU786436 ADQ786435:ADQ786436 ANM786435:ANM786436 AXI786435:AXI786436 BHE786435:BHE786436 BRA786435:BRA786436 CAW786435:CAW786436 CKS786435:CKS786436 CUO786435:CUO786436 DEK786435:DEK786436 DOG786435:DOG786436 DYC786435:DYC786436 EHY786435:EHY786436 ERU786435:ERU786436 FBQ786435:FBQ786436 FLM786435:FLM786436 FVI786435:FVI786436 GFE786435:GFE786436 GPA786435:GPA786436 GYW786435:GYW786436 HIS786435:HIS786436 HSO786435:HSO786436 ICK786435:ICK786436 IMG786435:IMG786436 IWC786435:IWC786436 JFY786435:JFY786436 JPU786435:JPU786436 JZQ786435:JZQ786436 KJM786435:KJM786436 KTI786435:KTI786436 LDE786435:LDE786436 LNA786435:LNA786436 LWW786435:LWW786436 MGS786435:MGS786436 MQO786435:MQO786436 NAK786435:NAK786436 NKG786435:NKG786436 NUC786435:NUC786436 ODY786435:ODY786436 ONU786435:ONU786436 OXQ786435:OXQ786436 PHM786435:PHM786436 PRI786435:PRI786436 QBE786435:QBE786436 QLA786435:QLA786436 QUW786435:QUW786436 RES786435:RES786436 ROO786435:ROO786436 RYK786435:RYK786436 SIG786435:SIG786436 SSC786435:SSC786436 TBY786435:TBY786436 TLU786435:TLU786436 TVQ786435:TVQ786436 UFM786435:UFM786436 UPI786435:UPI786436 UZE786435:UZE786436 VJA786435:VJA786436 VSW786435:VSW786436 WCS786435:WCS786436 WMO786435:WMO786436 WWK786435:WWK786436 AC851971:AC851972 JY851971:JY851972 TU851971:TU851972 ADQ851971:ADQ851972 ANM851971:ANM851972 AXI851971:AXI851972 BHE851971:BHE851972 BRA851971:BRA851972 CAW851971:CAW851972 CKS851971:CKS851972 CUO851971:CUO851972 DEK851971:DEK851972 DOG851971:DOG851972 DYC851971:DYC851972 EHY851971:EHY851972 ERU851971:ERU851972 FBQ851971:FBQ851972 FLM851971:FLM851972 FVI851971:FVI851972 GFE851971:GFE851972 GPA851971:GPA851972 GYW851971:GYW851972 HIS851971:HIS851972 HSO851971:HSO851972 ICK851971:ICK851972 IMG851971:IMG851972 IWC851971:IWC851972 JFY851971:JFY851972 JPU851971:JPU851972 JZQ851971:JZQ851972 KJM851971:KJM851972 KTI851971:KTI851972 LDE851971:LDE851972 LNA851971:LNA851972 LWW851971:LWW851972 MGS851971:MGS851972 MQO851971:MQO851972 NAK851971:NAK851972 NKG851971:NKG851972 NUC851971:NUC851972 ODY851971:ODY851972 ONU851971:ONU851972 OXQ851971:OXQ851972 PHM851971:PHM851972 PRI851971:PRI851972 QBE851971:QBE851972 QLA851971:QLA851972 QUW851971:QUW851972 RES851971:RES851972 ROO851971:ROO851972 RYK851971:RYK851972 SIG851971:SIG851972 SSC851971:SSC851972 TBY851971:TBY851972 TLU851971:TLU851972 TVQ851971:TVQ851972 UFM851971:UFM851972 UPI851971:UPI851972 UZE851971:UZE851972 VJA851971:VJA851972 VSW851971:VSW851972 WCS851971:WCS851972 WMO851971:WMO851972 WWK851971:WWK851972 AC917507:AC917508 JY917507:JY917508 TU917507:TU917508 ADQ917507:ADQ917508 ANM917507:ANM917508 AXI917507:AXI917508 BHE917507:BHE917508 BRA917507:BRA917508 CAW917507:CAW917508 CKS917507:CKS917508 CUO917507:CUO917508 DEK917507:DEK917508 DOG917507:DOG917508 DYC917507:DYC917508 EHY917507:EHY917508 ERU917507:ERU917508 FBQ917507:FBQ917508 FLM917507:FLM917508 FVI917507:FVI917508 GFE917507:GFE917508 GPA917507:GPA917508 GYW917507:GYW917508 HIS917507:HIS917508 HSO917507:HSO917508 ICK917507:ICK917508 IMG917507:IMG917508 IWC917507:IWC917508 JFY917507:JFY917508 JPU917507:JPU917508 JZQ917507:JZQ917508 KJM917507:KJM917508 KTI917507:KTI917508 LDE917507:LDE917508 LNA917507:LNA917508 LWW917507:LWW917508 MGS917507:MGS917508 MQO917507:MQO917508 NAK917507:NAK917508 NKG917507:NKG917508 NUC917507:NUC917508 ODY917507:ODY917508 ONU917507:ONU917508 OXQ917507:OXQ917508 PHM917507:PHM917508 PRI917507:PRI917508 QBE917507:QBE917508 QLA917507:QLA917508 QUW917507:QUW917508 RES917507:RES917508 ROO917507:ROO917508 RYK917507:RYK917508 SIG917507:SIG917508 SSC917507:SSC917508 TBY917507:TBY917508 TLU917507:TLU917508 TVQ917507:TVQ917508 UFM917507:UFM917508 UPI917507:UPI917508 UZE917507:UZE917508 VJA917507:VJA917508 VSW917507:VSW917508 WCS917507:WCS917508 WMO917507:WMO917508 WWK917507:WWK917508 AC983043:AC983044 JY983043:JY983044 TU983043:TU983044 ADQ983043:ADQ983044 ANM983043:ANM983044 AXI983043:AXI983044 BHE983043:BHE983044 BRA983043:BRA983044 CAW983043:CAW983044 CKS983043:CKS983044 CUO983043:CUO983044 DEK983043:DEK983044 DOG983043:DOG983044 DYC983043:DYC983044 EHY983043:EHY983044 ERU983043:ERU983044 FBQ983043:FBQ983044 FLM983043:FLM983044 FVI983043:FVI983044 GFE983043:GFE983044 GPA983043:GPA983044 GYW983043:GYW983044 HIS983043:HIS983044 HSO983043:HSO983044 ICK983043:ICK983044 IMG983043:IMG983044 IWC983043:IWC983044 JFY983043:JFY983044 JPU983043:JPU983044 JZQ983043:JZQ983044 KJM983043:KJM983044 KTI983043:KTI983044 LDE983043:LDE983044 LNA983043:LNA983044 LWW983043:LWW983044 MGS983043:MGS983044 MQO983043:MQO983044 NAK983043:NAK983044 NKG983043:NKG983044 NUC983043:NUC983044 ODY983043:ODY983044 ONU983043:ONU983044 OXQ983043:OXQ983044 PHM983043:PHM983044 PRI983043:PRI983044 QBE983043:QBE983044 QLA983043:QLA983044 QUW983043:QUW983044 RES983043:RES983044 ROO983043:ROO983044 RYK983043:RYK983044 SIG983043:SIG983044 SSC983043:SSC983044 TBY983043:TBY983044 TLU983043:TLU983044 TVQ983043:TVQ983044 UFM983043:UFM983044 UPI983043:UPI983044 UZE983043:UZE983044 VJA983043:VJA983044 VSW983043:VSW983044 WCS983043:WCS983044 WMO983043:WMO983044 WWK983043:WWK983044 AS917507:AS917508 KO917507:KO917508 UK917507:UK917508 AEG917507:AEG917508 AOC917507:AOC917508 AXY917507:AXY917508 BHU917507:BHU917508 BRQ917507:BRQ917508 CBM917507:CBM917508 CLI917507:CLI917508 CVE917507:CVE917508 DFA917507:DFA917508 DOW917507:DOW917508 DYS917507:DYS917508 EIO917507:EIO917508 ESK917507:ESK917508 FCG917507:FCG917508 FMC917507:FMC917508 FVY917507:FVY917508 GFU917507:GFU917508 GPQ917507:GPQ917508 GZM917507:GZM917508 HJI917507:HJI917508 HTE917507:HTE917508 IDA917507:IDA917508 IMW917507:IMW917508 IWS917507:IWS917508 JGO917507:JGO917508 JQK917507:JQK917508 KAG917507:KAG917508 KKC917507:KKC917508 KTY917507:KTY917508 LDU917507:LDU917508 LNQ917507:LNQ917508 LXM917507:LXM917508 MHI917507:MHI917508 MRE917507:MRE917508 NBA917507:NBA917508 NKW917507:NKW917508 NUS917507:NUS917508 OEO917507:OEO917508 OOK917507:OOK917508 OYG917507:OYG917508 PIC917507:PIC917508 PRY917507:PRY917508 QBU917507:QBU917508 QLQ917507:QLQ917508 QVM917507:QVM917508 RFI917507:RFI917508 RPE917507:RPE917508 RZA917507:RZA917508 SIW917507:SIW917508 SSS917507:SSS917508 TCO917507:TCO917508 TMK917507:TMK917508 TWG917507:TWG917508 UGC917507:UGC917508 UPY917507:UPY917508 UZU917507:UZU917508 VJQ917507:VJQ917508 VTM917507:VTM917508 WDI917507:WDI917508 WNE917507:WNE917508 WXA917507:WXA917508 AG65539:AG65540 KC65539:KC65540 TY65539:TY65540 ADU65539:ADU65540 ANQ65539:ANQ65540 AXM65539:AXM65540 BHI65539:BHI65540 BRE65539:BRE65540 CBA65539:CBA65540 CKW65539:CKW65540 CUS65539:CUS65540 DEO65539:DEO65540 DOK65539:DOK65540 DYG65539:DYG65540 EIC65539:EIC65540 ERY65539:ERY65540 FBU65539:FBU65540 FLQ65539:FLQ65540 FVM65539:FVM65540 GFI65539:GFI65540 GPE65539:GPE65540 GZA65539:GZA65540 HIW65539:HIW65540 HSS65539:HSS65540 ICO65539:ICO65540 IMK65539:IMK65540 IWG65539:IWG65540 JGC65539:JGC65540 JPY65539:JPY65540 JZU65539:JZU65540 KJQ65539:KJQ65540 KTM65539:KTM65540 LDI65539:LDI65540 LNE65539:LNE65540 LXA65539:LXA65540 MGW65539:MGW65540 MQS65539:MQS65540 NAO65539:NAO65540 NKK65539:NKK65540 NUG65539:NUG65540 OEC65539:OEC65540 ONY65539:ONY65540 OXU65539:OXU65540 PHQ65539:PHQ65540 PRM65539:PRM65540 QBI65539:QBI65540 QLE65539:QLE65540 QVA65539:QVA65540 REW65539:REW65540 ROS65539:ROS65540 RYO65539:RYO65540 SIK65539:SIK65540 SSG65539:SSG65540 TCC65539:TCC65540 TLY65539:TLY65540 TVU65539:TVU65540 UFQ65539:UFQ65540 UPM65539:UPM65540 UZI65539:UZI65540 VJE65539:VJE65540 VTA65539:VTA65540 WCW65539:WCW65540 WMS65539:WMS65540 WWO65539:WWO65540 AG131075:AG131076 KC131075:KC131076 TY131075:TY131076 ADU131075:ADU131076 ANQ131075:ANQ131076 AXM131075:AXM131076 BHI131075:BHI131076 BRE131075:BRE131076 CBA131075:CBA131076 CKW131075:CKW131076 CUS131075:CUS131076 DEO131075:DEO131076 DOK131075:DOK131076 DYG131075:DYG131076 EIC131075:EIC131076 ERY131075:ERY131076 FBU131075:FBU131076 FLQ131075:FLQ131076 FVM131075:FVM131076 GFI131075:GFI131076 GPE131075:GPE131076 GZA131075:GZA131076 HIW131075:HIW131076 HSS131075:HSS131076 ICO131075:ICO131076 IMK131075:IMK131076 IWG131075:IWG131076 JGC131075:JGC131076 JPY131075:JPY131076 JZU131075:JZU131076 KJQ131075:KJQ131076 KTM131075:KTM131076 LDI131075:LDI131076 LNE131075:LNE131076 LXA131075:LXA131076 MGW131075:MGW131076 MQS131075:MQS131076 NAO131075:NAO131076 NKK131075:NKK131076 NUG131075:NUG131076 OEC131075:OEC131076 ONY131075:ONY131076 OXU131075:OXU131076 PHQ131075:PHQ131076 PRM131075:PRM131076 QBI131075:QBI131076 QLE131075:QLE131076 QVA131075:QVA131076 REW131075:REW131076 ROS131075:ROS131076 RYO131075:RYO131076 SIK131075:SIK131076 SSG131075:SSG131076 TCC131075:TCC131076 TLY131075:TLY131076 TVU131075:TVU131076 UFQ131075:UFQ131076 UPM131075:UPM131076 UZI131075:UZI131076 VJE131075:VJE131076 VTA131075:VTA131076 WCW131075:WCW131076 WMS131075:WMS131076 WWO131075:WWO131076 AG196611:AG196612 KC196611:KC196612 TY196611:TY196612 ADU196611:ADU196612 ANQ196611:ANQ196612 AXM196611:AXM196612 BHI196611:BHI196612 BRE196611:BRE196612 CBA196611:CBA196612 CKW196611:CKW196612 CUS196611:CUS196612 DEO196611:DEO196612 DOK196611:DOK196612 DYG196611:DYG196612 EIC196611:EIC196612 ERY196611:ERY196612 FBU196611:FBU196612 FLQ196611:FLQ196612 FVM196611:FVM196612 GFI196611:GFI196612 GPE196611:GPE196612 GZA196611:GZA196612 HIW196611:HIW196612 HSS196611:HSS196612 ICO196611:ICO196612 IMK196611:IMK196612 IWG196611:IWG196612 JGC196611:JGC196612 JPY196611:JPY196612 JZU196611:JZU196612 KJQ196611:KJQ196612 KTM196611:KTM196612 LDI196611:LDI196612 LNE196611:LNE196612 LXA196611:LXA196612 MGW196611:MGW196612 MQS196611:MQS196612 NAO196611:NAO196612 NKK196611:NKK196612 NUG196611:NUG196612 OEC196611:OEC196612 ONY196611:ONY196612 OXU196611:OXU196612 PHQ196611:PHQ196612 PRM196611:PRM196612 QBI196611:QBI196612 QLE196611:QLE196612 QVA196611:QVA196612 REW196611:REW196612 ROS196611:ROS196612 RYO196611:RYO196612 SIK196611:SIK196612 SSG196611:SSG196612 TCC196611:TCC196612 TLY196611:TLY196612 TVU196611:TVU196612 UFQ196611:UFQ196612 UPM196611:UPM196612 UZI196611:UZI196612 VJE196611:VJE196612 VTA196611:VTA196612 WCW196611:WCW196612 WMS196611:WMS196612 WWO196611:WWO196612 AG262147:AG262148 KC262147:KC262148 TY262147:TY262148 ADU262147:ADU262148 ANQ262147:ANQ262148 AXM262147:AXM262148 BHI262147:BHI262148 BRE262147:BRE262148 CBA262147:CBA262148 CKW262147:CKW262148 CUS262147:CUS262148 DEO262147:DEO262148 DOK262147:DOK262148 DYG262147:DYG262148 EIC262147:EIC262148 ERY262147:ERY262148 FBU262147:FBU262148 FLQ262147:FLQ262148 FVM262147:FVM262148 GFI262147:GFI262148 GPE262147:GPE262148 GZA262147:GZA262148 HIW262147:HIW262148 HSS262147:HSS262148 ICO262147:ICO262148 IMK262147:IMK262148 IWG262147:IWG262148 JGC262147:JGC262148 JPY262147:JPY262148 JZU262147:JZU262148 KJQ262147:KJQ262148 KTM262147:KTM262148 LDI262147:LDI262148 LNE262147:LNE262148 LXA262147:LXA262148 MGW262147:MGW262148 MQS262147:MQS262148 NAO262147:NAO262148 NKK262147:NKK262148 NUG262147:NUG262148 OEC262147:OEC262148 ONY262147:ONY262148 OXU262147:OXU262148 PHQ262147:PHQ262148 PRM262147:PRM262148 QBI262147:QBI262148 QLE262147:QLE262148 QVA262147:QVA262148 REW262147:REW262148 ROS262147:ROS262148 RYO262147:RYO262148 SIK262147:SIK262148 SSG262147:SSG262148 TCC262147:TCC262148 TLY262147:TLY262148 TVU262147:TVU262148 UFQ262147:UFQ262148 UPM262147:UPM262148 UZI262147:UZI262148 VJE262147:VJE262148 VTA262147:VTA262148 WCW262147:WCW262148 WMS262147:WMS262148 WWO262147:WWO262148 AG327683:AG327684 KC327683:KC327684 TY327683:TY327684 ADU327683:ADU327684 ANQ327683:ANQ327684 AXM327683:AXM327684 BHI327683:BHI327684 BRE327683:BRE327684 CBA327683:CBA327684 CKW327683:CKW327684 CUS327683:CUS327684 DEO327683:DEO327684 DOK327683:DOK327684 DYG327683:DYG327684 EIC327683:EIC327684 ERY327683:ERY327684 FBU327683:FBU327684 FLQ327683:FLQ327684 FVM327683:FVM327684 GFI327683:GFI327684 GPE327683:GPE327684 GZA327683:GZA327684 HIW327683:HIW327684 HSS327683:HSS327684 ICO327683:ICO327684 IMK327683:IMK327684 IWG327683:IWG327684 JGC327683:JGC327684 JPY327683:JPY327684 JZU327683:JZU327684 KJQ327683:KJQ327684 KTM327683:KTM327684 LDI327683:LDI327684 LNE327683:LNE327684 LXA327683:LXA327684 MGW327683:MGW327684 MQS327683:MQS327684 NAO327683:NAO327684 NKK327683:NKK327684 NUG327683:NUG327684 OEC327683:OEC327684 ONY327683:ONY327684 OXU327683:OXU327684 PHQ327683:PHQ327684 PRM327683:PRM327684 QBI327683:QBI327684 QLE327683:QLE327684 QVA327683:QVA327684 REW327683:REW327684 ROS327683:ROS327684 RYO327683:RYO327684 SIK327683:SIK327684 SSG327683:SSG327684 TCC327683:TCC327684 TLY327683:TLY327684 TVU327683:TVU327684 UFQ327683:UFQ327684 UPM327683:UPM327684 UZI327683:UZI327684 VJE327683:VJE327684 VTA327683:VTA327684 WCW327683:WCW327684 WMS327683:WMS327684 WWO327683:WWO327684 AG393219:AG393220 KC393219:KC393220 TY393219:TY393220 ADU393219:ADU393220 ANQ393219:ANQ393220 AXM393219:AXM393220 BHI393219:BHI393220 BRE393219:BRE393220 CBA393219:CBA393220 CKW393219:CKW393220 CUS393219:CUS393220 DEO393219:DEO393220 DOK393219:DOK393220 DYG393219:DYG393220 EIC393219:EIC393220 ERY393219:ERY393220 FBU393219:FBU393220 FLQ393219:FLQ393220 FVM393219:FVM393220 GFI393219:GFI393220 GPE393219:GPE393220 GZA393219:GZA393220 HIW393219:HIW393220 HSS393219:HSS393220 ICO393219:ICO393220 IMK393219:IMK393220 IWG393219:IWG393220 JGC393219:JGC393220 JPY393219:JPY393220 JZU393219:JZU393220 KJQ393219:KJQ393220 KTM393219:KTM393220 LDI393219:LDI393220 LNE393219:LNE393220 LXA393219:LXA393220 MGW393219:MGW393220 MQS393219:MQS393220 NAO393219:NAO393220 NKK393219:NKK393220 NUG393219:NUG393220 OEC393219:OEC393220 ONY393219:ONY393220 OXU393219:OXU393220 PHQ393219:PHQ393220 PRM393219:PRM393220 QBI393219:QBI393220 QLE393219:QLE393220 QVA393219:QVA393220 REW393219:REW393220 ROS393219:ROS393220 RYO393219:RYO393220 SIK393219:SIK393220 SSG393219:SSG393220 TCC393219:TCC393220 TLY393219:TLY393220 TVU393219:TVU393220 UFQ393219:UFQ393220 UPM393219:UPM393220 UZI393219:UZI393220 VJE393219:VJE393220 VTA393219:VTA393220 WCW393219:WCW393220 WMS393219:WMS393220 WWO393219:WWO393220 AG458755:AG458756 KC458755:KC458756 TY458755:TY458756 ADU458755:ADU458756 ANQ458755:ANQ458756 AXM458755:AXM458756 BHI458755:BHI458756 BRE458755:BRE458756 CBA458755:CBA458756 CKW458755:CKW458756 CUS458755:CUS458756 DEO458755:DEO458756 DOK458755:DOK458756 DYG458755:DYG458756 EIC458755:EIC458756 ERY458755:ERY458756 FBU458755:FBU458756 FLQ458755:FLQ458756 FVM458755:FVM458756 GFI458755:GFI458756 GPE458755:GPE458756 GZA458755:GZA458756 HIW458755:HIW458756 HSS458755:HSS458756 ICO458755:ICO458756 IMK458755:IMK458756 IWG458755:IWG458756 JGC458755:JGC458756 JPY458755:JPY458756 JZU458755:JZU458756 KJQ458755:KJQ458756 KTM458755:KTM458756 LDI458755:LDI458756 LNE458755:LNE458756 LXA458755:LXA458756 MGW458755:MGW458756 MQS458755:MQS458756 NAO458755:NAO458756 NKK458755:NKK458756 NUG458755:NUG458756 OEC458755:OEC458756 ONY458755:ONY458756 OXU458755:OXU458756 PHQ458755:PHQ458756 PRM458755:PRM458756 QBI458755:QBI458756 QLE458755:QLE458756 QVA458755:QVA458756 REW458755:REW458756 ROS458755:ROS458756 RYO458755:RYO458756 SIK458755:SIK458756 SSG458755:SSG458756 TCC458755:TCC458756 TLY458755:TLY458756 TVU458755:TVU458756 UFQ458755:UFQ458756 UPM458755:UPM458756 UZI458755:UZI458756 VJE458755:VJE458756 VTA458755:VTA458756 WCW458755:WCW458756 WMS458755:WMS458756 WWO458755:WWO458756 AG524291:AG524292 KC524291:KC524292 TY524291:TY524292 ADU524291:ADU524292 ANQ524291:ANQ524292 AXM524291:AXM524292 BHI524291:BHI524292 BRE524291:BRE524292 CBA524291:CBA524292 CKW524291:CKW524292 CUS524291:CUS524292 DEO524291:DEO524292 DOK524291:DOK524292 DYG524291:DYG524292 EIC524291:EIC524292 ERY524291:ERY524292 FBU524291:FBU524292 FLQ524291:FLQ524292 FVM524291:FVM524292 GFI524291:GFI524292 GPE524291:GPE524292 GZA524291:GZA524292 HIW524291:HIW524292 HSS524291:HSS524292 ICO524291:ICO524292 IMK524291:IMK524292 IWG524291:IWG524292 JGC524291:JGC524292 JPY524291:JPY524292 JZU524291:JZU524292 KJQ524291:KJQ524292 KTM524291:KTM524292 LDI524291:LDI524292 LNE524291:LNE524292 LXA524291:LXA524292 MGW524291:MGW524292 MQS524291:MQS524292 NAO524291:NAO524292 NKK524291:NKK524292 NUG524291:NUG524292 OEC524291:OEC524292 ONY524291:ONY524292 OXU524291:OXU524292 PHQ524291:PHQ524292 PRM524291:PRM524292 QBI524291:QBI524292 QLE524291:QLE524292 QVA524291:QVA524292 REW524291:REW524292 ROS524291:ROS524292 RYO524291:RYO524292 SIK524291:SIK524292 SSG524291:SSG524292 TCC524291:TCC524292 TLY524291:TLY524292 TVU524291:TVU524292 UFQ524291:UFQ524292 UPM524291:UPM524292 UZI524291:UZI524292 VJE524291:VJE524292 VTA524291:VTA524292 WCW524291:WCW524292 WMS524291:WMS524292 WWO524291:WWO524292 AG589827:AG589828 KC589827:KC589828 TY589827:TY589828 ADU589827:ADU589828 ANQ589827:ANQ589828 AXM589827:AXM589828 BHI589827:BHI589828 BRE589827:BRE589828 CBA589827:CBA589828 CKW589827:CKW589828 CUS589827:CUS589828 DEO589827:DEO589828 DOK589827:DOK589828 DYG589827:DYG589828 EIC589827:EIC589828 ERY589827:ERY589828 FBU589827:FBU589828 FLQ589827:FLQ589828 FVM589827:FVM589828 GFI589827:GFI589828 GPE589827:GPE589828 GZA589827:GZA589828 HIW589827:HIW589828 HSS589827:HSS589828 ICO589827:ICO589828 IMK589827:IMK589828 IWG589827:IWG589828 JGC589827:JGC589828 JPY589827:JPY589828 JZU589827:JZU589828 KJQ589827:KJQ589828 KTM589827:KTM589828 LDI589827:LDI589828 LNE589827:LNE589828 LXA589827:LXA589828 MGW589827:MGW589828 MQS589827:MQS589828 NAO589827:NAO589828 NKK589827:NKK589828 NUG589827:NUG589828 OEC589827:OEC589828 ONY589827:ONY589828 OXU589827:OXU589828 PHQ589827:PHQ589828 PRM589827:PRM589828 QBI589827:QBI589828 QLE589827:QLE589828 QVA589827:QVA589828 REW589827:REW589828 ROS589827:ROS589828 RYO589827:RYO589828 SIK589827:SIK589828 SSG589827:SSG589828 TCC589827:TCC589828 TLY589827:TLY589828 TVU589827:TVU589828 UFQ589827:UFQ589828 UPM589827:UPM589828 UZI589827:UZI589828 VJE589827:VJE589828 VTA589827:VTA589828 WCW589827:WCW589828 WMS589827:WMS589828 WWO589827:WWO589828 AG655363:AG655364 KC655363:KC655364 TY655363:TY655364 ADU655363:ADU655364 ANQ655363:ANQ655364 AXM655363:AXM655364 BHI655363:BHI655364 BRE655363:BRE655364 CBA655363:CBA655364 CKW655363:CKW655364 CUS655363:CUS655364 DEO655363:DEO655364 DOK655363:DOK655364 DYG655363:DYG655364 EIC655363:EIC655364 ERY655363:ERY655364 FBU655363:FBU655364 FLQ655363:FLQ655364 FVM655363:FVM655364 GFI655363:GFI655364 GPE655363:GPE655364 GZA655363:GZA655364 HIW655363:HIW655364 HSS655363:HSS655364 ICO655363:ICO655364 IMK655363:IMK655364 IWG655363:IWG655364 JGC655363:JGC655364 JPY655363:JPY655364 JZU655363:JZU655364 KJQ655363:KJQ655364 KTM655363:KTM655364 LDI655363:LDI655364 LNE655363:LNE655364 LXA655363:LXA655364 MGW655363:MGW655364 MQS655363:MQS655364 NAO655363:NAO655364 NKK655363:NKK655364 NUG655363:NUG655364 OEC655363:OEC655364 ONY655363:ONY655364 OXU655363:OXU655364 PHQ655363:PHQ655364 PRM655363:PRM655364 QBI655363:QBI655364 QLE655363:QLE655364 QVA655363:QVA655364 REW655363:REW655364 ROS655363:ROS655364 RYO655363:RYO655364 SIK655363:SIK655364 SSG655363:SSG655364 TCC655363:TCC655364 TLY655363:TLY655364 TVU655363:TVU655364 UFQ655363:UFQ655364 UPM655363:UPM655364 UZI655363:UZI655364 VJE655363:VJE655364 VTA655363:VTA655364 WCW655363:WCW655364 WMS655363:WMS655364 WWO655363:WWO655364 AG720899:AG720900 KC720899:KC720900 TY720899:TY720900 ADU720899:ADU720900 ANQ720899:ANQ720900 AXM720899:AXM720900 BHI720899:BHI720900 BRE720899:BRE720900 CBA720899:CBA720900 CKW720899:CKW720900 CUS720899:CUS720900 DEO720899:DEO720900 DOK720899:DOK720900 DYG720899:DYG720900 EIC720899:EIC720900 ERY720899:ERY720900 FBU720899:FBU720900 FLQ720899:FLQ720900 FVM720899:FVM720900 GFI720899:GFI720900 GPE720899:GPE720900 GZA720899:GZA720900 HIW720899:HIW720900 HSS720899:HSS720900 ICO720899:ICO720900 IMK720899:IMK720900 IWG720899:IWG720900 JGC720899:JGC720900 JPY720899:JPY720900 JZU720899:JZU720900 KJQ720899:KJQ720900 KTM720899:KTM720900 LDI720899:LDI720900 LNE720899:LNE720900 LXA720899:LXA720900 MGW720899:MGW720900 MQS720899:MQS720900 NAO720899:NAO720900 NKK720899:NKK720900 NUG720899:NUG720900 OEC720899:OEC720900 ONY720899:ONY720900 OXU720899:OXU720900 PHQ720899:PHQ720900 PRM720899:PRM720900 QBI720899:QBI720900 QLE720899:QLE720900 QVA720899:QVA720900 REW720899:REW720900 ROS720899:ROS720900 RYO720899:RYO720900 SIK720899:SIK720900 SSG720899:SSG720900 TCC720899:TCC720900 TLY720899:TLY720900 TVU720899:TVU720900 UFQ720899:UFQ720900 UPM720899:UPM720900 UZI720899:UZI720900 VJE720899:VJE720900 VTA720899:VTA720900 WCW720899:WCW720900 WMS720899:WMS720900 WWO720899:WWO720900 AG786435:AG786436 KC786435:KC786436 TY786435:TY786436 ADU786435:ADU786436 ANQ786435:ANQ786436 AXM786435:AXM786436 BHI786435:BHI786436 BRE786435:BRE786436 CBA786435:CBA786436 CKW786435:CKW786436 CUS786435:CUS786436 DEO786435:DEO786436 DOK786435:DOK786436 DYG786435:DYG786436 EIC786435:EIC786436 ERY786435:ERY786436 FBU786435:FBU786436 FLQ786435:FLQ786436 FVM786435:FVM786436 GFI786435:GFI786436 GPE786435:GPE786436 GZA786435:GZA786436 HIW786435:HIW786436 HSS786435:HSS786436 ICO786435:ICO786436 IMK786435:IMK786436 IWG786435:IWG786436 JGC786435:JGC786436 JPY786435:JPY786436 JZU786435:JZU786436 KJQ786435:KJQ786436 KTM786435:KTM786436 LDI786435:LDI786436 LNE786435:LNE786436 LXA786435:LXA786436 MGW786435:MGW786436 MQS786435:MQS786436 NAO786435:NAO786436 NKK786435:NKK786436 NUG786435:NUG786436 OEC786435:OEC786436 ONY786435:ONY786436 OXU786435:OXU786436 PHQ786435:PHQ786436 PRM786435:PRM786436 QBI786435:QBI786436 QLE786435:QLE786436 QVA786435:QVA786436 REW786435:REW786436 ROS786435:ROS786436 RYO786435:RYO786436 SIK786435:SIK786436 SSG786435:SSG786436 TCC786435:TCC786436 TLY786435:TLY786436 TVU786435:TVU786436 UFQ786435:UFQ786436 UPM786435:UPM786436 UZI786435:UZI786436 VJE786435:VJE786436 VTA786435:VTA786436 WCW786435:WCW786436 WMS786435:WMS786436 WWO786435:WWO786436 AG851971:AG851972 KC851971:KC851972 TY851971:TY851972 ADU851971:ADU851972 ANQ851971:ANQ851972 AXM851971:AXM851972 BHI851971:BHI851972 BRE851971:BRE851972 CBA851971:CBA851972 CKW851971:CKW851972 CUS851971:CUS851972 DEO851971:DEO851972 DOK851971:DOK851972 DYG851971:DYG851972 EIC851971:EIC851972 ERY851971:ERY851972 FBU851971:FBU851972 FLQ851971:FLQ851972 FVM851971:FVM851972 GFI851971:GFI851972 GPE851971:GPE851972 GZA851971:GZA851972 HIW851971:HIW851972 HSS851971:HSS851972 ICO851971:ICO851972 IMK851971:IMK851972 IWG851971:IWG851972 JGC851971:JGC851972 JPY851971:JPY851972 JZU851971:JZU851972 KJQ851971:KJQ851972 KTM851971:KTM851972 LDI851971:LDI851972 LNE851971:LNE851972 LXA851971:LXA851972 MGW851971:MGW851972 MQS851971:MQS851972 NAO851971:NAO851972 NKK851971:NKK851972 NUG851971:NUG851972 OEC851971:OEC851972 ONY851971:ONY851972 OXU851971:OXU851972 PHQ851971:PHQ851972 PRM851971:PRM851972 QBI851971:QBI851972 QLE851971:QLE851972 QVA851971:QVA851972 REW851971:REW851972 ROS851971:ROS851972 RYO851971:RYO851972 SIK851971:SIK851972 SSG851971:SSG851972 TCC851971:TCC851972 TLY851971:TLY851972 TVU851971:TVU851972 UFQ851971:UFQ851972 UPM851971:UPM851972 UZI851971:UZI851972 VJE851971:VJE851972 VTA851971:VTA851972 WCW851971:WCW851972 WMS851971:WMS851972 WWO851971:WWO851972 AG917507:AG917508 KC917507:KC917508 TY917507:TY917508 ADU917507:ADU917508 ANQ917507:ANQ917508 AXM917507:AXM917508 BHI917507:BHI917508 BRE917507:BRE917508 CBA917507:CBA917508 CKW917507:CKW917508 CUS917507:CUS917508 DEO917507:DEO917508 DOK917507:DOK917508 DYG917507:DYG917508 EIC917507:EIC917508 ERY917507:ERY917508 FBU917507:FBU917508 FLQ917507:FLQ917508 FVM917507:FVM917508 GFI917507:GFI917508 GPE917507:GPE917508 GZA917507:GZA917508 HIW917507:HIW917508 HSS917507:HSS917508 ICO917507:ICO917508 IMK917507:IMK917508 IWG917507:IWG917508 JGC917507:JGC917508 JPY917507:JPY917508 JZU917507:JZU917508 KJQ917507:KJQ917508 KTM917507:KTM917508 LDI917507:LDI917508 LNE917507:LNE917508 LXA917507:LXA917508 MGW917507:MGW917508 MQS917507:MQS917508 NAO917507:NAO917508 NKK917507:NKK917508 NUG917507:NUG917508 OEC917507:OEC917508 ONY917507:ONY917508 OXU917507:OXU917508 PHQ917507:PHQ917508 PRM917507:PRM917508 QBI917507:QBI917508 QLE917507:QLE917508 QVA917507:QVA917508 REW917507:REW917508 ROS917507:ROS917508 RYO917507:RYO917508 SIK917507:SIK917508 SSG917507:SSG917508 TCC917507:TCC917508 TLY917507:TLY917508 TVU917507:TVU917508 UFQ917507:UFQ917508 UPM917507:UPM917508 UZI917507:UZI917508 VJE917507:VJE917508 VTA917507:VTA917508 WCW917507:WCW917508 WMS917507:WMS917508 WWO917507:WWO917508 AG983043:AG983044 KC983043:KC983044 TY983043:TY983044 ADU983043:ADU983044 ANQ983043:ANQ983044 AXM983043:AXM983044 BHI983043:BHI983044 BRE983043:BRE983044 CBA983043:CBA983044 CKW983043:CKW983044 CUS983043:CUS983044 DEO983043:DEO983044 DOK983043:DOK983044 DYG983043:DYG983044 EIC983043:EIC983044 ERY983043:ERY983044 FBU983043:FBU983044 FLQ983043:FLQ983044 FVM983043:FVM983044 GFI983043:GFI983044 GPE983043:GPE983044 GZA983043:GZA983044 HIW983043:HIW983044 HSS983043:HSS983044 ICO983043:ICO983044 IMK983043:IMK983044 IWG983043:IWG983044 JGC983043:JGC983044 JPY983043:JPY983044 JZU983043:JZU983044 KJQ983043:KJQ983044 KTM983043:KTM983044 LDI983043:LDI983044 LNE983043:LNE983044 LXA983043:LXA983044 MGW983043:MGW983044 MQS983043:MQS983044 NAO983043:NAO983044 NKK983043:NKK983044 NUG983043:NUG983044 OEC983043:OEC983044 ONY983043:ONY983044 OXU983043:OXU983044 PHQ983043:PHQ983044 PRM983043:PRM983044 QBI983043:QBI983044 QLE983043:QLE983044 QVA983043:QVA983044 REW983043:REW983044 ROS983043:ROS983044 RYO983043:RYO983044 SIK983043:SIK983044 SSG983043:SSG983044 TCC983043:TCC983044 TLY983043:TLY983044 TVU983043:TVU983044 UFQ983043:UFQ983044 UPM983043:UPM983044 UZI983043:UZI983044 VJE983043:VJE983044 VTA983043:VTA983044 WCW983043:WCW983044 WMS983043:WMS983044 WWO983043:WWO983044 AS983043:AS983044 KO983043:KO983044 UK983043:UK983044 AEG983043:AEG983044 AOC983043:AOC983044 AXY983043:AXY983044 BHU983043:BHU983044 BRQ983043:BRQ983044 CBM983043:CBM983044 CLI983043:CLI983044 CVE983043:CVE983044 DFA983043:DFA983044 DOW983043:DOW983044 DYS983043:DYS983044 EIO983043:EIO983044 ESK983043:ESK983044 FCG983043:FCG983044 FMC983043:FMC983044 FVY983043:FVY983044 GFU983043:GFU983044 GPQ983043:GPQ983044 GZM983043:GZM983044 HJI983043:HJI983044 HTE983043:HTE983044 IDA983043:IDA983044 IMW983043:IMW983044 IWS983043:IWS983044 JGO983043:JGO983044 JQK983043:JQK983044 KAG983043:KAG983044 KKC983043:KKC983044 KTY983043:KTY983044 LDU983043:LDU983044 LNQ983043:LNQ983044 LXM983043:LXM983044 MHI983043:MHI983044 MRE983043:MRE983044 NBA983043:NBA983044 NKW983043:NKW983044 NUS983043:NUS983044 OEO983043:OEO983044 OOK983043:OOK983044 OYG983043:OYG983044 PIC983043:PIC983044 PRY983043:PRY983044 QBU983043:QBU983044 QLQ983043:QLQ983044 QVM983043:QVM983044 RFI983043:RFI983044 RPE983043:RPE983044 RZA983043:RZA983044 SIW983043:SIW983044 SSS983043:SSS983044 TCO983043:TCO983044 TMK983043:TMK983044 TWG983043:TWG983044 UGC983043:UGC983044 UPY983043:UPY983044 UZU983043:UZU983044 VJQ983043:VJQ983044 VTM983043:VTM983044 WDI983043:WDI983044 WNE983043:WNE983044 WXA983043:WXA983044 AS65539:AS65540 KO65539:KO65540 UK65539:UK65540 AEG65539:AEG65540 AOC65539:AOC65540 AXY65539:AXY65540 BHU65539:BHU65540 BRQ65539:BRQ65540 CBM65539:CBM65540 CLI65539:CLI65540 CVE65539:CVE65540 DFA65539:DFA65540 DOW65539:DOW65540 DYS65539:DYS65540 EIO65539:EIO65540 ESK65539:ESK65540 FCG65539:FCG65540 FMC65539:FMC65540 FVY65539:FVY65540 GFU65539:GFU65540 GPQ65539:GPQ65540 GZM65539:GZM65540 HJI65539:HJI65540 HTE65539:HTE65540 IDA65539:IDA65540 IMW65539:IMW65540 IWS65539:IWS65540 JGO65539:JGO65540 JQK65539:JQK65540 KAG65539:KAG65540 KKC65539:KKC65540 KTY65539:KTY65540 LDU65539:LDU65540 LNQ65539:LNQ65540 LXM65539:LXM65540 MHI65539:MHI65540 MRE65539:MRE65540 NBA65539:NBA65540 NKW65539:NKW65540 NUS65539:NUS65540 OEO65539:OEO65540 OOK65539:OOK65540 OYG65539:OYG65540 PIC65539:PIC65540 PRY65539:PRY65540 QBU65539:QBU65540 QLQ65539:QLQ65540 QVM65539:QVM65540 RFI65539:RFI65540 RPE65539:RPE65540 RZA65539:RZA65540 SIW65539:SIW65540 SSS65539:SSS65540 TCO65539:TCO65540 TMK65539:TMK65540 TWG65539:TWG65540 UGC65539:UGC65540 UPY65539:UPY65540 UZU65539:UZU65540 VJQ65539:VJQ65540 VTM65539:VTM65540 WDI65539:WDI65540 WNE65539:WNE65540 WXA65539:WXA65540 AS131075:AS131076 KO131075:KO131076 UK131075:UK131076 AEG131075:AEG131076 AOC131075:AOC131076 AXY131075:AXY131076 BHU131075:BHU131076 BRQ131075:BRQ131076 CBM131075:CBM131076 CLI131075:CLI131076 CVE131075:CVE131076 DFA131075:DFA131076 DOW131075:DOW131076 DYS131075:DYS131076 EIO131075:EIO131076 ESK131075:ESK131076 FCG131075:FCG131076 FMC131075:FMC131076 FVY131075:FVY131076 GFU131075:GFU131076 GPQ131075:GPQ131076 GZM131075:GZM131076 HJI131075:HJI131076 HTE131075:HTE131076 IDA131075:IDA131076 IMW131075:IMW131076 IWS131075:IWS131076 JGO131075:JGO131076 JQK131075:JQK131076 KAG131075:KAG131076 KKC131075:KKC131076 KTY131075:KTY131076 LDU131075:LDU131076 LNQ131075:LNQ131076 LXM131075:LXM131076 MHI131075:MHI131076 MRE131075:MRE131076 NBA131075:NBA131076 NKW131075:NKW131076 NUS131075:NUS131076 OEO131075:OEO131076 OOK131075:OOK131076 OYG131075:OYG131076 PIC131075:PIC131076 PRY131075:PRY131076 QBU131075:QBU131076 QLQ131075:QLQ131076 QVM131075:QVM131076 RFI131075:RFI131076 RPE131075:RPE131076 RZA131075:RZA131076 SIW131075:SIW131076 SSS131075:SSS131076 TCO131075:TCO131076 TMK131075:TMK131076 TWG131075:TWG131076 UGC131075:UGC131076 UPY131075:UPY131076 UZU131075:UZU131076 VJQ131075:VJQ131076 VTM131075:VTM131076 WDI131075:WDI131076 WNE131075:WNE131076 WXA131075:WXA131076 AS196611:AS196612 KO196611:KO196612 UK196611:UK196612 AEG196611:AEG196612 AOC196611:AOC196612 AXY196611:AXY196612 BHU196611:BHU196612 BRQ196611:BRQ196612 CBM196611:CBM196612 CLI196611:CLI196612 CVE196611:CVE196612 DFA196611:DFA196612 DOW196611:DOW196612 DYS196611:DYS196612 EIO196611:EIO196612 ESK196611:ESK196612 FCG196611:FCG196612 FMC196611:FMC196612 FVY196611:FVY196612 GFU196611:GFU196612 GPQ196611:GPQ196612 GZM196611:GZM196612 HJI196611:HJI196612 HTE196611:HTE196612 IDA196611:IDA196612 IMW196611:IMW196612 IWS196611:IWS196612 JGO196611:JGO196612 JQK196611:JQK196612 KAG196611:KAG196612 KKC196611:KKC196612 KTY196611:KTY196612 LDU196611:LDU196612 LNQ196611:LNQ196612 LXM196611:LXM196612 MHI196611:MHI196612 MRE196611:MRE196612 NBA196611:NBA196612 NKW196611:NKW196612 NUS196611:NUS196612 OEO196611:OEO196612 OOK196611:OOK196612 OYG196611:OYG196612 PIC196611:PIC196612 PRY196611:PRY196612 QBU196611:QBU196612 QLQ196611:QLQ196612 QVM196611:QVM196612 RFI196611:RFI196612 RPE196611:RPE196612 RZA196611:RZA196612 SIW196611:SIW196612 SSS196611:SSS196612 TCO196611:TCO196612 TMK196611:TMK196612 TWG196611:TWG196612 UGC196611:UGC196612 UPY196611:UPY196612 UZU196611:UZU196612 VJQ196611:VJQ196612 VTM196611:VTM196612 WDI196611:WDI196612 WNE196611:WNE196612 WXA196611:WXA196612 AS262147:AS262148 KO262147:KO262148 UK262147:UK262148 AEG262147:AEG262148 AOC262147:AOC262148 AXY262147:AXY262148 BHU262147:BHU262148 BRQ262147:BRQ262148 CBM262147:CBM262148 CLI262147:CLI262148 CVE262147:CVE262148 DFA262147:DFA262148 DOW262147:DOW262148 DYS262147:DYS262148 EIO262147:EIO262148 ESK262147:ESK262148 FCG262147:FCG262148 FMC262147:FMC262148 FVY262147:FVY262148 GFU262147:GFU262148 GPQ262147:GPQ262148 GZM262147:GZM262148 HJI262147:HJI262148 HTE262147:HTE262148 IDA262147:IDA262148 IMW262147:IMW262148 IWS262147:IWS262148 JGO262147:JGO262148 JQK262147:JQK262148 KAG262147:KAG262148 KKC262147:KKC262148 KTY262147:KTY262148 LDU262147:LDU262148 LNQ262147:LNQ262148 LXM262147:LXM262148 MHI262147:MHI262148 MRE262147:MRE262148 NBA262147:NBA262148 NKW262147:NKW262148 NUS262147:NUS262148 OEO262147:OEO262148 OOK262147:OOK262148 OYG262147:OYG262148 PIC262147:PIC262148 PRY262147:PRY262148 QBU262147:QBU262148 QLQ262147:QLQ262148 QVM262147:QVM262148 RFI262147:RFI262148 RPE262147:RPE262148 RZA262147:RZA262148 SIW262147:SIW262148 SSS262147:SSS262148 TCO262147:TCO262148 TMK262147:TMK262148 TWG262147:TWG262148 UGC262147:UGC262148 UPY262147:UPY262148 UZU262147:UZU262148 VJQ262147:VJQ262148 VTM262147:VTM262148 WDI262147:WDI262148 WNE262147:WNE262148 WXA262147:WXA262148 AS327683:AS327684 KO327683:KO327684 UK327683:UK327684 AEG327683:AEG327684 AOC327683:AOC327684 AXY327683:AXY327684 BHU327683:BHU327684 BRQ327683:BRQ327684 CBM327683:CBM327684 CLI327683:CLI327684 CVE327683:CVE327684 DFA327683:DFA327684 DOW327683:DOW327684 DYS327683:DYS327684 EIO327683:EIO327684 ESK327683:ESK327684 FCG327683:FCG327684 FMC327683:FMC327684 FVY327683:FVY327684 GFU327683:GFU327684 GPQ327683:GPQ327684 GZM327683:GZM327684 HJI327683:HJI327684 HTE327683:HTE327684 IDA327683:IDA327684 IMW327683:IMW327684 IWS327683:IWS327684 JGO327683:JGO327684 JQK327683:JQK327684 KAG327683:KAG327684 KKC327683:KKC327684 KTY327683:KTY327684 LDU327683:LDU327684 LNQ327683:LNQ327684 LXM327683:LXM327684 MHI327683:MHI327684 MRE327683:MRE327684 NBA327683:NBA327684 NKW327683:NKW327684 NUS327683:NUS327684 OEO327683:OEO327684 OOK327683:OOK327684 OYG327683:OYG327684 PIC327683:PIC327684 PRY327683:PRY327684 QBU327683:QBU327684 QLQ327683:QLQ327684 QVM327683:QVM327684 RFI327683:RFI327684 RPE327683:RPE327684 RZA327683:RZA327684 SIW327683:SIW327684 SSS327683:SSS327684 TCO327683:TCO327684 TMK327683:TMK327684 TWG327683:TWG327684 UGC327683:UGC327684 UPY327683:UPY327684 UZU327683:UZU327684 VJQ327683:VJQ327684 VTM327683:VTM327684 WDI327683:WDI327684 WNE327683:WNE327684 WXA327683:WXA327684 AS393219:AS393220 KO393219:KO393220 UK393219:UK393220 AEG393219:AEG393220 AOC393219:AOC393220 AXY393219:AXY393220 BHU393219:BHU393220 BRQ393219:BRQ393220 CBM393219:CBM393220 CLI393219:CLI393220 CVE393219:CVE393220 DFA393219:DFA393220 DOW393219:DOW393220 DYS393219:DYS393220 EIO393219:EIO393220 ESK393219:ESK393220 FCG393219:FCG393220 FMC393219:FMC393220 FVY393219:FVY393220 GFU393219:GFU393220 GPQ393219:GPQ393220 GZM393219:GZM393220 HJI393219:HJI393220 HTE393219:HTE393220 IDA393219:IDA393220 IMW393219:IMW393220 IWS393219:IWS393220 JGO393219:JGO393220 JQK393219:JQK393220 KAG393219:KAG393220 KKC393219:KKC393220 KTY393219:KTY393220 LDU393219:LDU393220 LNQ393219:LNQ393220 LXM393219:LXM393220 MHI393219:MHI393220 MRE393219:MRE393220 NBA393219:NBA393220 NKW393219:NKW393220 NUS393219:NUS393220 OEO393219:OEO393220 OOK393219:OOK393220 OYG393219:OYG393220 PIC393219:PIC393220 PRY393219:PRY393220 QBU393219:QBU393220 QLQ393219:QLQ393220 QVM393219:QVM393220 RFI393219:RFI393220 RPE393219:RPE393220 RZA393219:RZA393220 SIW393219:SIW393220 SSS393219:SSS393220 TCO393219:TCO393220 TMK393219:TMK393220 TWG393219:TWG393220 UGC393219:UGC393220 UPY393219:UPY393220 UZU393219:UZU393220 VJQ393219:VJQ393220 VTM393219:VTM393220 WDI393219:WDI393220 WNE393219:WNE393220 WXA393219:WXA393220 AS458755:AS458756 KO458755:KO458756 UK458755:UK458756 AEG458755:AEG458756 AOC458755:AOC458756 AXY458755:AXY458756 BHU458755:BHU458756 BRQ458755:BRQ458756 CBM458755:CBM458756 CLI458755:CLI458756 CVE458755:CVE458756 DFA458755:DFA458756 DOW458755:DOW458756 DYS458755:DYS458756 EIO458755:EIO458756 ESK458755:ESK458756 FCG458755:FCG458756 FMC458755:FMC458756 FVY458755:FVY458756 GFU458755:GFU458756 GPQ458755:GPQ458756 GZM458755:GZM458756 HJI458755:HJI458756 HTE458755:HTE458756 IDA458755:IDA458756 IMW458755:IMW458756 IWS458755:IWS458756 JGO458755:JGO458756 JQK458755:JQK458756 KAG458755:KAG458756 KKC458755:KKC458756 KTY458755:KTY458756 LDU458755:LDU458756 LNQ458755:LNQ458756 LXM458755:LXM458756 MHI458755:MHI458756 MRE458755:MRE458756 NBA458755:NBA458756 NKW458755:NKW458756 NUS458755:NUS458756 OEO458755:OEO458756 OOK458755:OOK458756 OYG458755:OYG458756 PIC458755:PIC458756 PRY458755:PRY458756 QBU458755:QBU458756 QLQ458755:QLQ458756 QVM458755:QVM458756 RFI458755:RFI458756 RPE458755:RPE458756 RZA458755:RZA458756 SIW458755:SIW458756 SSS458755:SSS458756 TCO458755:TCO458756 TMK458755:TMK458756 TWG458755:TWG458756 UGC458755:UGC458756 UPY458755:UPY458756 UZU458755:UZU458756 VJQ458755:VJQ458756 VTM458755:VTM458756 WDI458755:WDI458756 WNE458755:WNE458756 WXA458755:WXA458756 AS524291:AS524292 KO524291:KO524292 UK524291:UK524292 AEG524291:AEG524292 AOC524291:AOC524292 AXY524291:AXY524292 BHU524291:BHU524292 BRQ524291:BRQ524292 CBM524291:CBM524292 CLI524291:CLI524292 CVE524291:CVE524292 DFA524291:DFA524292 DOW524291:DOW524292 DYS524291:DYS524292 EIO524291:EIO524292 ESK524291:ESK524292 FCG524291:FCG524292 FMC524291:FMC524292 FVY524291:FVY524292 GFU524291:GFU524292 GPQ524291:GPQ524292 GZM524291:GZM524292 HJI524291:HJI524292 HTE524291:HTE524292 IDA524291:IDA524292 IMW524291:IMW524292 IWS524291:IWS524292 JGO524291:JGO524292 JQK524291:JQK524292 KAG524291:KAG524292 KKC524291:KKC524292 KTY524291:KTY524292 LDU524291:LDU524292 LNQ524291:LNQ524292 LXM524291:LXM524292 MHI524291:MHI524292 MRE524291:MRE524292 NBA524291:NBA524292 NKW524291:NKW524292 NUS524291:NUS524292 OEO524291:OEO524292 OOK524291:OOK524292 OYG524291:OYG524292 PIC524291:PIC524292 PRY524291:PRY524292 QBU524291:QBU524292 QLQ524291:QLQ524292 QVM524291:QVM524292 RFI524291:RFI524292 RPE524291:RPE524292 RZA524291:RZA524292 SIW524291:SIW524292 SSS524291:SSS524292 TCO524291:TCO524292 TMK524291:TMK524292 TWG524291:TWG524292 UGC524291:UGC524292 UPY524291:UPY524292 UZU524291:UZU524292 VJQ524291:VJQ524292 VTM524291:VTM524292 WDI524291:WDI524292 WNE524291:WNE524292 WXA524291:WXA524292 AS589827:AS589828 KO589827:KO589828 UK589827:UK589828 AEG589827:AEG589828 AOC589827:AOC589828 AXY589827:AXY589828 BHU589827:BHU589828 BRQ589827:BRQ589828 CBM589827:CBM589828 CLI589827:CLI589828 CVE589827:CVE589828 DFA589827:DFA589828 DOW589827:DOW589828 DYS589827:DYS589828 EIO589827:EIO589828 ESK589827:ESK589828 FCG589827:FCG589828 FMC589827:FMC589828 FVY589827:FVY589828 GFU589827:GFU589828 GPQ589827:GPQ589828 GZM589827:GZM589828 HJI589827:HJI589828 HTE589827:HTE589828 IDA589827:IDA589828 IMW589827:IMW589828 IWS589827:IWS589828 JGO589827:JGO589828 JQK589827:JQK589828 KAG589827:KAG589828 KKC589827:KKC589828 KTY589827:KTY589828 LDU589827:LDU589828 LNQ589827:LNQ589828 LXM589827:LXM589828 MHI589827:MHI589828 MRE589827:MRE589828 NBA589827:NBA589828 NKW589827:NKW589828 NUS589827:NUS589828 OEO589827:OEO589828 OOK589827:OOK589828 OYG589827:OYG589828 PIC589827:PIC589828 PRY589827:PRY589828 QBU589827:QBU589828 QLQ589827:QLQ589828 QVM589827:QVM589828 RFI589827:RFI589828 RPE589827:RPE589828 RZA589827:RZA589828 SIW589827:SIW589828 SSS589827:SSS589828 TCO589827:TCO589828 TMK589827:TMK589828 TWG589827:TWG589828 UGC589827:UGC589828 UPY589827:UPY589828 UZU589827:UZU589828 VJQ589827:VJQ589828 VTM589827:VTM589828 WDI589827:WDI589828 WNE589827:WNE589828 WXA589827:WXA589828 AS655363:AS655364 KO655363:KO655364 UK655363:UK655364 AEG655363:AEG655364 AOC655363:AOC655364 AXY655363:AXY655364 BHU655363:BHU655364 BRQ655363:BRQ655364 CBM655363:CBM655364 CLI655363:CLI655364 CVE655363:CVE655364 DFA655363:DFA655364 DOW655363:DOW655364 DYS655363:DYS655364 EIO655363:EIO655364 ESK655363:ESK655364 FCG655363:FCG655364 FMC655363:FMC655364 FVY655363:FVY655364 GFU655363:GFU655364 GPQ655363:GPQ655364 GZM655363:GZM655364 HJI655363:HJI655364 HTE655363:HTE655364 IDA655363:IDA655364 IMW655363:IMW655364 IWS655363:IWS655364 JGO655363:JGO655364 JQK655363:JQK655364 KAG655363:KAG655364 KKC655363:KKC655364 KTY655363:KTY655364 LDU655363:LDU655364 LNQ655363:LNQ655364 LXM655363:LXM655364 MHI655363:MHI655364 MRE655363:MRE655364 NBA655363:NBA655364 NKW655363:NKW655364 NUS655363:NUS655364 OEO655363:OEO655364 OOK655363:OOK655364 OYG655363:OYG655364 PIC655363:PIC655364 PRY655363:PRY655364 QBU655363:QBU655364 QLQ655363:QLQ655364 QVM655363:QVM655364 RFI655363:RFI655364 RPE655363:RPE655364 RZA655363:RZA655364 SIW655363:SIW655364 SSS655363:SSS655364 TCO655363:TCO655364 TMK655363:TMK655364 TWG655363:TWG655364 UGC655363:UGC655364 UPY655363:UPY655364 UZU655363:UZU655364 VJQ655363:VJQ655364 VTM655363:VTM655364 WDI655363:WDI655364 WNE655363:WNE655364 WXA655363:WXA655364 AK3:AK4 KG3:KG4 UC3:UC4 ADY3:ADY4 ANU3:ANU4 AXQ3:AXQ4 BHM3:BHM4 BRI3:BRI4 CBE3:CBE4 CLA3:CLA4 CUW3:CUW4 DES3:DES4 DOO3:DOO4 DYK3:DYK4 EIG3:EIG4 ESC3:ESC4 FBY3:FBY4 FLU3:FLU4 FVQ3:FVQ4 GFM3:GFM4 GPI3:GPI4 GZE3:GZE4 HJA3:HJA4 HSW3:HSW4 ICS3:ICS4 IMO3:IMO4 IWK3:IWK4 JGG3:JGG4 JQC3:JQC4 JZY3:JZY4 KJU3:KJU4 KTQ3:KTQ4 LDM3:LDM4 LNI3:LNI4 LXE3:LXE4 MHA3:MHA4 MQW3:MQW4 NAS3:NAS4 NKO3:NKO4 NUK3:NUK4 OEG3:OEG4 OOC3:OOC4 OXY3:OXY4 PHU3:PHU4 PRQ3:PRQ4 QBM3:QBM4 QLI3:QLI4 QVE3:QVE4 RFA3:RFA4 ROW3:ROW4 RYS3:RYS4 SIO3:SIO4 SSK3:SSK4 TCG3:TCG4 TMC3:TMC4 TVY3:TVY4 UFU3:UFU4 UPQ3:UPQ4 UZM3:UZM4 VJI3:VJI4 VTE3:VTE4 WDA3:WDA4 WMW3:WMW4 WWS3:WWS4 AO3:AO4 KK3:KK4 UG3:UG4 AEC3:AEC4 ANY3:ANY4 AXU3:AXU4 BHQ3:BHQ4 BRM3:BRM4 CBI3:CBI4 CLE3:CLE4 CVA3:CVA4 DEW3:DEW4 DOS3:DOS4 DYO3:DYO4 EIK3:EIK4 ESG3:ESG4 FCC3:FCC4 FLY3:FLY4 FVU3:FVU4 GFQ3:GFQ4 GPM3:GPM4 GZI3:GZI4 HJE3:HJE4 HTA3:HTA4 ICW3:ICW4 IMS3:IMS4 IWO3:IWO4 JGK3:JGK4 JQG3:JQG4 KAC3:KAC4 KJY3:KJY4 KTU3:KTU4 LDQ3:LDQ4 LNM3:LNM4 LXI3:LXI4 MHE3:MHE4 MRA3:MRA4 NAW3:NAW4 NKS3:NKS4 NUO3:NUO4 OEK3:OEK4 OOG3:OOG4 OYC3:OYC4 PHY3:PHY4 PRU3:PRU4 QBQ3:QBQ4 QLM3:QLM4 QVI3:QVI4 RFE3:RFE4 RPA3:RPA4 RYW3:RYW4 SIS3:SIS4 SSO3:SSO4 TCK3:TCK4 TMG3:TMG4 TWC3:TWC4 UFY3:UFY4 UPU3:UPU4 UZQ3:UZQ4 VJM3:VJM4 VTI3:VTI4 WDE3:WDE4 WNA3:WNA4 WWW3:WWW4 AC3:AC4 JY3:JY4 TU3:TU4 ADQ3:ADQ4 ANM3:ANM4 AXI3:AXI4 BHE3:BHE4 BRA3:BRA4 CAW3:CAW4 CKS3:CKS4 CUO3:CUO4 DEK3:DEK4 DOG3:DOG4 DYC3:DYC4 EHY3:EHY4 ERU3:ERU4 FBQ3:FBQ4 FLM3:FLM4 FVI3:FVI4 GFE3:GFE4 GPA3:GPA4 GYW3:GYW4 HIS3:HIS4 HSO3:HSO4 ICK3:ICK4 IMG3:IMG4 IWC3:IWC4 JFY3:JFY4 JPU3:JPU4 JZQ3:JZQ4 KJM3:KJM4 KTI3:KTI4 LDE3:LDE4 LNA3:LNA4 LWW3:LWW4 MGS3:MGS4 MQO3:MQO4 NAK3:NAK4 NKG3:NKG4 NUC3:NUC4 ODY3:ODY4 ONU3:ONU4 OXQ3:OXQ4 PHM3:PHM4 PRI3:PRI4 QBE3:QBE4 QLA3:QLA4 QUW3:QUW4 RES3:RES4 ROO3:ROO4 RYK3:RYK4 SIG3:SIG4 SSC3:SSC4 TBY3:TBY4 TLU3:TLU4 TVQ3:TVQ4 UFM3:UFM4 UPI3:UPI4 UZE3:UZE4 VJA3:VJA4 VSW3:VSW4 WCS3:WCS4 WMO3:WMO4 WWK3:WWK4 AG3:AG4 KC3:KC4 TY3:TY4 ADU3:ADU4 ANQ3:ANQ4 AXM3:AXM4 BHI3:BHI4 BRE3:BRE4 CBA3:CBA4 CKW3:CKW4 CUS3:CUS4 DEO3:DEO4 DOK3:DOK4 DYG3:DYG4 EIC3:EIC4 ERY3:ERY4 FBU3:FBU4 FLQ3:FLQ4 FVM3:FVM4 GFI3:GFI4 GPE3:GPE4 GZA3:GZA4 HIW3:HIW4 HSS3:HSS4 ICO3:ICO4 IMK3:IMK4 IWG3:IWG4 JGC3:JGC4 JPY3:JPY4 JZU3:JZU4 KJQ3:KJQ4 KTM3:KTM4 LDI3:LDI4 LNE3:LNE4 LXA3:LXA4 MGW3:MGW4 MQS3:MQS4 NAO3:NAO4 NKK3:NKK4 NUG3:NUG4 OEC3:OEC4 ONY3:ONY4 OXU3:OXU4 PHQ3:PHQ4 PRM3:PRM4 QBI3:QBI4 QLE3:QLE4 QVA3:QVA4 REW3:REW4 ROS3:ROS4 RYO3:RYO4 SIK3:SIK4 SSG3:SSG4 TCC3:TCC4 TLY3:TLY4 TVU3:TVU4 UFQ3:UFQ4 UPM3:UPM4 UZI3:UZI4 VJE3:VJE4 VTA3:VTA4 WCW3:WCW4 WMS3:WMS4 WWO3:WWO4 AS3:AS4 KO3:KO4 UK3:UK4 AEG3:AEG4 AOC3:AOC4 AXY3:AXY4 BHU3:BHU4 BRQ3:BRQ4 CBM3:CBM4 CLI3:CLI4 CVE3:CVE4 DFA3:DFA4 DOW3:DOW4 DYS3:DYS4 EIO3:EIO4 ESK3:ESK4 FCG3:FCG4 FMC3:FMC4 FVY3:FVY4 GFU3:GFU4 GPQ3:GPQ4 GZM3:GZM4 HJI3:HJI4 HTE3:HTE4 IDA3:IDA4 IMW3:IMW4 IWS3:IWS4 JGO3:JGO4 JQK3:JQK4 KAG3:KAG4 KKC3:KKC4 KTY3:KTY4 LDU3:LDU4 LNQ3:LNQ4 LXM3:LXM4 MHI3:MHI4 MRE3:MRE4 NBA3:NBA4 NKW3:NKW4 NUS3:NUS4 OEO3:OEO4 OOK3:OOK4 OYG3:OYG4 PIC3:PIC4 PRY3:PRY4 QBU3:QBU4 QLQ3:QLQ4 QVM3:QVM4 RFI3:RFI4 RPE3:RPE4 RZA3:RZA4 SIW3:SIW4 SSS3:SSS4 TCO3:TCO4 TMK3:TMK4 TWG3:TWG4 UGC3:UGC4 UPY3:UPY4 UZU3:UZU4 VJQ3:VJQ4 VTM3:VTM4 WDI3:WDI4 WNE3:WNE4 WXA3:WXA4" xr:uid="{00000000-0002-0000-0600-000002000000}"/>
    <dataValidation type="decimal" operator="greaterThanOrEqual" allowBlank="1" showInputMessage="1" showErrorMessage="1" promptTitle="Future Warehouse Stock Quantity" prompt="Optionally input a Quantity of stock that you wish to report as arriving soon to this warehouse._x000a_" sqref="AR720899:AR720900 KN720899:KN720900 UJ720899:UJ720900 AEF720899:AEF720900 AOB720899:AOB720900 AXX720899:AXX720900 BHT720899:BHT720900 BRP720899:BRP720900 CBL720899:CBL720900 CLH720899:CLH720900 CVD720899:CVD720900 DEZ720899:DEZ720900 DOV720899:DOV720900 DYR720899:DYR720900 EIN720899:EIN720900 ESJ720899:ESJ720900 FCF720899:FCF720900 FMB720899:FMB720900 FVX720899:FVX720900 GFT720899:GFT720900 GPP720899:GPP720900 GZL720899:GZL720900 HJH720899:HJH720900 HTD720899:HTD720900 ICZ720899:ICZ720900 IMV720899:IMV720900 IWR720899:IWR720900 JGN720899:JGN720900 JQJ720899:JQJ720900 KAF720899:KAF720900 KKB720899:KKB720900 KTX720899:KTX720900 LDT720899:LDT720900 LNP720899:LNP720900 LXL720899:LXL720900 MHH720899:MHH720900 MRD720899:MRD720900 NAZ720899:NAZ720900 NKV720899:NKV720900 NUR720899:NUR720900 OEN720899:OEN720900 OOJ720899:OOJ720900 OYF720899:OYF720900 PIB720899:PIB720900 PRX720899:PRX720900 QBT720899:QBT720900 QLP720899:QLP720900 QVL720899:QVL720900 RFH720899:RFH720900 RPD720899:RPD720900 RYZ720899:RYZ720900 SIV720899:SIV720900 SSR720899:SSR720900 TCN720899:TCN720900 TMJ720899:TMJ720900 TWF720899:TWF720900 UGB720899:UGB720900 UPX720899:UPX720900 UZT720899:UZT720900 VJP720899:VJP720900 VTL720899:VTL720900 WDH720899:WDH720900 WND720899:WND720900 WWZ720899:WWZ720900 AN65539:AN65540 KJ65539:KJ65540 UF65539:UF65540 AEB65539:AEB65540 ANX65539:ANX65540 AXT65539:AXT65540 BHP65539:BHP65540 BRL65539:BRL65540 CBH65539:CBH65540 CLD65539:CLD65540 CUZ65539:CUZ65540 DEV65539:DEV65540 DOR65539:DOR65540 DYN65539:DYN65540 EIJ65539:EIJ65540 ESF65539:ESF65540 FCB65539:FCB65540 FLX65539:FLX65540 FVT65539:FVT65540 GFP65539:GFP65540 GPL65539:GPL65540 GZH65539:GZH65540 HJD65539:HJD65540 HSZ65539:HSZ65540 ICV65539:ICV65540 IMR65539:IMR65540 IWN65539:IWN65540 JGJ65539:JGJ65540 JQF65539:JQF65540 KAB65539:KAB65540 KJX65539:KJX65540 KTT65539:KTT65540 LDP65539:LDP65540 LNL65539:LNL65540 LXH65539:LXH65540 MHD65539:MHD65540 MQZ65539:MQZ65540 NAV65539:NAV65540 NKR65539:NKR65540 NUN65539:NUN65540 OEJ65539:OEJ65540 OOF65539:OOF65540 OYB65539:OYB65540 PHX65539:PHX65540 PRT65539:PRT65540 QBP65539:QBP65540 QLL65539:QLL65540 QVH65539:QVH65540 RFD65539:RFD65540 ROZ65539:ROZ65540 RYV65539:RYV65540 SIR65539:SIR65540 SSN65539:SSN65540 TCJ65539:TCJ65540 TMF65539:TMF65540 TWB65539:TWB65540 UFX65539:UFX65540 UPT65539:UPT65540 UZP65539:UZP65540 VJL65539:VJL65540 VTH65539:VTH65540 WDD65539:WDD65540 WMZ65539:WMZ65540 WWV65539:WWV65540 AN131075:AN131076 KJ131075:KJ131076 UF131075:UF131076 AEB131075:AEB131076 ANX131075:ANX131076 AXT131075:AXT131076 BHP131075:BHP131076 BRL131075:BRL131076 CBH131075:CBH131076 CLD131075:CLD131076 CUZ131075:CUZ131076 DEV131075:DEV131076 DOR131075:DOR131076 DYN131075:DYN131076 EIJ131075:EIJ131076 ESF131075:ESF131076 FCB131075:FCB131076 FLX131075:FLX131076 FVT131075:FVT131076 GFP131075:GFP131076 GPL131075:GPL131076 GZH131075:GZH131076 HJD131075:HJD131076 HSZ131075:HSZ131076 ICV131075:ICV131076 IMR131075:IMR131076 IWN131075:IWN131076 JGJ131075:JGJ131076 JQF131075:JQF131076 KAB131075:KAB131076 KJX131075:KJX131076 KTT131075:KTT131076 LDP131075:LDP131076 LNL131075:LNL131076 LXH131075:LXH131076 MHD131075:MHD131076 MQZ131075:MQZ131076 NAV131075:NAV131076 NKR131075:NKR131076 NUN131075:NUN131076 OEJ131075:OEJ131076 OOF131075:OOF131076 OYB131075:OYB131076 PHX131075:PHX131076 PRT131075:PRT131076 QBP131075:QBP131076 QLL131075:QLL131076 QVH131075:QVH131076 RFD131075:RFD131076 ROZ131075:ROZ131076 RYV131075:RYV131076 SIR131075:SIR131076 SSN131075:SSN131076 TCJ131075:TCJ131076 TMF131075:TMF131076 TWB131075:TWB131076 UFX131075:UFX131076 UPT131075:UPT131076 UZP131075:UZP131076 VJL131075:VJL131076 VTH131075:VTH131076 WDD131075:WDD131076 WMZ131075:WMZ131076 WWV131075:WWV131076 AN196611:AN196612 KJ196611:KJ196612 UF196611:UF196612 AEB196611:AEB196612 ANX196611:ANX196612 AXT196611:AXT196612 BHP196611:BHP196612 BRL196611:BRL196612 CBH196611:CBH196612 CLD196611:CLD196612 CUZ196611:CUZ196612 DEV196611:DEV196612 DOR196611:DOR196612 DYN196611:DYN196612 EIJ196611:EIJ196612 ESF196611:ESF196612 FCB196611:FCB196612 FLX196611:FLX196612 FVT196611:FVT196612 GFP196611:GFP196612 GPL196611:GPL196612 GZH196611:GZH196612 HJD196611:HJD196612 HSZ196611:HSZ196612 ICV196611:ICV196612 IMR196611:IMR196612 IWN196611:IWN196612 JGJ196611:JGJ196612 JQF196611:JQF196612 KAB196611:KAB196612 KJX196611:KJX196612 KTT196611:KTT196612 LDP196611:LDP196612 LNL196611:LNL196612 LXH196611:LXH196612 MHD196611:MHD196612 MQZ196611:MQZ196612 NAV196611:NAV196612 NKR196611:NKR196612 NUN196611:NUN196612 OEJ196611:OEJ196612 OOF196611:OOF196612 OYB196611:OYB196612 PHX196611:PHX196612 PRT196611:PRT196612 QBP196611:QBP196612 QLL196611:QLL196612 QVH196611:QVH196612 RFD196611:RFD196612 ROZ196611:ROZ196612 RYV196611:RYV196612 SIR196611:SIR196612 SSN196611:SSN196612 TCJ196611:TCJ196612 TMF196611:TMF196612 TWB196611:TWB196612 UFX196611:UFX196612 UPT196611:UPT196612 UZP196611:UZP196612 VJL196611:VJL196612 VTH196611:VTH196612 WDD196611:WDD196612 WMZ196611:WMZ196612 WWV196611:WWV196612 AN262147:AN262148 KJ262147:KJ262148 UF262147:UF262148 AEB262147:AEB262148 ANX262147:ANX262148 AXT262147:AXT262148 BHP262147:BHP262148 BRL262147:BRL262148 CBH262147:CBH262148 CLD262147:CLD262148 CUZ262147:CUZ262148 DEV262147:DEV262148 DOR262147:DOR262148 DYN262147:DYN262148 EIJ262147:EIJ262148 ESF262147:ESF262148 FCB262147:FCB262148 FLX262147:FLX262148 FVT262147:FVT262148 GFP262147:GFP262148 GPL262147:GPL262148 GZH262147:GZH262148 HJD262147:HJD262148 HSZ262147:HSZ262148 ICV262147:ICV262148 IMR262147:IMR262148 IWN262147:IWN262148 JGJ262147:JGJ262148 JQF262147:JQF262148 KAB262147:KAB262148 KJX262147:KJX262148 KTT262147:KTT262148 LDP262147:LDP262148 LNL262147:LNL262148 LXH262147:LXH262148 MHD262147:MHD262148 MQZ262147:MQZ262148 NAV262147:NAV262148 NKR262147:NKR262148 NUN262147:NUN262148 OEJ262147:OEJ262148 OOF262147:OOF262148 OYB262147:OYB262148 PHX262147:PHX262148 PRT262147:PRT262148 QBP262147:QBP262148 QLL262147:QLL262148 QVH262147:QVH262148 RFD262147:RFD262148 ROZ262147:ROZ262148 RYV262147:RYV262148 SIR262147:SIR262148 SSN262147:SSN262148 TCJ262147:TCJ262148 TMF262147:TMF262148 TWB262147:TWB262148 UFX262147:UFX262148 UPT262147:UPT262148 UZP262147:UZP262148 VJL262147:VJL262148 VTH262147:VTH262148 WDD262147:WDD262148 WMZ262147:WMZ262148 WWV262147:WWV262148 AN327683:AN327684 KJ327683:KJ327684 UF327683:UF327684 AEB327683:AEB327684 ANX327683:ANX327684 AXT327683:AXT327684 BHP327683:BHP327684 BRL327683:BRL327684 CBH327683:CBH327684 CLD327683:CLD327684 CUZ327683:CUZ327684 DEV327683:DEV327684 DOR327683:DOR327684 DYN327683:DYN327684 EIJ327683:EIJ327684 ESF327683:ESF327684 FCB327683:FCB327684 FLX327683:FLX327684 FVT327683:FVT327684 GFP327683:GFP327684 GPL327683:GPL327684 GZH327683:GZH327684 HJD327683:HJD327684 HSZ327683:HSZ327684 ICV327683:ICV327684 IMR327683:IMR327684 IWN327683:IWN327684 JGJ327683:JGJ327684 JQF327683:JQF327684 KAB327683:KAB327684 KJX327683:KJX327684 KTT327683:KTT327684 LDP327683:LDP327684 LNL327683:LNL327684 LXH327683:LXH327684 MHD327683:MHD327684 MQZ327683:MQZ327684 NAV327683:NAV327684 NKR327683:NKR327684 NUN327683:NUN327684 OEJ327683:OEJ327684 OOF327683:OOF327684 OYB327683:OYB327684 PHX327683:PHX327684 PRT327683:PRT327684 QBP327683:QBP327684 QLL327683:QLL327684 QVH327683:QVH327684 RFD327683:RFD327684 ROZ327683:ROZ327684 RYV327683:RYV327684 SIR327683:SIR327684 SSN327683:SSN327684 TCJ327683:TCJ327684 TMF327683:TMF327684 TWB327683:TWB327684 UFX327683:UFX327684 UPT327683:UPT327684 UZP327683:UZP327684 VJL327683:VJL327684 VTH327683:VTH327684 WDD327683:WDD327684 WMZ327683:WMZ327684 WWV327683:WWV327684 AN393219:AN393220 KJ393219:KJ393220 UF393219:UF393220 AEB393219:AEB393220 ANX393219:ANX393220 AXT393219:AXT393220 BHP393219:BHP393220 BRL393219:BRL393220 CBH393219:CBH393220 CLD393219:CLD393220 CUZ393219:CUZ393220 DEV393219:DEV393220 DOR393219:DOR393220 DYN393219:DYN393220 EIJ393219:EIJ393220 ESF393219:ESF393220 FCB393219:FCB393220 FLX393219:FLX393220 FVT393219:FVT393220 GFP393219:GFP393220 GPL393219:GPL393220 GZH393219:GZH393220 HJD393219:HJD393220 HSZ393219:HSZ393220 ICV393219:ICV393220 IMR393219:IMR393220 IWN393219:IWN393220 JGJ393219:JGJ393220 JQF393219:JQF393220 KAB393219:KAB393220 KJX393219:KJX393220 KTT393219:KTT393220 LDP393219:LDP393220 LNL393219:LNL393220 LXH393219:LXH393220 MHD393219:MHD393220 MQZ393219:MQZ393220 NAV393219:NAV393220 NKR393219:NKR393220 NUN393219:NUN393220 OEJ393219:OEJ393220 OOF393219:OOF393220 OYB393219:OYB393220 PHX393219:PHX393220 PRT393219:PRT393220 QBP393219:QBP393220 QLL393219:QLL393220 QVH393219:QVH393220 RFD393219:RFD393220 ROZ393219:ROZ393220 RYV393219:RYV393220 SIR393219:SIR393220 SSN393219:SSN393220 TCJ393219:TCJ393220 TMF393219:TMF393220 TWB393219:TWB393220 UFX393219:UFX393220 UPT393219:UPT393220 UZP393219:UZP393220 VJL393219:VJL393220 VTH393219:VTH393220 WDD393219:WDD393220 WMZ393219:WMZ393220 WWV393219:WWV393220 AN458755:AN458756 KJ458755:KJ458756 UF458755:UF458756 AEB458755:AEB458756 ANX458755:ANX458756 AXT458755:AXT458756 BHP458755:BHP458756 BRL458755:BRL458756 CBH458755:CBH458756 CLD458755:CLD458756 CUZ458755:CUZ458756 DEV458755:DEV458756 DOR458755:DOR458756 DYN458755:DYN458756 EIJ458755:EIJ458756 ESF458755:ESF458756 FCB458755:FCB458756 FLX458755:FLX458756 FVT458755:FVT458756 GFP458755:GFP458756 GPL458755:GPL458756 GZH458755:GZH458756 HJD458755:HJD458756 HSZ458755:HSZ458756 ICV458755:ICV458756 IMR458755:IMR458756 IWN458755:IWN458756 JGJ458755:JGJ458756 JQF458755:JQF458756 KAB458755:KAB458756 KJX458755:KJX458756 KTT458755:KTT458756 LDP458755:LDP458756 LNL458755:LNL458756 LXH458755:LXH458756 MHD458755:MHD458756 MQZ458755:MQZ458756 NAV458755:NAV458756 NKR458755:NKR458756 NUN458755:NUN458756 OEJ458755:OEJ458756 OOF458755:OOF458756 OYB458755:OYB458756 PHX458755:PHX458756 PRT458755:PRT458756 QBP458755:QBP458756 QLL458755:QLL458756 QVH458755:QVH458756 RFD458755:RFD458756 ROZ458755:ROZ458756 RYV458755:RYV458756 SIR458755:SIR458756 SSN458755:SSN458756 TCJ458755:TCJ458756 TMF458755:TMF458756 TWB458755:TWB458756 UFX458755:UFX458756 UPT458755:UPT458756 UZP458755:UZP458756 VJL458755:VJL458756 VTH458755:VTH458756 WDD458755:WDD458756 WMZ458755:WMZ458756 WWV458755:WWV458756 AN524291:AN524292 KJ524291:KJ524292 UF524291:UF524292 AEB524291:AEB524292 ANX524291:ANX524292 AXT524291:AXT524292 BHP524291:BHP524292 BRL524291:BRL524292 CBH524291:CBH524292 CLD524291:CLD524292 CUZ524291:CUZ524292 DEV524291:DEV524292 DOR524291:DOR524292 DYN524291:DYN524292 EIJ524291:EIJ524292 ESF524291:ESF524292 FCB524291:FCB524292 FLX524291:FLX524292 FVT524291:FVT524292 GFP524291:GFP524292 GPL524291:GPL524292 GZH524291:GZH524292 HJD524291:HJD524292 HSZ524291:HSZ524292 ICV524291:ICV524292 IMR524291:IMR524292 IWN524291:IWN524292 JGJ524291:JGJ524292 JQF524291:JQF524292 KAB524291:KAB524292 KJX524291:KJX524292 KTT524291:KTT524292 LDP524291:LDP524292 LNL524291:LNL524292 LXH524291:LXH524292 MHD524291:MHD524292 MQZ524291:MQZ524292 NAV524291:NAV524292 NKR524291:NKR524292 NUN524291:NUN524292 OEJ524291:OEJ524292 OOF524291:OOF524292 OYB524291:OYB524292 PHX524291:PHX524292 PRT524291:PRT524292 QBP524291:QBP524292 QLL524291:QLL524292 QVH524291:QVH524292 RFD524291:RFD524292 ROZ524291:ROZ524292 RYV524291:RYV524292 SIR524291:SIR524292 SSN524291:SSN524292 TCJ524291:TCJ524292 TMF524291:TMF524292 TWB524291:TWB524292 UFX524291:UFX524292 UPT524291:UPT524292 UZP524291:UZP524292 VJL524291:VJL524292 VTH524291:VTH524292 WDD524291:WDD524292 WMZ524291:WMZ524292 WWV524291:WWV524292 AN589827:AN589828 KJ589827:KJ589828 UF589827:UF589828 AEB589827:AEB589828 ANX589827:ANX589828 AXT589827:AXT589828 BHP589827:BHP589828 BRL589827:BRL589828 CBH589827:CBH589828 CLD589827:CLD589828 CUZ589827:CUZ589828 DEV589827:DEV589828 DOR589827:DOR589828 DYN589827:DYN589828 EIJ589827:EIJ589828 ESF589827:ESF589828 FCB589827:FCB589828 FLX589827:FLX589828 FVT589827:FVT589828 GFP589827:GFP589828 GPL589827:GPL589828 GZH589827:GZH589828 HJD589827:HJD589828 HSZ589827:HSZ589828 ICV589827:ICV589828 IMR589827:IMR589828 IWN589827:IWN589828 JGJ589827:JGJ589828 JQF589827:JQF589828 KAB589827:KAB589828 KJX589827:KJX589828 KTT589827:KTT589828 LDP589827:LDP589828 LNL589827:LNL589828 LXH589827:LXH589828 MHD589827:MHD589828 MQZ589827:MQZ589828 NAV589827:NAV589828 NKR589827:NKR589828 NUN589827:NUN589828 OEJ589827:OEJ589828 OOF589827:OOF589828 OYB589827:OYB589828 PHX589827:PHX589828 PRT589827:PRT589828 QBP589827:QBP589828 QLL589827:QLL589828 QVH589827:QVH589828 RFD589827:RFD589828 ROZ589827:ROZ589828 RYV589827:RYV589828 SIR589827:SIR589828 SSN589827:SSN589828 TCJ589827:TCJ589828 TMF589827:TMF589828 TWB589827:TWB589828 UFX589827:UFX589828 UPT589827:UPT589828 UZP589827:UZP589828 VJL589827:VJL589828 VTH589827:VTH589828 WDD589827:WDD589828 WMZ589827:WMZ589828 WWV589827:WWV589828 AN655363:AN655364 KJ655363:KJ655364 UF655363:UF655364 AEB655363:AEB655364 ANX655363:ANX655364 AXT655363:AXT655364 BHP655363:BHP655364 BRL655363:BRL655364 CBH655363:CBH655364 CLD655363:CLD655364 CUZ655363:CUZ655364 DEV655363:DEV655364 DOR655363:DOR655364 DYN655363:DYN655364 EIJ655363:EIJ655364 ESF655363:ESF655364 FCB655363:FCB655364 FLX655363:FLX655364 FVT655363:FVT655364 GFP655363:GFP655364 GPL655363:GPL655364 GZH655363:GZH655364 HJD655363:HJD655364 HSZ655363:HSZ655364 ICV655363:ICV655364 IMR655363:IMR655364 IWN655363:IWN655364 JGJ655363:JGJ655364 JQF655363:JQF655364 KAB655363:KAB655364 KJX655363:KJX655364 KTT655363:KTT655364 LDP655363:LDP655364 LNL655363:LNL655364 LXH655363:LXH655364 MHD655363:MHD655364 MQZ655363:MQZ655364 NAV655363:NAV655364 NKR655363:NKR655364 NUN655363:NUN655364 OEJ655363:OEJ655364 OOF655363:OOF655364 OYB655363:OYB655364 PHX655363:PHX655364 PRT655363:PRT655364 QBP655363:QBP655364 QLL655363:QLL655364 QVH655363:QVH655364 RFD655363:RFD655364 ROZ655363:ROZ655364 RYV655363:RYV655364 SIR655363:SIR655364 SSN655363:SSN655364 TCJ655363:TCJ655364 TMF655363:TMF655364 TWB655363:TWB655364 UFX655363:UFX655364 UPT655363:UPT655364 UZP655363:UZP655364 VJL655363:VJL655364 VTH655363:VTH655364 WDD655363:WDD655364 WMZ655363:WMZ655364 WWV655363:WWV655364 AN720899:AN720900 KJ720899:KJ720900 UF720899:UF720900 AEB720899:AEB720900 ANX720899:ANX720900 AXT720899:AXT720900 BHP720899:BHP720900 BRL720899:BRL720900 CBH720899:CBH720900 CLD720899:CLD720900 CUZ720899:CUZ720900 DEV720899:DEV720900 DOR720899:DOR720900 DYN720899:DYN720900 EIJ720899:EIJ720900 ESF720899:ESF720900 FCB720899:FCB720900 FLX720899:FLX720900 FVT720899:FVT720900 GFP720899:GFP720900 GPL720899:GPL720900 GZH720899:GZH720900 HJD720899:HJD720900 HSZ720899:HSZ720900 ICV720899:ICV720900 IMR720899:IMR720900 IWN720899:IWN720900 JGJ720899:JGJ720900 JQF720899:JQF720900 KAB720899:KAB720900 KJX720899:KJX720900 KTT720899:KTT720900 LDP720899:LDP720900 LNL720899:LNL720900 LXH720899:LXH720900 MHD720899:MHD720900 MQZ720899:MQZ720900 NAV720899:NAV720900 NKR720899:NKR720900 NUN720899:NUN720900 OEJ720899:OEJ720900 OOF720899:OOF720900 OYB720899:OYB720900 PHX720899:PHX720900 PRT720899:PRT720900 QBP720899:QBP720900 QLL720899:QLL720900 QVH720899:QVH720900 RFD720899:RFD720900 ROZ720899:ROZ720900 RYV720899:RYV720900 SIR720899:SIR720900 SSN720899:SSN720900 TCJ720899:TCJ720900 TMF720899:TMF720900 TWB720899:TWB720900 UFX720899:UFX720900 UPT720899:UPT720900 UZP720899:UZP720900 VJL720899:VJL720900 VTH720899:VTH720900 WDD720899:WDD720900 WMZ720899:WMZ720900 WWV720899:WWV720900 AN786435:AN786436 KJ786435:KJ786436 UF786435:UF786436 AEB786435:AEB786436 ANX786435:ANX786436 AXT786435:AXT786436 BHP786435:BHP786436 BRL786435:BRL786436 CBH786435:CBH786436 CLD786435:CLD786436 CUZ786435:CUZ786436 DEV786435:DEV786436 DOR786435:DOR786436 DYN786435:DYN786436 EIJ786435:EIJ786436 ESF786435:ESF786436 FCB786435:FCB786436 FLX786435:FLX786436 FVT786435:FVT786436 GFP786435:GFP786436 GPL786435:GPL786436 GZH786435:GZH786436 HJD786435:HJD786436 HSZ786435:HSZ786436 ICV786435:ICV786436 IMR786435:IMR786436 IWN786435:IWN786436 JGJ786435:JGJ786436 JQF786435:JQF786436 KAB786435:KAB786436 KJX786435:KJX786436 KTT786435:KTT786436 LDP786435:LDP786436 LNL786435:LNL786436 LXH786435:LXH786436 MHD786435:MHD786436 MQZ786435:MQZ786436 NAV786435:NAV786436 NKR786435:NKR786436 NUN786435:NUN786436 OEJ786435:OEJ786436 OOF786435:OOF786436 OYB786435:OYB786436 PHX786435:PHX786436 PRT786435:PRT786436 QBP786435:QBP786436 QLL786435:QLL786436 QVH786435:QVH786436 RFD786435:RFD786436 ROZ786435:ROZ786436 RYV786435:RYV786436 SIR786435:SIR786436 SSN786435:SSN786436 TCJ786435:TCJ786436 TMF786435:TMF786436 TWB786435:TWB786436 UFX786435:UFX786436 UPT786435:UPT786436 UZP786435:UZP786436 VJL786435:VJL786436 VTH786435:VTH786436 WDD786435:WDD786436 WMZ786435:WMZ786436 WWV786435:WWV786436 AN851971:AN851972 KJ851971:KJ851972 UF851971:UF851972 AEB851971:AEB851972 ANX851971:ANX851972 AXT851971:AXT851972 BHP851971:BHP851972 BRL851971:BRL851972 CBH851971:CBH851972 CLD851971:CLD851972 CUZ851971:CUZ851972 DEV851971:DEV851972 DOR851971:DOR851972 DYN851971:DYN851972 EIJ851971:EIJ851972 ESF851971:ESF851972 FCB851971:FCB851972 FLX851971:FLX851972 FVT851971:FVT851972 GFP851971:GFP851972 GPL851971:GPL851972 GZH851971:GZH851972 HJD851971:HJD851972 HSZ851971:HSZ851972 ICV851971:ICV851972 IMR851971:IMR851972 IWN851971:IWN851972 JGJ851971:JGJ851972 JQF851971:JQF851972 KAB851971:KAB851972 KJX851971:KJX851972 KTT851971:KTT851972 LDP851971:LDP851972 LNL851971:LNL851972 LXH851971:LXH851972 MHD851971:MHD851972 MQZ851971:MQZ851972 NAV851971:NAV851972 NKR851971:NKR851972 NUN851971:NUN851972 OEJ851971:OEJ851972 OOF851971:OOF851972 OYB851971:OYB851972 PHX851971:PHX851972 PRT851971:PRT851972 QBP851971:QBP851972 QLL851971:QLL851972 QVH851971:QVH851972 RFD851971:RFD851972 ROZ851971:ROZ851972 RYV851971:RYV851972 SIR851971:SIR851972 SSN851971:SSN851972 TCJ851971:TCJ851972 TMF851971:TMF851972 TWB851971:TWB851972 UFX851971:UFX851972 UPT851971:UPT851972 UZP851971:UZP851972 VJL851971:VJL851972 VTH851971:VTH851972 WDD851971:WDD851972 WMZ851971:WMZ851972 WWV851971:WWV851972 AN917507:AN917508 KJ917507:KJ917508 UF917507:UF917508 AEB917507:AEB917508 ANX917507:ANX917508 AXT917507:AXT917508 BHP917507:BHP917508 BRL917507:BRL917508 CBH917507:CBH917508 CLD917507:CLD917508 CUZ917507:CUZ917508 DEV917507:DEV917508 DOR917507:DOR917508 DYN917507:DYN917508 EIJ917507:EIJ917508 ESF917507:ESF917508 FCB917507:FCB917508 FLX917507:FLX917508 FVT917507:FVT917508 GFP917507:GFP917508 GPL917507:GPL917508 GZH917507:GZH917508 HJD917507:HJD917508 HSZ917507:HSZ917508 ICV917507:ICV917508 IMR917507:IMR917508 IWN917507:IWN917508 JGJ917507:JGJ917508 JQF917507:JQF917508 KAB917507:KAB917508 KJX917507:KJX917508 KTT917507:KTT917508 LDP917507:LDP917508 LNL917507:LNL917508 LXH917507:LXH917508 MHD917507:MHD917508 MQZ917507:MQZ917508 NAV917507:NAV917508 NKR917507:NKR917508 NUN917507:NUN917508 OEJ917507:OEJ917508 OOF917507:OOF917508 OYB917507:OYB917508 PHX917507:PHX917508 PRT917507:PRT917508 QBP917507:QBP917508 QLL917507:QLL917508 QVH917507:QVH917508 RFD917507:RFD917508 ROZ917507:ROZ917508 RYV917507:RYV917508 SIR917507:SIR917508 SSN917507:SSN917508 TCJ917507:TCJ917508 TMF917507:TMF917508 TWB917507:TWB917508 UFX917507:UFX917508 UPT917507:UPT917508 UZP917507:UZP917508 VJL917507:VJL917508 VTH917507:VTH917508 WDD917507:WDD917508 WMZ917507:WMZ917508 WWV917507:WWV917508 AN983043:AN983044 KJ983043:KJ983044 UF983043:UF983044 AEB983043:AEB983044 ANX983043:ANX983044 AXT983043:AXT983044 BHP983043:BHP983044 BRL983043:BRL983044 CBH983043:CBH983044 CLD983043:CLD983044 CUZ983043:CUZ983044 DEV983043:DEV983044 DOR983043:DOR983044 DYN983043:DYN983044 EIJ983043:EIJ983044 ESF983043:ESF983044 FCB983043:FCB983044 FLX983043:FLX983044 FVT983043:FVT983044 GFP983043:GFP983044 GPL983043:GPL983044 GZH983043:GZH983044 HJD983043:HJD983044 HSZ983043:HSZ983044 ICV983043:ICV983044 IMR983043:IMR983044 IWN983043:IWN983044 JGJ983043:JGJ983044 JQF983043:JQF983044 KAB983043:KAB983044 KJX983043:KJX983044 KTT983043:KTT983044 LDP983043:LDP983044 LNL983043:LNL983044 LXH983043:LXH983044 MHD983043:MHD983044 MQZ983043:MQZ983044 NAV983043:NAV983044 NKR983043:NKR983044 NUN983043:NUN983044 OEJ983043:OEJ983044 OOF983043:OOF983044 OYB983043:OYB983044 PHX983043:PHX983044 PRT983043:PRT983044 QBP983043:QBP983044 QLL983043:QLL983044 QVH983043:QVH983044 RFD983043:RFD983044 ROZ983043:ROZ983044 RYV983043:RYV983044 SIR983043:SIR983044 SSN983043:SSN983044 TCJ983043:TCJ983044 TMF983043:TMF983044 TWB983043:TWB983044 UFX983043:UFX983044 UPT983043:UPT983044 UZP983043:UZP983044 VJL983043:VJL983044 VTH983043:VTH983044 WDD983043:WDD983044 WMZ983043:WMZ983044 WWV983043:WWV983044 AR786435:AR786436 KN786435:KN786436 UJ786435:UJ786436 AEF786435:AEF786436 AOB786435:AOB786436 AXX786435:AXX786436 BHT786435:BHT786436 BRP786435:BRP786436 CBL786435:CBL786436 CLH786435:CLH786436 CVD786435:CVD786436 DEZ786435:DEZ786436 DOV786435:DOV786436 DYR786435:DYR786436 EIN786435:EIN786436 ESJ786435:ESJ786436 FCF786435:FCF786436 FMB786435:FMB786436 FVX786435:FVX786436 GFT786435:GFT786436 GPP786435:GPP786436 GZL786435:GZL786436 HJH786435:HJH786436 HTD786435:HTD786436 ICZ786435:ICZ786436 IMV786435:IMV786436 IWR786435:IWR786436 JGN786435:JGN786436 JQJ786435:JQJ786436 KAF786435:KAF786436 KKB786435:KKB786436 KTX786435:KTX786436 LDT786435:LDT786436 LNP786435:LNP786436 LXL786435:LXL786436 MHH786435:MHH786436 MRD786435:MRD786436 NAZ786435:NAZ786436 NKV786435:NKV786436 NUR786435:NUR786436 OEN786435:OEN786436 OOJ786435:OOJ786436 OYF786435:OYF786436 PIB786435:PIB786436 PRX786435:PRX786436 QBT786435:QBT786436 QLP786435:QLP786436 QVL786435:QVL786436 RFH786435:RFH786436 RPD786435:RPD786436 RYZ786435:RYZ786436 SIV786435:SIV786436 SSR786435:SSR786436 TCN786435:TCN786436 TMJ786435:TMJ786436 TWF786435:TWF786436 UGB786435:UGB786436 UPX786435:UPX786436 UZT786435:UZT786436 VJP786435:VJP786436 VTL786435:VTL786436 WDH786435:WDH786436 WND786435:WND786436 WWZ786435:WWZ786436 AJ65539:AJ65540 KF65539:KF65540 UB65539:UB65540 ADX65539:ADX65540 ANT65539:ANT65540 AXP65539:AXP65540 BHL65539:BHL65540 BRH65539:BRH65540 CBD65539:CBD65540 CKZ65539:CKZ65540 CUV65539:CUV65540 DER65539:DER65540 DON65539:DON65540 DYJ65539:DYJ65540 EIF65539:EIF65540 ESB65539:ESB65540 FBX65539:FBX65540 FLT65539:FLT65540 FVP65539:FVP65540 GFL65539:GFL65540 GPH65539:GPH65540 GZD65539:GZD65540 HIZ65539:HIZ65540 HSV65539:HSV65540 ICR65539:ICR65540 IMN65539:IMN65540 IWJ65539:IWJ65540 JGF65539:JGF65540 JQB65539:JQB65540 JZX65539:JZX65540 KJT65539:KJT65540 KTP65539:KTP65540 LDL65539:LDL65540 LNH65539:LNH65540 LXD65539:LXD65540 MGZ65539:MGZ65540 MQV65539:MQV65540 NAR65539:NAR65540 NKN65539:NKN65540 NUJ65539:NUJ65540 OEF65539:OEF65540 OOB65539:OOB65540 OXX65539:OXX65540 PHT65539:PHT65540 PRP65539:PRP65540 QBL65539:QBL65540 QLH65539:QLH65540 QVD65539:QVD65540 REZ65539:REZ65540 ROV65539:ROV65540 RYR65539:RYR65540 SIN65539:SIN65540 SSJ65539:SSJ65540 TCF65539:TCF65540 TMB65539:TMB65540 TVX65539:TVX65540 UFT65539:UFT65540 UPP65539:UPP65540 UZL65539:UZL65540 VJH65539:VJH65540 VTD65539:VTD65540 WCZ65539:WCZ65540 WMV65539:WMV65540 WWR65539:WWR65540 AJ131075:AJ131076 KF131075:KF131076 UB131075:UB131076 ADX131075:ADX131076 ANT131075:ANT131076 AXP131075:AXP131076 BHL131075:BHL131076 BRH131075:BRH131076 CBD131075:CBD131076 CKZ131075:CKZ131076 CUV131075:CUV131076 DER131075:DER131076 DON131075:DON131076 DYJ131075:DYJ131076 EIF131075:EIF131076 ESB131075:ESB131076 FBX131075:FBX131076 FLT131075:FLT131076 FVP131075:FVP131076 GFL131075:GFL131076 GPH131075:GPH131076 GZD131075:GZD131076 HIZ131075:HIZ131076 HSV131075:HSV131076 ICR131075:ICR131076 IMN131075:IMN131076 IWJ131075:IWJ131076 JGF131075:JGF131076 JQB131075:JQB131076 JZX131075:JZX131076 KJT131075:KJT131076 KTP131075:KTP131076 LDL131075:LDL131076 LNH131075:LNH131076 LXD131075:LXD131076 MGZ131075:MGZ131076 MQV131075:MQV131076 NAR131075:NAR131076 NKN131075:NKN131076 NUJ131075:NUJ131076 OEF131075:OEF131076 OOB131075:OOB131076 OXX131075:OXX131076 PHT131075:PHT131076 PRP131075:PRP131076 QBL131075:QBL131076 QLH131075:QLH131076 QVD131075:QVD131076 REZ131075:REZ131076 ROV131075:ROV131076 RYR131075:RYR131076 SIN131075:SIN131076 SSJ131075:SSJ131076 TCF131075:TCF131076 TMB131075:TMB131076 TVX131075:TVX131076 UFT131075:UFT131076 UPP131075:UPP131076 UZL131075:UZL131076 VJH131075:VJH131076 VTD131075:VTD131076 WCZ131075:WCZ131076 WMV131075:WMV131076 WWR131075:WWR131076 AJ196611:AJ196612 KF196611:KF196612 UB196611:UB196612 ADX196611:ADX196612 ANT196611:ANT196612 AXP196611:AXP196612 BHL196611:BHL196612 BRH196611:BRH196612 CBD196611:CBD196612 CKZ196611:CKZ196612 CUV196611:CUV196612 DER196611:DER196612 DON196611:DON196612 DYJ196611:DYJ196612 EIF196611:EIF196612 ESB196611:ESB196612 FBX196611:FBX196612 FLT196611:FLT196612 FVP196611:FVP196612 GFL196611:GFL196612 GPH196611:GPH196612 GZD196611:GZD196612 HIZ196611:HIZ196612 HSV196611:HSV196612 ICR196611:ICR196612 IMN196611:IMN196612 IWJ196611:IWJ196612 JGF196611:JGF196612 JQB196611:JQB196612 JZX196611:JZX196612 KJT196611:KJT196612 KTP196611:KTP196612 LDL196611:LDL196612 LNH196611:LNH196612 LXD196611:LXD196612 MGZ196611:MGZ196612 MQV196611:MQV196612 NAR196611:NAR196612 NKN196611:NKN196612 NUJ196611:NUJ196612 OEF196611:OEF196612 OOB196611:OOB196612 OXX196611:OXX196612 PHT196611:PHT196612 PRP196611:PRP196612 QBL196611:QBL196612 QLH196611:QLH196612 QVD196611:QVD196612 REZ196611:REZ196612 ROV196611:ROV196612 RYR196611:RYR196612 SIN196611:SIN196612 SSJ196611:SSJ196612 TCF196611:TCF196612 TMB196611:TMB196612 TVX196611:TVX196612 UFT196611:UFT196612 UPP196611:UPP196612 UZL196611:UZL196612 VJH196611:VJH196612 VTD196611:VTD196612 WCZ196611:WCZ196612 WMV196611:WMV196612 WWR196611:WWR196612 AJ262147:AJ262148 KF262147:KF262148 UB262147:UB262148 ADX262147:ADX262148 ANT262147:ANT262148 AXP262147:AXP262148 BHL262147:BHL262148 BRH262147:BRH262148 CBD262147:CBD262148 CKZ262147:CKZ262148 CUV262147:CUV262148 DER262147:DER262148 DON262147:DON262148 DYJ262147:DYJ262148 EIF262147:EIF262148 ESB262147:ESB262148 FBX262147:FBX262148 FLT262147:FLT262148 FVP262147:FVP262148 GFL262147:GFL262148 GPH262147:GPH262148 GZD262147:GZD262148 HIZ262147:HIZ262148 HSV262147:HSV262148 ICR262147:ICR262148 IMN262147:IMN262148 IWJ262147:IWJ262148 JGF262147:JGF262148 JQB262147:JQB262148 JZX262147:JZX262148 KJT262147:KJT262148 KTP262147:KTP262148 LDL262147:LDL262148 LNH262147:LNH262148 LXD262147:LXD262148 MGZ262147:MGZ262148 MQV262147:MQV262148 NAR262147:NAR262148 NKN262147:NKN262148 NUJ262147:NUJ262148 OEF262147:OEF262148 OOB262147:OOB262148 OXX262147:OXX262148 PHT262147:PHT262148 PRP262147:PRP262148 QBL262147:QBL262148 QLH262147:QLH262148 QVD262147:QVD262148 REZ262147:REZ262148 ROV262147:ROV262148 RYR262147:RYR262148 SIN262147:SIN262148 SSJ262147:SSJ262148 TCF262147:TCF262148 TMB262147:TMB262148 TVX262147:TVX262148 UFT262147:UFT262148 UPP262147:UPP262148 UZL262147:UZL262148 VJH262147:VJH262148 VTD262147:VTD262148 WCZ262147:WCZ262148 WMV262147:WMV262148 WWR262147:WWR262148 AJ327683:AJ327684 KF327683:KF327684 UB327683:UB327684 ADX327683:ADX327684 ANT327683:ANT327684 AXP327683:AXP327684 BHL327683:BHL327684 BRH327683:BRH327684 CBD327683:CBD327684 CKZ327683:CKZ327684 CUV327683:CUV327684 DER327683:DER327684 DON327683:DON327684 DYJ327683:DYJ327684 EIF327683:EIF327684 ESB327683:ESB327684 FBX327683:FBX327684 FLT327683:FLT327684 FVP327683:FVP327684 GFL327683:GFL327684 GPH327683:GPH327684 GZD327683:GZD327684 HIZ327683:HIZ327684 HSV327683:HSV327684 ICR327683:ICR327684 IMN327683:IMN327684 IWJ327683:IWJ327684 JGF327683:JGF327684 JQB327683:JQB327684 JZX327683:JZX327684 KJT327683:KJT327684 KTP327683:KTP327684 LDL327683:LDL327684 LNH327683:LNH327684 LXD327683:LXD327684 MGZ327683:MGZ327684 MQV327683:MQV327684 NAR327683:NAR327684 NKN327683:NKN327684 NUJ327683:NUJ327684 OEF327683:OEF327684 OOB327683:OOB327684 OXX327683:OXX327684 PHT327683:PHT327684 PRP327683:PRP327684 QBL327683:QBL327684 QLH327683:QLH327684 QVD327683:QVD327684 REZ327683:REZ327684 ROV327683:ROV327684 RYR327683:RYR327684 SIN327683:SIN327684 SSJ327683:SSJ327684 TCF327683:TCF327684 TMB327683:TMB327684 TVX327683:TVX327684 UFT327683:UFT327684 UPP327683:UPP327684 UZL327683:UZL327684 VJH327683:VJH327684 VTD327683:VTD327684 WCZ327683:WCZ327684 WMV327683:WMV327684 WWR327683:WWR327684 AJ393219:AJ393220 KF393219:KF393220 UB393219:UB393220 ADX393219:ADX393220 ANT393219:ANT393220 AXP393219:AXP393220 BHL393219:BHL393220 BRH393219:BRH393220 CBD393219:CBD393220 CKZ393219:CKZ393220 CUV393219:CUV393220 DER393219:DER393220 DON393219:DON393220 DYJ393219:DYJ393220 EIF393219:EIF393220 ESB393219:ESB393220 FBX393219:FBX393220 FLT393219:FLT393220 FVP393219:FVP393220 GFL393219:GFL393220 GPH393219:GPH393220 GZD393219:GZD393220 HIZ393219:HIZ393220 HSV393219:HSV393220 ICR393219:ICR393220 IMN393219:IMN393220 IWJ393219:IWJ393220 JGF393219:JGF393220 JQB393219:JQB393220 JZX393219:JZX393220 KJT393219:KJT393220 KTP393219:KTP393220 LDL393219:LDL393220 LNH393219:LNH393220 LXD393219:LXD393220 MGZ393219:MGZ393220 MQV393219:MQV393220 NAR393219:NAR393220 NKN393219:NKN393220 NUJ393219:NUJ393220 OEF393219:OEF393220 OOB393219:OOB393220 OXX393219:OXX393220 PHT393219:PHT393220 PRP393219:PRP393220 QBL393219:QBL393220 QLH393219:QLH393220 QVD393219:QVD393220 REZ393219:REZ393220 ROV393219:ROV393220 RYR393219:RYR393220 SIN393219:SIN393220 SSJ393219:SSJ393220 TCF393219:TCF393220 TMB393219:TMB393220 TVX393219:TVX393220 UFT393219:UFT393220 UPP393219:UPP393220 UZL393219:UZL393220 VJH393219:VJH393220 VTD393219:VTD393220 WCZ393219:WCZ393220 WMV393219:WMV393220 WWR393219:WWR393220 AJ458755:AJ458756 KF458755:KF458756 UB458755:UB458756 ADX458755:ADX458756 ANT458755:ANT458756 AXP458755:AXP458756 BHL458755:BHL458756 BRH458755:BRH458756 CBD458755:CBD458756 CKZ458755:CKZ458756 CUV458755:CUV458756 DER458755:DER458756 DON458755:DON458756 DYJ458755:DYJ458756 EIF458755:EIF458756 ESB458755:ESB458756 FBX458755:FBX458756 FLT458755:FLT458756 FVP458755:FVP458756 GFL458755:GFL458756 GPH458755:GPH458756 GZD458755:GZD458756 HIZ458755:HIZ458756 HSV458755:HSV458756 ICR458755:ICR458756 IMN458755:IMN458756 IWJ458755:IWJ458756 JGF458755:JGF458756 JQB458755:JQB458756 JZX458755:JZX458756 KJT458755:KJT458756 KTP458755:KTP458756 LDL458755:LDL458756 LNH458755:LNH458756 LXD458755:LXD458756 MGZ458755:MGZ458756 MQV458755:MQV458756 NAR458755:NAR458756 NKN458755:NKN458756 NUJ458755:NUJ458756 OEF458755:OEF458756 OOB458755:OOB458756 OXX458755:OXX458756 PHT458755:PHT458756 PRP458755:PRP458756 QBL458755:QBL458756 QLH458755:QLH458756 QVD458755:QVD458756 REZ458755:REZ458756 ROV458755:ROV458756 RYR458755:RYR458756 SIN458755:SIN458756 SSJ458755:SSJ458756 TCF458755:TCF458756 TMB458755:TMB458756 TVX458755:TVX458756 UFT458755:UFT458756 UPP458755:UPP458756 UZL458755:UZL458756 VJH458755:VJH458756 VTD458755:VTD458756 WCZ458755:WCZ458756 WMV458755:WMV458756 WWR458755:WWR458756 AJ524291:AJ524292 KF524291:KF524292 UB524291:UB524292 ADX524291:ADX524292 ANT524291:ANT524292 AXP524291:AXP524292 BHL524291:BHL524292 BRH524291:BRH524292 CBD524291:CBD524292 CKZ524291:CKZ524292 CUV524291:CUV524292 DER524291:DER524292 DON524291:DON524292 DYJ524291:DYJ524292 EIF524291:EIF524292 ESB524291:ESB524292 FBX524291:FBX524292 FLT524291:FLT524292 FVP524291:FVP524292 GFL524291:GFL524292 GPH524291:GPH524292 GZD524291:GZD524292 HIZ524291:HIZ524292 HSV524291:HSV524292 ICR524291:ICR524292 IMN524291:IMN524292 IWJ524291:IWJ524292 JGF524291:JGF524292 JQB524291:JQB524292 JZX524291:JZX524292 KJT524291:KJT524292 KTP524291:KTP524292 LDL524291:LDL524292 LNH524291:LNH524292 LXD524291:LXD524292 MGZ524291:MGZ524292 MQV524291:MQV524292 NAR524291:NAR524292 NKN524291:NKN524292 NUJ524291:NUJ524292 OEF524291:OEF524292 OOB524291:OOB524292 OXX524291:OXX524292 PHT524291:PHT524292 PRP524291:PRP524292 QBL524291:QBL524292 QLH524291:QLH524292 QVD524291:QVD524292 REZ524291:REZ524292 ROV524291:ROV524292 RYR524291:RYR524292 SIN524291:SIN524292 SSJ524291:SSJ524292 TCF524291:TCF524292 TMB524291:TMB524292 TVX524291:TVX524292 UFT524291:UFT524292 UPP524291:UPP524292 UZL524291:UZL524292 VJH524291:VJH524292 VTD524291:VTD524292 WCZ524291:WCZ524292 WMV524291:WMV524292 WWR524291:WWR524292 AJ589827:AJ589828 KF589827:KF589828 UB589827:UB589828 ADX589827:ADX589828 ANT589827:ANT589828 AXP589827:AXP589828 BHL589827:BHL589828 BRH589827:BRH589828 CBD589827:CBD589828 CKZ589827:CKZ589828 CUV589827:CUV589828 DER589827:DER589828 DON589827:DON589828 DYJ589827:DYJ589828 EIF589827:EIF589828 ESB589827:ESB589828 FBX589827:FBX589828 FLT589827:FLT589828 FVP589827:FVP589828 GFL589827:GFL589828 GPH589827:GPH589828 GZD589827:GZD589828 HIZ589827:HIZ589828 HSV589827:HSV589828 ICR589827:ICR589828 IMN589827:IMN589828 IWJ589827:IWJ589828 JGF589827:JGF589828 JQB589827:JQB589828 JZX589827:JZX589828 KJT589827:KJT589828 KTP589827:KTP589828 LDL589827:LDL589828 LNH589827:LNH589828 LXD589827:LXD589828 MGZ589827:MGZ589828 MQV589827:MQV589828 NAR589827:NAR589828 NKN589827:NKN589828 NUJ589827:NUJ589828 OEF589827:OEF589828 OOB589827:OOB589828 OXX589827:OXX589828 PHT589827:PHT589828 PRP589827:PRP589828 QBL589827:QBL589828 QLH589827:QLH589828 QVD589827:QVD589828 REZ589827:REZ589828 ROV589827:ROV589828 RYR589827:RYR589828 SIN589827:SIN589828 SSJ589827:SSJ589828 TCF589827:TCF589828 TMB589827:TMB589828 TVX589827:TVX589828 UFT589827:UFT589828 UPP589827:UPP589828 UZL589827:UZL589828 VJH589827:VJH589828 VTD589827:VTD589828 WCZ589827:WCZ589828 WMV589827:WMV589828 WWR589827:WWR589828 AJ655363:AJ655364 KF655363:KF655364 UB655363:UB655364 ADX655363:ADX655364 ANT655363:ANT655364 AXP655363:AXP655364 BHL655363:BHL655364 BRH655363:BRH655364 CBD655363:CBD655364 CKZ655363:CKZ655364 CUV655363:CUV655364 DER655363:DER655364 DON655363:DON655364 DYJ655363:DYJ655364 EIF655363:EIF655364 ESB655363:ESB655364 FBX655363:FBX655364 FLT655363:FLT655364 FVP655363:FVP655364 GFL655363:GFL655364 GPH655363:GPH655364 GZD655363:GZD655364 HIZ655363:HIZ655364 HSV655363:HSV655364 ICR655363:ICR655364 IMN655363:IMN655364 IWJ655363:IWJ655364 JGF655363:JGF655364 JQB655363:JQB655364 JZX655363:JZX655364 KJT655363:KJT655364 KTP655363:KTP655364 LDL655363:LDL655364 LNH655363:LNH655364 LXD655363:LXD655364 MGZ655363:MGZ655364 MQV655363:MQV655364 NAR655363:NAR655364 NKN655363:NKN655364 NUJ655363:NUJ655364 OEF655363:OEF655364 OOB655363:OOB655364 OXX655363:OXX655364 PHT655363:PHT655364 PRP655363:PRP655364 QBL655363:QBL655364 QLH655363:QLH655364 QVD655363:QVD655364 REZ655363:REZ655364 ROV655363:ROV655364 RYR655363:RYR655364 SIN655363:SIN655364 SSJ655363:SSJ655364 TCF655363:TCF655364 TMB655363:TMB655364 TVX655363:TVX655364 UFT655363:UFT655364 UPP655363:UPP655364 UZL655363:UZL655364 VJH655363:VJH655364 VTD655363:VTD655364 WCZ655363:WCZ655364 WMV655363:WMV655364 WWR655363:WWR655364 AJ720899:AJ720900 KF720899:KF720900 UB720899:UB720900 ADX720899:ADX720900 ANT720899:ANT720900 AXP720899:AXP720900 BHL720899:BHL720900 BRH720899:BRH720900 CBD720899:CBD720900 CKZ720899:CKZ720900 CUV720899:CUV720900 DER720899:DER720900 DON720899:DON720900 DYJ720899:DYJ720900 EIF720899:EIF720900 ESB720899:ESB720900 FBX720899:FBX720900 FLT720899:FLT720900 FVP720899:FVP720900 GFL720899:GFL720900 GPH720899:GPH720900 GZD720899:GZD720900 HIZ720899:HIZ720900 HSV720899:HSV720900 ICR720899:ICR720900 IMN720899:IMN720900 IWJ720899:IWJ720900 JGF720899:JGF720900 JQB720899:JQB720900 JZX720899:JZX720900 KJT720899:KJT720900 KTP720899:KTP720900 LDL720899:LDL720900 LNH720899:LNH720900 LXD720899:LXD720900 MGZ720899:MGZ720900 MQV720899:MQV720900 NAR720899:NAR720900 NKN720899:NKN720900 NUJ720899:NUJ720900 OEF720899:OEF720900 OOB720899:OOB720900 OXX720899:OXX720900 PHT720899:PHT720900 PRP720899:PRP720900 QBL720899:QBL720900 QLH720899:QLH720900 QVD720899:QVD720900 REZ720899:REZ720900 ROV720899:ROV720900 RYR720899:RYR720900 SIN720899:SIN720900 SSJ720899:SSJ720900 TCF720899:TCF720900 TMB720899:TMB720900 TVX720899:TVX720900 UFT720899:UFT720900 UPP720899:UPP720900 UZL720899:UZL720900 VJH720899:VJH720900 VTD720899:VTD720900 WCZ720899:WCZ720900 WMV720899:WMV720900 WWR720899:WWR720900 AJ786435:AJ786436 KF786435:KF786436 UB786435:UB786436 ADX786435:ADX786436 ANT786435:ANT786436 AXP786435:AXP786436 BHL786435:BHL786436 BRH786435:BRH786436 CBD786435:CBD786436 CKZ786435:CKZ786436 CUV786435:CUV786436 DER786435:DER786436 DON786435:DON786436 DYJ786435:DYJ786436 EIF786435:EIF786436 ESB786435:ESB786436 FBX786435:FBX786436 FLT786435:FLT786436 FVP786435:FVP786436 GFL786435:GFL786436 GPH786435:GPH786436 GZD786435:GZD786436 HIZ786435:HIZ786436 HSV786435:HSV786436 ICR786435:ICR786436 IMN786435:IMN786436 IWJ786435:IWJ786436 JGF786435:JGF786436 JQB786435:JQB786436 JZX786435:JZX786436 KJT786435:KJT786436 KTP786435:KTP786436 LDL786435:LDL786436 LNH786435:LNH786436 LXD786435:LXD786436 MGZ786435:MGZ786436 MQV786435:MQV786436 NAR786435:NAR786436 NKN786435:NKN786436 NUJ786435:NUJ786436 OEF786435:OEF786436 OOB786435:OOB786436 OXX786435:OXX786436 PHT786435:PHT786436 PRP786435:PRP786436 QBL786435:QBL786436 QLH786435:QLH786436 QVD786435:QVD786436 REZ786435:REZ786436 ROV786435:ROV786436 RYR786435:RYR786436 SIN786435:SIN786436 SSJ786435:SSJ786436 TCF786435:TCF786436 TMB786435:TMB786436 TVX786435:TVX786436 UFT786435:UFT786436 UPP786435:UPP786436 UZL786435:UZL786436 VJH786435:VJH786436 VTD786435:VTD786436 WCZ786435:WCZ786436 WMV786435:WMV786436 WWR786435:WWR786436 AJ851971:AJ851972 KF851971:KF851972 UB851971:UB851972 ADX851971:ADX851972 ANT851971:ANT851972 AXP851971:AXP851972 BHL851971:BHL851972 BRH851971:BRH851972 CBD851971:CBD851972 CKZ851971:CKZ851972 CUV851971:CUV851972 DER851971:DER851972 DON851971:DON851972 DYJ851971:DYJ851972 EIF851971:EIF851972 ESB851971:ESB851972 FBX851971:FBX851972 FLT851971:FLT851972 FVP851971:FVP851972 GFL851971:GFL851972 GPH851971:GPH851972 GZD851971:GZD851972 HIZ851971:HIZ851972 HSV851971:HSV851972 ICR851971:ICR851972 IMN851971:IMN851972 IWJ851971:IWJ851972 JGF851971:JGF851972 JQB851971:JQB851972 JZX851971:JZX851972 KJT851971:KJT851972 KTP851971:KTP851972 LDL851971:LDL851972 LNH851971:LNH851972 LXD851971:LXD851972 MGZ851971:MGZ851972 MQV851971:MQV851972 NAR851971:NAR851972 NKN851971:NKN851972 NUJ851971:NUJ851972 OEF851971:OEF851972 OOB851971:OOB851972 OXX851971:OXX851972 PHT851971:PHT851972 PRP851971:PRP851972 QBL851971:QBL851972 QLH851971:QLH851972 QVD851971:QVD851972 REZ851971:REZ851972 ROV851971:ROV851972 RYR851971:RYR851972 SIN851971:SIN851972 SSJ851971:SSJ851972 TCF851971:TCF851972 TMB851971:TMB851972 TVX851971:TVX851972 UFT851971:UFT851972 UPP851971:UPP851972 UZL851971:UZL851972 VJH851971:VJH851972 VTD851971:VTD851972 WCZ851971:WCZ851972 WMV851971:WMV851972 WWR851971:WWR851972 AJ917507:AJ917508 KF917507:KF917508 UB917507:UB917508 ADX917507:ADX917508 ANT917507:ANT917508 AXP917507:AXP917508 BHL917507:BHL917508 BRH917507:BRH917508 CBD917507:CBD917508 CKZ917507:CKZ917508 CUV917507:CUV917508 DER917507:DER917508 DON917507:DON917508 DYJ917507:DYJ917508 EIF917507:EIF917508 ESB917507:ESB917508 FBX917507:FBX917508 FLT917507:FLT917508 FVP917507:FVP917508 GFL917507:GFL917508 GPH917507:GPH917508 GZD917507:GZD917508 HIZ917507:HIZ917508 HSV917507:HSV917508 ICR917507:ICR917508 IMN917507:IMN917508 IWJ917507:IWJ917508 JGF917507:JGF917508 JQB917507:JQB917508 JZX917507:JZX917508 KJT917507:KJT917508 KTP917507:KTP917508 LDL917507:LDL917508 LNH917507:LNH917508 LXD917507:LXD917508 MGZ917507:MGZ917508 MQV917507:MQV917508 NAR917507:NAR917508 NKN917507:NKN917508 NUJ917507:NUJ917508 OEF917507:OEF917508 OOB917507:OOB917508 OXX917507:OXX917508 PHT917507:PHT917508 PRP917507:PRP917508 QBL917507:QBL917508 QLH917507:QLH917508 QVD917507:QVD917508 REZ917507:REZ917508 ROV917507:ROV917508 RYR917507:RYR917508 SIN917507:SIN917508 SSJ917507:SSJ917508 TCF917507:TCF917508 TMB917507:TMB917508 TVX917507:TVX917508 UFT917507:UFT917508 UPP917507:UPP917508 UZL917507:UZL917508 VJH917507:VJH917508 VTD917507:VTD917508 WCZ917507:WCZ917508 WMV917507:WMV917508 WWR917507:WWR917508 AJ983043:AJ983044 KF983043:KF983044 UB983043:UB983044 ADX983043:ADX983044 ANT983043:ANT983044 AXP983043:AXP983044 BHL983043:BHL983044 BRH983043:BRH983044 CBD983043:CBD983044 CKZ983043:CKZ983044 CUV983043:CUV983044 DER983043:DER983044 DON983043:DON983044 DYJ983043:DYJ983044 EIF983043:EIF983044 ESB983043:ESB983044 FBX983043:FBX983044 FLT983043:FLT983044 FVP983043:FVP983044 GFL983043:GFL983044 GPH983043:GPH983044 GZD983043:GZD983044 HIZ983043:HIZ983044 HSV983043:HSV983044 ICR983043:ICR983044 IMN983043:IMN983044 IWJ983043:IWJ983044 JGF983043:JGF983044 JQB983043:JQB983044 JZX983043:JZX983044 KJT983043:KJT983044 KTP983043:KTP983044 LDL983043:LDL983044 LNH983043:LNH983044 LXD983043:LXD983044 MGZ983043:MGZ983044 MQV983043:MQV983044 NAR983043:NAR983044 NKN983043:NKN983044 NUJ983043:NUJ983044 OEF983043:OEF983044 OOB983043:OOB983044 OXX983043:OXX983044 PHT983043:PHT983044 PRP983043:PRP983044 QBL983043:QBL983044 QLH983043:QLH983044 QVD983043:QVD983044 REZ983043:REZ983044 ROV983043:ROV983044 RYR983043:RYR983044 SIN983043:SIN983044 SSJ983043:SSJ983044 TCF983043:TCF983044 TMB983043:TMB983044 TVX983043:TVX983044 UFT983043:UFT983044 UPP983043:UPP983044 UZL983043:UZL983044 VJH983043:VJH983044 VTD983043:VTD983044 WCZ983043:WCZ983044 WMV983043:WMV983044 WWR983043:WWR983044 AR851971:AR851972 KN851971:KN851972 UJ851971:UJ851972 AEF851971:AEF851972 AOB851971:AOB851972 AXX851971:AXX851972 BHT851971:BHT851972 BRP851971:BRP851972 CBL851971:CBL851972 CLH851971:CLH851972 CVD851971:CVD851972 DEZ851971:DEZ851972 DOV851971:DOV851972 DYR851971:DYR851972 EIN851971:EIN851972 ESJ851971:ESJ851972 FCF851971:FCF851972 FMB851971:FMB851972 FVX851971:FVX851972 GFT851971:GFT851972 GPP851971:GPP851972 GZL851971:GZL851972 HJH851971:HJH851972 HTD851971:HTD851972 ICZ851971:ICZ851972 IMV851971:IMV851972 IWR851971:IWR851972 JGN851971:JGN851972 JQJ851971:JQJ851972 KAF851971:KAF851972 KKB851971:KKB851972 KTX851971:KTX851972 LDT851971:LDT851972 LNP851971:LNP851972 LXL851971:LXL851972 MHH851971:MHH851972 MRD851971:MRD851972 NAZ851971:NAZ851972 NKV851971:NKV851972 NUR851971:NUR851972 OEN851971:OEN851972 OOJ851971:OOJ851972 OYF851971:OYF851972 PIB851971:PIB851972 PRX851971:PRX851972 QBT851971:QBT851972 QLP851971:QLP851972 QVL851971:QVL851972 RFH851971:RFH851972 RPD851971:RPD851972 RYZ851971:RYZ851972 SIV851971:SIV851972 SSR851971:SSR851972 TCN851971:TCN851972 TMJ851971:TMJ851972 TWF851971:TWF851972 UGB851971:UGB851972 UPX851971:UPX851972 UZT851971:UZT851972 VJP851971:VJP851972 VTL851971:VTL851972 WDH851971:WDH851972 WND851971:WND851972 WWZ851971:WWZ851972 AB65539:AB65540 JX65539:JX65540 TT65539:TT65540 ADP65539:ADP65540 ANL65539:ANL65540 AXH65539:AXH65540 BHD65539:BHD65540 BQZ65539:BQZ65540 CAV65539:CAV65540 CKR65539:CKR65540 CUN65539:CUN65540 DEJ65539:DEJ65540 DOF65539:DOF65540 DYB65539:DYB65540 EHX65539:EHX65540 ERT65539:ERT65540 FBP65539:FBP65540 FLL65539:FLL65540 FVH65539:FVH65540 GFD65539:GFD65540 GOZ65539:GOZ65540 GYV65539:GYV65540 HIR65539:HIR65540 HSN65539:HSN65540 ICJ65539:ICJ65540 IMF65539:IMF65540 IWB65539:IWB65540 JFX65539:JFX65540 JPT65539:JPT65540 JZP65539:JZP65540 KJL65539:KJL65540 KTH65539:KTH65540 LDD65539:LDD65540 LMZ65539:LMZ65540 LWV65539:LWV65540 MGR65539:MGR65540 MQN65539:MQN65540 NAJ65539:NAJ65540 NKF65539:NKF65540 NUB65539:NUB65540 ODX65539:ODX65540 ONT65539:ONT65540 OXP65539:OXP65540 PHL65539:PHL65540 PRH65539:PRH65540 QBD65539:QBD65540 QKZ65539:QKZ65540 QUV65539:QUV65540 RER65539:RER65540 RON65539:RON65540 RYJ65539:RYJ65540 SIF65539:SIF65540 SSB65539:SSB65540 TBX65539:TBX65540 TLT65539:TLT65540 TVP65539:TVP65540 UFL65539:UFL65540 UPH65539:UPH65540 UZD65539:UZD65540 VIZ65539:VIZ65540 VSV65539:VSV65540 WCR65539:WCR65540 WMN65539:WMN65540 WWJ65539:WWJ65540 AB131075:AB131076 JX131075:JX131076 TT131075:TT131076 ADP131075:ADP131076 ANL131075:ANL131076 AXH131075:AXH131076 BHD131075:BHD131076 BQZ131075:BQZ131076 CAV131075:CAV131076 CKR131075:CKR131076 CUN131075:CUN131076 DEJ131075:DEJ131076 DOF131075:DOF131076 DYB131075:DYB131076 EHX131075:EHX131076 ERT131075:ERT131076 FBP131075:FBP131076 FLL131075:FLL131076 FVH131075:FVH131076 GFD131075:GFD131076 GOZ131075:GOZ131076 GYV131075:GYV131076 HIR131075:HIR131076 HSN131075:HSN131076 ICJ131075:ICJ131076 IMF131075:IMF131076 IWB131075:IWB131076 JFX131075:JFX131076 JPT131075:JPT131076 JZP131075:JZP131076 KJL131075:KJL131076 KTH131075:KTH131076 LDD131075:LDD131076 LMZ131075:LMZ131076 LWV131075:LWV131076 MGR131075:MGR131076 MQN131075:MQN131076 NAJ131075:NAJ131076 NKF131075:NKF131076 NUB131075:NUB131076 ODX131075:ODX131076 ONT131075:ONT131076 OXP131075:OXP131076 PHL131075:PHL131076 PRH131075:PRH131076 QBD131075:QBD131076 QKZ131075:QKZ131076 QUV131075:QUV131076 RER131075:RER131076 RON131075:RON131076 RYJ131075:RYJ131076 SIF131075:SIF131076 SSB131075:SSB131076 TBX131075:TBX131076 TLT131075:TLT131076 TVP131075:TVP131076 UFL131075:UFL131076 UPH131075:UPH131076 UZD131075:UZD131076 VIZ131075:VIZ131076 VSV131075:VSV131076 WCR131075:WCR131076 WMN131075:WMN131076 WWJ131075:WWJ131076 AB196611:AB196612 JX196611:JX196612 TT196611:TT196612 ADP196611:ADP196612 ANL196611:ANL196612 AXH196611:AXH196612 BHD196611:BHD196612 BQZ196611:BQZ196612 CAV196611:CAV196612 CKR196611:CKR196612 CUN196611:CUN196612 DEJ196611:DEJ196612 DOF196611:DOF196612 DYB196611:DYB196612 EHX196611:EHX196612 ERT196611:ERT196612 FBP196611:FBP196612 FLL196611:FLL196612 FVH196611:FVH196612 GFD196611:GFD196612 GOZ196611:GOZ196612 GYV196611:GYV196612 HIR196611:HIR196612 HSN196611:HSN196612 ICJ196611:ICJ196612 IMF196611:IMF196612 IWB196611:IWB196612 JFX196611:JFX196612 JPT196611:JPT196612 JZP196611:JZP196612 KJL196611:KJL196612 KTH196611:KTH196612 LDD196611:LDD196612 LMZ196611:LMZ196612 LWV196611:LWV196612 MGR196611:MGR196612 MQN196611:MQN196612 NAJ196611:NAJ196612 NKF196611:NKF196612 NUB196611:NUB196612 ODX196611:ODX196612 ONT196611:ONT196612 OXP196611:OXP196612 PHL196611:PHL196612 PRH196611:PRH196612 QBD196611:QBD196612 QKZ196611:QKZ196612 QUV196611:QUV196612 RER196611:RER196612 RON196611:RON196612 RYJ196611:RYJ196612 SIF196611:SIF196612 SSB196611:SSB196612 TBX196611:TBX196612 TLT196611:TLT196612 TVP196611:TVP196612 UFL196611:UFL196612 UPH196611:UPH196612 UZD196611:UZD196612 VIZ196611:VIZ196612 VSV196611:VSV196612 WCR196611:WCR196612 WMN196611:WMN196612 WWJ196611:WWJ196612 AB262147:AB262148 JX262147:JX262148 TT262147:TT262148 ADP262147:ADP262148 ANL262147:ANL262148 AXH262147:AXH262148 BHD262147:BHD262148 BQZ262147:BQZ262148 CAV262147:CAV262148 CKR262147:CKR262148 CUN262147:CUN262148 DEJ262147:DEJ262148 DOF262147:DOF262148 DYB262147:DYB262148 EHX262147:EHX262148 ERT262147:ERT262148 FBP262147:FBP262148 FLL262147:FLL262148 FVH262147:FVH262148 GFD262147:GFD262148 GOZ262147:GOZ262148 GYV262147:GYV262148 HIR262147:HIR262148 HSN262147:HSN262148 ICJ262147:ICJ262148 IMF262147:IMF262148 IWB262147:IWB262148 JFX262147:JFX262148 JPT262147:JPT262148 JZP262147:JZP262148 KJL262147:KJL262148 KTH262147:KTH262148 LDD262147:LDD262148 LMZ262147:LMZ262148 LWV262147:LWV262148 MGR262147:MGR262148 MQN262147:MQN262148 NAJ262147:NAJ262148 NKF262147:NKF262148 NUB262147:NUB262148 ODX262147:ODX262148 ONT262147:ONT262148 OXP262147:OXP262148 PHL262147:PHL262148 PRH262147:PRH262148 QBD262147:QBD262148 QKZ262147:QKZ262148 QUV262147:QUV262148 RER262147:RER262148 RON262147:RON262148 RYJ262147:RYJ262148 SIF262147:SIF262148 SSB262147:SSB262148 TBX262147:TBX262148 TLT262147:TLT262148 TVP262147:TVP262148 UFL262147:UFL262148 UPH262147:UPH262148 UZD262147:UZD262148 VIZ262147:VIZ262148 VSV262147:VSV262148 WCR262147:WCR262148 WMN262147:WMN262148 WWJ262147:WWJ262148 AB327683:AB327684 JX327683:JX327684 TT327683:TT327684 ADP327683:ADP327684 ANL327683:ANL327684 AXH327683:AXH327684 BHD327683:BHD327684 BQZ327683:BQZ327684 CAV327683:CAV327684 CKR327683:CKR327684 CUN327683:CUN327684 DEJ327683:DEJ327684 DOF327683:DOF327684 DYB327683:DYB327684 EHX327683:EHX327684 ERT327683:ERT327684 FBP327683:FBP327684 FLL327683:FLL327684 FVH327683:FVH327684 GFD327683:GFD327684 GOZ327683:GOZ327684 GYV327683:GYV327684 HIR327683:HIR327684 HSN327683:HSN327684 ICJ327683:ICJ327684 IMF327683:IMF327684 IWB327683:IWB327684 JFX327683:JFX327684 JPT327683:JPT327684 JZP327683:JZP327684 KJL327683:KJL327684 KTH327683:KTH327684 LDD327683:LDD327684 LMZ327683:LMZ327684 LWV327683:LWV327684 MGR327683:MGR327684 MQN327683:MQN327684 NAJ327683:NAJ327684 NKF327683:NKF327684 NUB327683:NUB327684 ODX327683:ODX327684 ONT327683:ONT327684 OXP327683:OXP327684 PHL327683:PHL327684 PRH327683:PRH327684 QBD327683:QBD327684 QKZ327683:QKZ327684 QUV327683:QUV327684 RER327683:RER327684 RON327683:RON327684 RYJ327683:RYJ327684 SIF327683:SIF327684 SSB327683:SSB327684 TBX327683:TBX327684 TLT327683:TLT327684 TVP327683:TVP327684 UFL327683:UFL327684 UPH327683:UPH327684 UZD327683:UZD327684 VIZ327683:VIZ327684 VSV327683:VSV327684 WCR327683:WCR327684 WMN327683:WMN327684 WWJ327683:WWJ327684 AB393219:AB393220 JX393219:JX393220 TT393219:TT393220 ADP393219:ADP393220 ANL393219:ANL393220 AXH393219:AXH393220 BHD393219:BHD393220 BQZ393219:BQZ393220 CAV393219:CAV393220 CKR393219:CKR393220 CUN393219:CUN393220 DEJ393219:DEJ393220 DOF393219:DOF393220 DYB393219:DYB393220 EHX393219:EHX393220 ERT393219:ERT393220 FBP393219:FBP393220 FLL393219:FLL393220 FVH393219:FVH393220 GFD393219:GFD393220 GOZ393219:GOZ393220 GYV393219:GYV393220 HIR393219:HIR393220 HSN393219:HSN393220 ICJ393219:ICJ393220 IMF393219:IMF393220 IWB393219:IWB393220 JFX393219:JFX393220 JPT393219:JPT393220 JZP393219:JZP393220 KJL393219:KJL393220 KTH393219:KTH393220 LDD393219:LDD393220 LMZ393219:LMZ393220 LWV393219:LWV393220 MGR393219:MGR393220 MQN393219:MQN393220 NAJ393219:NAJ393220 NKF393219:NKF393220 NUB393219:NUB393220 ODX393219:ODX393220 ONT393219:ONT393220 OXP393219:OXP393220 PHL393219:PHL393220 PRH393219:PRH393220 QBD393219:QBD393220 QKZ393219:QKZ393220 QUV393219:QUV393220 RER393219:RER393220 RON393219:RON393220 RYJ393219:RYJ393220 SIF393219:SIF393220 SSB393219:SSB393220 TBX393219:TBX393220 TLT393219:TLT393220 TVP393219:TVP393220 UFL393219:UFL393220 UPH393219:UPH393220 UZD393219:UZD393220 VIZ393219:VIZ393220 VSV393219:VSV393220 WCR393219:WCR393220 WMN393219:WMN393220 WWJ393219:WWJ393220 AB458755:AB458756 JX458755:JX458756 TT458755:TT458756 ADP458755:ADP458756 ANL458755:ANL458756 AXH458755:AXH458756 BHD458755:BHD458756 BQZ458755:BQZ458756 CAV458755:CAV458756 CKR458755:CKR458756 CUN458755:CUN458756 DEJ458755:DEJ458756 DOF458755:DOF458756 DYB458755:DYB458756 EHX458755:EHX458756 ERT458755:ERT458756 FBP458755:FBP458756 FLL458755:FLL458756 FVH458755:FVH458756 GFD458755:GFD458756 GOZ458755:GOZ458756 GYV458755:GYV458756 HIR458755:HIR458756 HSN458755:HSN458756 ICJ458755:ICJ458756 IMF458755:IMF458756 IWB458755:IWB458756 JFX458755:JFX458756 JPT458755:JPT458756 JZP458755:JZP458756 KJL458755:KJL458756 KTH458755:KTH458756 LDD458755:LDD458756 LMZ458755:LMZ458756 LWV458755:LWV458756 MGR458755:MGR458756 MQN458755:MQN458756 NAJ458755:NAJ458756 NKF458755:NKF458756 NUB458755:NUB458756 ODX458755:ODX458756 ONT458755:ONT458756 OXP458755:OXP458756 PHL458755:PHL458756 PRH458755:PRH458756 QBD458755:QBD458756 QKZ458755:QKZ458756 QUV458755:QUV458756 RER458755:RER458756 RON458755:RON458756 RYJ458755:RYJ458756 SIF458755:SIF458756 SSB458755:SSB458756 TBX458755:TBX458756 TLT458755:TLT458756 TVP458755:TVP458756 UFL458755:UFL458756 UPH458755:UPH458756 UZD458755:UZD458756 VIZ458755:VIZ458756 VSV458755:VSV458756 WCR458755:WCR458756 WMN458755:WMN458756 WWJ458755:WWJ458756 AB524291:AB524292 JX524291:JX524292 TT524291:TT524292 ADP524291:ADP524292 ANL524291:ANL524292 AXH524291:AXH524292 BHD524291:BHD524292 BQZ524291:BQZ524292 CAV524291:CAV524292 CKR524291:CKR524292 CUN524291:CUN524292 DEJ524291:DEJ524292 DOF524291:DOF524292 DYB524291:DYB524292 EHX524291:EHX524292 ERT524291:ERT524292 FBP524291:FBP524292 FLL524291:FLL524292 FVH524291:FVH524292 GFD524291:GFD524292 GOZ524291:GOZ524292 GYV524291:GYV524292 HIR524291:HIR524292 HSN524291:HSN524292 ICJ524291:ICJ524292 IMF524291:IMF524292 IWB524291:IWB524292 JFX524291:JFX524292 JPT524291:JPT524292 JZP524291:JZP524292 KJL524291:KJL524292 KTH524291:KTH524292 LDD524291:LDD524292 LMZ524291:LMZ524292 LWV524291:LWV524292 MGR524291:MGR524292 MQN524291:MQN524292 NAJ524291:NAJ524292 NKF524291:NKF524292 NUB524291:NUB524292 ODX524291:ODX524292 ONT524291:ONT524292 OXP524291:OXP524292 PHL524291:PHL524292 PRH524291:PRH524292 QBD524291:QBD524292 QKZ524291:QKZ524292 QUV524291:QUV524292 RER524291:RER524292 RON524291:RON524292 RYJ524291:RYJ524292 SIF524291:SIF524292 SSB524291:SSB524292 TBX524291:TBX524292 TLT524291:TLT524292 TVP524291:TVP524292 UFL524291:UFL524292 UPH524291:UPH524292 UZD524291:UZD524292 VIZ524291:VIZ524292 VSV524291:VSV524292 WCR524291:WCR524292 WMN524291:WMN524292 WWJ524291:WWJ524292 AB589827:AB589828 JX589827:JX589828 TT589827:TT589828 ADP589827:ADP589828 ANL589827:ANL589828 AXH589827:AXH589828 BHD589827:BHD589828 BQZ589827:BQZ589828 CAV589827:CAV589828 CKR589827:CKR589828 CUN589827:CUN589828 DEJ589827:DEJ589828 DOF589827:DOF589828 DYB589827:DYB589828 EHX589827:EHX589828 ERT589827:ERT589828 FBP589827:FBP589828 FLL589827:FLL589828 FVH589827:FVH589828 GFD589827:GFD589828 GOZ589827:GOZ589828 GYV589827:GYV589828 HIR589827:HIR589828 HSN589827:HSN589828 ICJ589827:ICJ589828 IMF589827:IMF589828 IWB589827:IWB589828 JFX589827:JFX589828 JPT589827:JPT589828 JZP589827:JZP589828 KJL589827:KJL589828 KTH589827:KTH589828 LDD589827:LDD589828 LMZ589827:LMZ589828 LWV589827:LWV589828 MGR589827:MGR589828 MQN589827:MQN589828 NAJ589827:NAJ589828 NKF589827:NKF589828 NUB589827:NUB589828 ODX589827:ODX589828 ONT589827:ONT589828 OXP589827:OXP589828 PHL589827:PHL589828 PRH589827:PRH589828 QBD589827:QBD589828 QKZ589827:QKZ589828 QUV589827:QUV589828 RER589827:RER589828 RON589827:RON589828 RYJ589827:RYJ589828 SIF589827:SIF589828 SSB589827:SSB589828 TBX589827:TBX589828 TLT589827:TLT589828 TVP589827:TVP589828 UFL589827:UFL589828 UPH589827:UPH589828 UZD589827:UZD589828 VIZ589827:VIZ589828 VSV589827:VSV589828 WCR589827:WCR589828 WMN589827:WMN589828 WWJ589827:WWJ589828 AB655363:AB655364 JX655363:JX655364 TT655363:TT655364 ADP655363:ADP655364 ANL655363:ANL655364 AXH655363:AXH655364 BHD655363:BHD655364 BQZ655363:BQZ655364 CAV655363:CAV655364 CKR655363:CKR655364 CUN655363:CUN655364 DEJ655363:DEJ655364 DOF655363:DOF655364 DYB655363:DYB655364 EHX655363:EHX655364 ERT655363:ERT655364 FBP655363:FBP655364 FLL655363:FLL655364 FVH655363:FVH655364 GFD655363:GFD655364 GOZ655363:GOZ655364 GYV655363:GYV655364 HIR655363:HIR655364 HSN655363:HSN655364 ICJ655363:ICJ655364 IMF655363:IMF655364 IWB655363:IWB655364 JFX655363:JFX655364 JPT655363:JPT655364 JZP655363:JZP655364 KJL655363:KJL655364 KTH655363:KTH655364 LDD655363:LDD655364 LMZ655363:LMZ655364 LWV655363:LWV655364 MGR655363:MGR655364 MQN655363:MQN655364 NAJ655363:NAJ655364 NKF655363:NKF655364 NUB655363:NUB655364 ODX655363:ODX655364 ONT655363:ONT655364 OXP655363:OXP655364 PHL655363:PHL655364 PRH655363:PRH655364 QBD655363:QBD655364 QKZ655363:QKZ655364 QUV655363:QUV655364 RER655363:RER655364 RON655363:RON655364 RYJ655363:RYJ655364 SIF655363:SIF655364 SSB655363:SSB655364 TBX655363:TBX655364 TLT655363:TLT655364 TVP655363:TVP655364 UFL655363:UFL655364 UPH655363:UPH655364 UZD655363:UZD655364 VIZ655363:VIZ655364 VSV655363:VSV655364 WCR655363:WCR655364 WMN655363:WMN655364 WWJ655363:WWJ655364 AB720899:AB720900 JX720899:JX720900 TT720899:TT720900 ADP720899:ADP720900 ANL720899:ANL720900 AXH720899:AXH720900 BHD720899:BHD720900 BQZ720899:BQZ720900 CAV720899:CAV720900 CKR720899:CKR720900 CUN720899:CUN720900 DEJ720899:DEJ720900 DOF720899:DOF720900 DYB720899:DYB720900 EHX720899:EHX720900 ERT720899:ERT720900 FBP720899:FBP720900 FLL720899:FLL720900 FVH720899:FVH720900 GFD720899:GFD720900 GOZ720899:GOZ720900 GYV720899:GYV720900 HIR720899:HIR720900 HSN720899:HSN720900 ICJ720899:ICJ720900 IMF720899:IMF720900 IWB720899:IWB720900 JFX720899:JFX720900 JPT720899:JPT720900 JZP720899:JZP720900 KJL720899:KJL720900 KTH720899:KTH720900 LDD720899:LDD720900 LMZ720899:LMZ720900 LWV720899:LWV720900 MGR720899:MGR720900 MQN720899:MQN720900 NAJ720899:NAJ720900 NKF720899:NKF720900 NUB720899:NUB720900 ODX720899:ODX720900 ONT720899:ONT720900 OXP720899:OXP720900 PHL720899:PHL720900 PRH720899:PRH720900 QBD720899:QBD720900 QKZ720899:QKZ720900 QUV720899:QUV720900 RER720899:RER720900 RON720899:RON720900 RYJ720899:RYJ720900 SIF720899:SIF720900 SSB720899:SSB720900 TBX720899:TBX720900 TLT720899:TLT720900 TVP720899:TVP720900 UFL720899:UFL720900 UPH720899:UPH720900 UZD720899:UZD720900 VIZ720899:VIZ720900 VSV720899:VSV720900 WCR720899:WCR720900 WMN720899:WMN720900 WWJ720899:WWJ720900 AB786435:AB786436 JX786435:JX786436 TT786435:TT786436 ADP786435:ADP786436 ANL786435:ANL786436 AXH786435:AXH786436 BHD786435:BHD786436 BQZ786435:BQZ786436 CAV786435:CAV786436 CKR786435:CKR786436 CUN786435:CUN786436 DEJ786435:DEJ786436 DOF786435:DOF786436 DYB786435:DYB786436 EHX786435:EHX786436 ERT786435:ERT786436 FBP786435:FBP786436 FLL786435:FLL786436 FVH786435:FVH786436 GFD786435:GFD786436 GOZ786435:GOZ786436 GYV786435:GYV786436 HIR786435:HIR786436 HSN786435:HSN786436 ICJ786435:ICJ786436 IMF786435:IMF786436 IWB786435:IWB786436 JFX786435:JFX786436 JPT786435:JPT786436 JZP786435:JZP786436 KJL786435:KJL786436 KTH786435:KTH786436 LDD786435:LDD786436 LMZ786435:LMZ786436 LWV786435:LWV786436 MGR786435:MGR786436 MQN786435:MQN786436 NAJ786435:NAJ786436 NKF786435:NKF786436 NUB786435:NUB786436 ODX786435:ODX786436 ONT786435:ONT786436 OXP786435:OXP786436 PHL786435:PHL786436 PRH786435:PRH786436 QBD786435:QBD786436 QKZ786435:QKZ786436 QUV786435:QUV786436 RER786435:RER786436 RON786435:RON786436 RYJ786435:RYJ786436 SIF786435:SIF786436 SSB786435:SSB786436 TBX786435:TBX786436 TLT786435:TLT786436 TVP786435:TVP786436 UFL786435:UFL786436 UPH786435:UPH786436 UZD786435:UZD786436 VIZ786435:VIZ786436 VSV786435:VSV786436 WCR786435:WCR786436 WMN786435:WMN786436 WWJ786435:WWJ786436 AB851971:AB851972 JX851971:JX851972 TT851971:TT851972 ADP851971:ADP851972 ANL851971:ANL851972 AXH851971:AXH851972 BHD851971:BHD851972 BQZ851971:BQZ851972 CAV851971:CAV851972 CKR851971:CKR851972 CUN851971:CUN851972 DEJ851971:DEJ851972 DOF851971:DOF851972 DYB851971:DYB851972 EHX851971:EHX851972 ERT851971:ERT851972 FBP851971:FBP851972 FLL851971:FLL851972 FVH851971:FVH851972 GFD851971:GFD851972 GOZ851971:GOZ851972 GYV851971:GYV851972 HIR851971:HIR851972 HSN851971:HSN851972 ICJ851971:ICJ851972 IMF851971:IMF851972 IWB851971:IWB851972 JFX851971:JFX851972 JPT851971:JPT851972 JZP851971:JZP851972 KJL851971:KJL851972 KTH851971:KTH851972 LDD851971:LDD851972 LMZ851971:LMZ851972 LWV851971:LWV851972 MGR851971:MGR851972 MQN851971:MQN851972 NAJ851971:NAJ851972 NKF851971:NKF851972 NUB851971:NUB851972 ODX851971:ODX851972 ONT851971:ONT851972 OXP851971:OXP851972 PHL851971:PHL851972 PRH851971:PRH851972 QBD851971:QBD851972 QKZ851971:QKZ851972 QUV851971:QUV851972 RER851971:RER851972 RON851971:RON851972 RYJ851971:RYJ851972 SIF851971:SIF851972 SSB851971:SSB851972 TBX851971:TBX851972 TLT851971:TLT851972 TVP851971:TVP851972 UFL851971:UFL851972 UPH851971:UPH851972 UZD851971:UZD851972 VIZ851971:VIZ851972 VSV851971:VSV851972 WCR851971:WCR851972 WMN851971:WMN851972 WWJ851971:WWJ851972 AB917507:AB917508 JX917507:JX917508 TT917507:TT917508 ADP917507:ADP917508 ANL917507:ANL917508 AXH917507:AXH917508 BHD917507:BHD917508 BQZ917507:BQZ917508 CAV917507:CAV917508 CKR917507:CKR917508 CUN917507:CUN917508 DEJ917507:DEJ917508 DOF917507:DOF917508 DYB917507:DYB917508 EHX917507:EHX917508 ERT917507:ERT917508 FBP917507:FBP917508 FLL917507:FLL917508 FVH917507:FVH917508 GFD917507:GFD917508 GOZ917507:GOZ917508 GYV917507:GYV917508 HIR917507:HIR917508 HSN917507:HSN917508 ICJ917507:ICJ917508 IMF917507:IMF917508 IWB917507:IWB917508 JFX917507:JFX917508 JPT917507:JPT917508 JZP917507:JZP917508 KJL917507:KJL917508 KTH917507:KTH917508 LDD917507:LDD917508 LMZ917507:LMZ917508 LWV917507:LWV917508 MGR917507:MGR917508 MQN917507:MQN917508 NAJ917507:NAJ917508 NKF917507:NKF917508 NUB917507:NUB917508 ODX917507:ODX917508 ONT917507:ONT917508 OXP917507:OXP917508 PHL917507:PHL917508 PRH917507:PRH917508 QBD917507:QBD917508 QKZ917507:QKZ917508 QUV917507:QUV917508 RER917507:RER917508 RON917507:RON917508 RYJ917507:RYJ917508 SIF917507:SIF917508 SSB917507:SSB917508 TBX917507:TBX917508 TLT917507:TLT917508 TVP917507:TVP917508 UFL917507:UFL917508 UPH917507:UPH917508 UZD917507:UZD917508 VIZ917507:VIZ917508 VSV917507:VSV917508 WCR917507:WCR917508 WMN917507:WMN917508 WWJ917507:WWJ917508 AB983043:AB983044 JX983043:JX983044 TT983043:TT983044 ADP983043:ADP983044 ANL983043:ANL983044 AXH983043:AXH983044 BHD983043:BHD983044 BQZ983043:BQZ983044 CAV983043:CAV983044 CKR983043:CKR983044 CUN983043:CUN983044 DEJ983043:DEJ983044 DOF983043:DOF983044 DYB983043:DYB983044 EHX983043:EHX983044 ERT983043:ERT983044 FBP983043:FBP983044 FLL983043:FLL983044 FVH983043:FVH983044 GFD983043:GFD983044 GOZ983043:GOZ983044 GYV983043:GYV983044 HIR983043:HIR983044 HSN983043:HSN983044 ICJ983043:ICJ983044 IMF983043:IMF983044 IWB983043:IWB983044 JFX983043:JFX983044 JPT983043:JPT983044 JZP983043:JZP983044 KJL983043:KJL983044 KTH983043:KTH983044 LDD983043:LDD983044 LMZ983043:LMZ983044 LWV983043:LWV983044 MGR983043:MGR983044 MQN983043:MQN983044 NAJ983043:NAJ983044 NKF983043:NKF983044 NUB983043:NUB983044 ODX983043:ODX983044 ONT983043:ONT983044 OXP983043:OXP983044 PHL983043:PHL983044 PRH983043:PRH983044 QBD983043:QBD983044 QKZ983043:QKZ983044 QUV983043:QUV983044 RER983043:RER983044 RON983043:RON983044 RYJ983043:RYJ983044 SIF983043:SIF983044 SSB983043:SSB983044 TBX983043:TBX983044 TLT983043:TLT983044 TVP983043:TVP983044 UFL983043:UFL983044 UPH983043:UPH983044 UZD983043:UZD983044 VIZ983043:VIZ983044 VSV983043:VSV983044 WCR983043:WCR983044 WMN983043:WMN983044 WWJ983043:WWJ983044 AR917507:AR917508 KN917507:KN917508 UJ917507:UJ917508 AEF917507:AEF917508 AOB917507:AOB917508 AXX917507:AXX917508 BHT917507:BHT917508 BRP917507:BRP917508 CBL917507:CBL917508 CLH917507:CLH917508 CVD917507:CVD917508 DEZ917507:DEZ917508 DOV917507:DOV917508 DYR917507:DYR917508 EIN917507:EIN917508 ESJ917507:ESJ917508 FCF917507:FCF917508 FMB917507:FMB917508 FVX917507:FVX917508 GFT917507:GFT917508 GPP917507:GPP917508 GZL917507:GZL917508 HJH917507:HJH917508 HTD917507:HTD917508 ICZ917507:ICZ917508 IMV917507:IMV917508 IWR917507:IWR917508 JGN917507:JGN917508 JQJ917507:JQJ917508 KAF917507:KAF917508 KKB917507:KKB917508 KTX917507:KTX917508 LDT917507:LDT917508 LNP917507:LNP917508 LXL917507:LXL917508 MHH917507:MHH917508 MRD917507:MRD917508 NAZ917507:NAZ917508 NKV917507:NKV917508 NUR917507:NUR917508 OEN917507:OEN917508 OOJ917507:OOJ917508 OYF917507:OYF917508 PIB917507:PIB917508 PRX917507:PRX917508 QBT917507:QBT917508 QLP917507:QLP917508 QVL917507:QVL917508 RFH917507:RFH917508 RPD917507:RPD917508 RYZ917507:RYZ917508 SIV917507:SIV917508 SSR917507:SSR917508 TCN917507:TCN917508 TMJ917507:TMJ917508 TWF917507:TWF917508 UGB917507:UGB917508 UPX917507:UPX917508 UZT917507:UZT917508 VJP917507:VJP917508 VTL917507:VTL917508 WDH917507:WDH917508 WND917507:WND917508 WWZ917507:WWZ917508 AF65539:AF65540 KB65539:KB65540 TX65539:TX65540 ADT65539:ADT65540 ANP65539:ANP65540 AXL65539:AXL65540 BHH65539:BHH65540 BRD65539:BRD65540 CAZ65539:CAZ65540 CKV65539:CKV65540 CUR65539:CUR65540 DEN65539:DEN65540 DOJ65539:DOJ65540 DYF65539:DYF65540 EIB65539:EIB65540 ERX65539:ERX65540 FBT65539:FBT65540 FLP65539:FLP65540 FVL65539:FVL65540 GFH65539:GFH65540 GPD65539:GPD65540 GYZ65539:GYZ65540 HIV65539:HIV65540 HSR65539:HSR65540 ICN65539:ICN65540 IMJ65539:IMJ65540 IWF65539:IWF65540 JGB65539:JGB65540 JPX65539:JPX65540 JZT65539:JZT65540 KJP65539:KJP65540 KTL65539:KTL65540 LDH65539:LDH65540 LND65539:LND65540 LWZ65539:LWZ65540 MGV65539:MGV65540 MQR65539:MQR65540 NAN65539:NAN65540 NKJ65539:NKJ65540 NUF65539:NUF65540 OEB65539:OEB65540 ONX65539:ONX65540 OXT65539:OXT65540 PHP65539:PHP65540 PRL65539:PRL65540 QBH65539:QBH65540 QLD65539:QLD65540 QUZ65539:QUZ65540 REV65539:REV65540 ROR65539:ROR65540 RYN65539:RYN65540 SIJ65539:SIJ65540 SSF65539:SSF65540 TCB65539:TCB65540 TLX65539:TLX65540 TVT65539:TVT65540 UFP65539:UFP65540 UPL65539:UPL65540 UZH65539:UZH65540 VJD65539:VJD65540 VSZ65539:VSZ65540 WCV65539:WCV65540 WMR65539:WMR65540 WWN65539:WWN65540 AF131075:AF131076 KB131075:KB131076 TX131075:TX131076 ADT131075:ADT131076 ANP131075:ANP131076 AXL131075:AXL131076 BHH131075:BHH131076 BRD131075:BRD131076 CAZ131075:CAZ131076 CKV131075:CKV131076 CUR131075:CUR131076 DEN131075:DEN131076 DOJ131075:DOJ131076 DYF131075:DYF131076 EIB131075:EIB131076 ERX131075:ERX131076 FBT131075:FBT131076 FLP131075:FLP131076 FVL131075:FVL131076 GFH131075:GFH131076 GPD131075:GPD131076 GYZ131075:GYZ131076 HIV131075:HIV131076 HSR131075:HSR131076 ICN131075:ICN131076 IMJ131075:IMJ131076 IWF131075:IWF131076 JGB131075:JGB131076 JPX131075:JPX131076 JZT131075:JZT131076 KJP131075:KJP131076 KTL131075:KTL131076 LDH131075:LDH131076 LND131075:LND131076 LWZ131075:LWZ131076 MGV131075:MGV131076 MQR131075:MQR131076 NAN131075:NAN131076 NKJ131075:NKJ131076 NUF131075:NUF131076 OEB131075:OEB131076 ONX131075:ONX131076 OXT131075:OXT131076 PHP131075:PHP131076 PRL131075:PRL131076 QBH131075:QBH131076 QLD131075:QLD131076 QUZ131075:QUZ131076 REV131075:REV131076 ROR131075:ROR131076 RYN131075:RYN131076 SIJ131075:SIJ131076 SSF131075:SSF131076 TCB131075:TCB131076 TLX131075:TLX131076 TVT131075:TVT131076 UFP131075:UFP131076 UPL131075:UPL131076 UZH131075:UZH131076 VJD131075:VJD131076 VSZ131075:VSZ131076 WCV131075:WCV131076 WMR131075:WMR131076 WWN131075:WWN131076 AF196611:AF196612 KB196611:KB196612 TX196611:TX196612 ADT196611:ADT196612 ANP196611:ANP196612 AXL196611:AXL196612 BHH196611:BHH196612 BRD196611:BRD196612 CAZ196611:CAZ196612 CKV196611:CKV196612 CUR196611:CUR196612 DEN196611:DEN196612 DOJ196611:DOJ196612 DYF196611:DYF196612 EIB196611:EIB196612 ERX196611:ERX196612 FBT196611:FBT196612 FLP196611:FLP196612 FVL196611:FVL196612 GFH196611:GFH196612 GPD196611:GPD196612 GYZ196611:GYZ196612 HIV196611:HIV196612 HSR196611:HSR196612 ICN196611:ICN196612 IMJ196611:IMJ196612 IWF196611:IWF196612 JGB196611:JGB196612 JPX196611:JPX196612 JZT196611:JZT196612 KJP196611:KJP196612 KTL196611:KTL196612 LDH196611:LDH196612 LND196611:LND196612 LWZ196611:LWZ196612 MGV196611:MGV196612 MQR196611:MQR196612 NAN196611:NAN196612 NKJ196611:NKJ196612 NUF196611:NUF196612 OEB196611:OEB196612 ONX196611:ONX196612 OXT196611:OXT196612 PHP196611:PHP196612 PRL196611:PRL196612 QBH196611:QBH196612 QLD196611:QLD196612 QUZ196611:QUZ196612 REV196611:REV196612 ROR196611:ROR196612 RYN196611:RYN196612 SIJ196611:SIJ196612 SSF196611:SSF196612 TCB196611:TCB196612 TLX196611:TLX196612 TVT196611:TVT196612 UFP196611:UFP196612 UPL196611:UPL196612 UZH196611:UZH196612 VJD196611:VJD196612 VSZ196611:VSZ196612 WCV196611:WCV196612 WMR196611:WMR196612 WWN196611:WWN196612 AF262147:AF262148 KB262147:KB262148 TX262147:TX262148 ADT262147:ADT262148 ANP262147:ANP262148 AXL262147:AXL262148 BHH262147:BHH262148 BRD262147:BRD262148 CAZ262147:CAZ262148 CKV262147:CKV262148 CUR262147:CUR262148 DEN262147:DEN262148 DOJ262147:DOJ262148 DYF262147:DYF262148 EIB262147:EIB262148 ERX262147:ERX262148 FBT262147:FBT262148 FLP262147:FLP262148 FVL262147:FVL262148 GFH262147:GFH262148 GPD262147:GPD262148 GYZ262147:GYZ262148 HIV262147:HIV262148 HSR262147:HSR262148 ICN262147:ICN262148 IMJ262147:IMJ262148 IWF262147:IWF262148 JGB262147:JGB262148 JPX262147:JPX262148 JZT262147:JZT262148 KJP262147:KJP262148 KTL262147:KTL262148 LDH262147:LDH262148 LND262147:LND262148 LWZ262147:LWZ262148 MGV262147:MGV262148 MQR262147:MQR262148 NAN262147:NAN262148 NKJ262147:NKJ262148 NUF262147:NUF262148 OEB262147:OEB262148 ONX262147:ONX262148 OXT262147:OXT262148 PHP262147:PHP262148 PRL262147:PRL262148 QBH262147:QBH262148 QLD262147:QLD262148 QUZ262147:QUZ262148 REV262147:REV262148 ROR262147:ROR262148 RYN262147:RYN262148 SIJ262147:SIJ262148 SSF262147:SSF262148 TCB262147:TCB262148 TLX262147:TLX262148 TVT262147:TVT262148 UFP262147:UFP262148 UPL262147:UPL262148 UZH262147:UZH262148 VJD262147:VJD262148 VSZ262147:VSZ262148 WCV262147:WCV262148 WMR262147:WMR262148 WWN262147:WWN262148 AF327683:AF327684 KB327683:KB327684 TX327683:TX327684 ADT327683:ADT327684 ANP327683:ANP327684 AXL327683:AXL327684 BHH327683:BHH327684 BRD327683:BRD327684 CAZ327683:CAZ327684 CKV327683:CKV327684 CUR327683:CUR327684 DEN327683:DEN327684 DOJ327683:DOJ327684 DYF327683:DYF327684 EIB327683:EIB327684 ERX327683:ERX327684 FBT327683:FBT327684 FLP327683:FLP327684 FVL327683:FVL327684 GFH327683:GFH327684 GPD327683:GPD327684 GYZ327683:GYZ327684 HIV327683:HIV327684 HSR327683:HSR327684 ICN327683:ICN327684 IMJ327683:IMJ327684 IWF327683:IWF327684 JGB327683:JGB327684 JPX327683:JPX327684 JZT327683:JZT327684 KJP327683:KJP327684 KTL327683:KTL327684 LDH327683:LDH327684 LND327683:LND327684 LWZ327683:LWZ327684 MGV327683:MGV327684 MQR327683:MQR327684 NAN327683:NAN327684 NKJ327683:NKJ327684 NUF327683:NUF327684 OEB327683:OEB327684 ONX327683:ONX327684 OXT327683:OXT327684 PHP327683:PHP327684 PRL327683:PRL327684 QBH327683:QBH327684 QLD327683:QLD327684 QUZ327683:QUZ327684 REV327683:REV327684 ROR327683:ROR327684 RYN327683:RYN327684 SIJ327683:SIJ327684 SSF327683:SSF327684 TCB327683:TCB327684 TLX327683:TLX327684 TVT327683:TVT327684 UFP327683:UFP327684 UPL327683:UPL327684 UZH327683:UZH327684 VJD327683:VJD327684 VSZ327683:VSZ327684 WCV327683:WCV327684 WMR327683:WMR327684 WWN327683:WWN327684 AF393219:AF393220 KB393219:KB393220 TX393219:TX393220 ADT393219:ADT393220 ANP393219:ANP393220 AXL393219:AXL393220 BHH393219:BHH393220 BRD393219:BRD393220 CAZ393219:CAZ393220 CKV393219:CKV393220 CUR393219:CUR393220 DEN393219:DEN393220 DOJ393219:DOJ393220 DYF393219:DYF393220 EIB393219:EIB393220 ERX393219:ERX393220 FBT393219:FBT393220 FLP393219:FLP393220 FVL393219:FVL393220 GFH393219:GFH393220 GPD393219:GPD393220 GYZ393219:GYZ393220 HIV393219:HIV393220 HSR393219:HSR393220 ICN393219:ICN393220 IMJ393219:IMJ393220 IWF393219:IWF393220 JGB393219:JGB393220 JPX393219:JPX393220 JZT393219:JZT393220 KJP393219:KJP393220 KTL393219:KTL393220 LDH393219:LDH393220 LND393219:LND393220 LWZ393219:LWZ393220 MGV393219:MGV393220 MQR393219:MQR393220 NAN393219:NAN393220 NKJ393219:NKJ393220 NUF393219:NUF393220 OEB393219:OEB393220 ONX393219:ONX393220 OXT393219:OXT393220 PHP393219:PHP393220 PRL393219:PRL393220 QBH393219:QBH393220 QLD393219:QLD393220 QUZ393219:QUZ393220 REV393219:REV393220 ROR393219:ROR393220 RYN393219:RYN393220 SIJ393219:SIJ393220 SSF393219:SSF393220 TCB393219:TCB393220 TLX393219:TLX393220 TVT393219:TVT393220 UFP393219:UFP393220 UPL393219:UPL393220 UZH393219:UZH393220 VJD393219:VJD393220 VSZ393219:VSZ393220 WCV393219:WCV393220 WMR393219:WMR393220 WWN393219:WWN393220 AF458755:AF458756 KB458755:KB458756 TX458755:TX458756 ADT458755:ADT458756 ANP458755:ANP458756 AXL458755:AXL458756 BHH458755:BHH458756 BRD458755:BRD458756 CAZ458755:CAZ458756 CKV458755:CKV458756 CUR458755:CUR458756 DEN458755:DEN458756 DOJ458755:DOJ458756 DYF458755:DYF458756 EIB458755:EIB458756 ERX458755:ERX458756 FBT458755:FBT458756 FLP458755:FLP458756 FVL458755:FVL458756 GFH458755:GFH458756 GPD458755:GPD458756 GYZ458755:GYZ458756 HIV458755:HIV458756 HSR458755:HSR458756 ICN458755:ICN458756 IMJ458755:IMJ458756 IWF458755:IWF458756 JGB458755:JGB458756 JPX458755:JPX458756 JZT458755:JZT458756 KJP458755:KJP458756 KTL458755:KTL458756 LDH458755:LDH458756 LND458755:LND458756 LWZ458755:LWZ458756 MGV458755:MGV458756 MQR458755:MQR458756 NAN458755:NAN458756 NKJ458755:NKJ458756 NUF458755:NUF458756 OEB458755:OEB458756 ONX458755:ONX458756 OXT458755:OXT458756 PHP458755:PHP458756 PRL458755:PRL458756 QBH458755:QBH458756 QLD458755:QLD458756 QUZ458755:QUZ458756 REV458755:REV458756 ROR458755:ROR458756 RYN458755:RYN458756 SIJ458755:SIJ458756 SSF458755:SSF458756 TCB458755:TCB458756 TLX458755:TLX458756 TVT458755:TVT458756 UFP458755:UFP458756 UPL458755:UPL458756 UZH458755:UZH458756 VJD458755:VJD458756 VSZ458755:VSZ458756 WCV458755:WCV458756 WMR458755:WMR458756 WWN458755:WWN458756 AF524291:AF524292 KB524291:KB524292 TX524291:TX524292 ADT524291:ADT524292 ANP524291:ANP524292 AXL524291:AXL524292 BHH524291:BHH524292 BRD524291:BRD524292 CAZ524291:CAZ524292 CKV524291:CKV524292 CUR524291:CUR524292 DEN524291:DEN524292 DOJ524291:DOJ524292 DYF524291:DYF524292 EIB524291:EIB524292 ERX524291:ERX524292 FBT524291:FBT524292 FLP524291:FLP524292 FVL524291:FVL524292 GFH524291:GFH524292 GPD524291:GPD524292 GYZ524291:GYZ524292 HIV524291:HIV524292 HSR524291:HSR524292 ICN524291:ICN524292 IMJ524291:IMJ524292 IWF524291:IWF524292 JGB524291:JGB524292 JPX524291:JPX524292 JZT524291:JZT524292 KJP524291:KJP524292 KTL524291:KTL524292 LDH524291:LDH524292 LND524291:LND524292 LWZ524291:LWZ524292 MGV524291:MGV524292 MQR524291:MQR524292 NAN524291:NAN524292 NKJ524291:NKJ524292 NUF524291:NUF524292 OEB524291:OEB524292 ONX524291:ONX524292 OXT524291:OXT524292 PHP524291:PHP524292 PRL524291:PRL524292 QBH524291:QBH524292 QLD524291:QLD524292 QUZ524291:QUZ524292 REV524291:REV524292 ROR524291:ROR524292 RYN524291:RYN524292 SIJ524291:SIJ524292 SSF524291:SSF524292 TCB524291:TCB524292 TLX524291:TLX524292 TVT524291:TVT524292 UFP524291:UFP524292 UPL524291:UPL524292 UZH524291:UZH524292 VJD524291:VJD524292 VSZ524291:VSZ524292 WCV524291:WCV524292 WMR524291:WMR524292 WWN524291:WWN524292 AF589827:AF589828 KB589827:KB589828 TX589827:TX589828 ADT589827:ADT589828 ANP589827:ANP589828 AXL589827:AXL589828 BHH589827:BHH589828 BRD589827:BRD589828 CAZ589827:CAZ589828 CKV589827:CKV589828 CUR589827:CUR589828 DEN589827:DEN589828 DOJ589827:DOJ589828 DYF589827:DYF589828 EIB589827:EIB589828 ERX589827:ERX589828 FBT589827:FBT589828 FLP589827:FLP589828 FVL589827:FVL589828 GFH589827:GFH589828 GPD589827:GPD589828 GYZ589827:GYZ589828 HIV589827:HIV589828 HSR589827:HSR589828 ICN589827:ICN589828 IMJ589827:IMJ589828 IWF589827:IWF589828 JGB589827:JGB589828 JPX589827:JPX589828 JZT589827:JZT589828 KJP589827:KJP589828 KTL589827:KTL589828 LDH589827:LDH589828 LND589827:LND589828 LWZ589827:LWZ589828 MGV589827:MGV589828 MQR589827:MQR589828 NAN589827:NAN589828 NKJ589827:NKJ589828 NUF589827:NUF589828 OEB589827:OEB589828 ONX589827:ONX589828 OXT589827:OXT589828 PHP589827:PHP589828 PRL589827:PRL589828 QBH589827:QBH589828 QLD589827:QLD589828 QUZ589827:QUZ589828 REV589827:REV589828 ROR589827:ROR589828 RYN589827:RYN589828 SIJ589827:SIJ589828 SSF589827:SSF589828 TCB589827:TCB589828 TLX589827:TLX589828 TVT589827:TVT589828 UFP589827:UFP589828 UPL589827:UPL589828 UZH589827:UZH589828 VJD589827:VJD589828 VSZ589827:VSZ589828 WCV589827:WCV589828 WMR589827:WMR589828 WWN589827:WWN589828 AF655363:AF655364 KB655363:KB655364 TX655363:TX655364 ADT655363:ADT655364 ANP655363:ANP655364 AXL655363:AXL655364 BHH655363:BHH655364 BRD655363:BRD655364 CAZ655363:CAZ655364 CKV655363:CKV655364 CUR655363:CUR655364 DEN655363:DEN655364 DOJ655363:DOJ655364 DYF655363:DYF655364 EIB655363:EIB655364 ERX655363:ERX655364 FBT655363:FBT655364 FLP655363:FLP655364 FVL655363:FVL655364 GFH655363:GFH655364 GPD655363:GPD655364 GYZ655363:GYZ655364 HIV655363:HIV655364 HSR655363:HSR655364 ICN655363:ICN655364 IMJ655363:IMJ655364 IWF655363:IWF655364 JGB655363:JGB655364 JPX655363:JPX655364 JZT655363:JZT655364 KJP655363:KJP655364 KTL655363:KTL655364 LDH655363:LDH655364 LND655363:LND655364 LWZ655363:LWZ655364 MGV655363:MGV655364 MQR655363:MQR655364 NAN655363:NAN655364 NKJ655363:NKJ655364 NUF655363:NUF655364 OEB655363:OEB655364 ONX655363:ONX655364 OXT655363:OXT655364 PHP655363:PHP655364 PRL655363:PRL655364 QBH655363:QBH655364 QLD655363:QLD655364 QUZ655363:QUZ655364 REV655363:REV655364 ROR655363:ROR655364 RYN655363:RYN655364 SIJ655363:SIJ655364 SSF655363:SSF655364 TCB655363:TCB655364 TLX655363:TLX655364 TVT655363:TVT655364 UFP655363:UFP655364 UPL655363:UPL655364 UZH655363:UZH655364 VJD655363:VJD655364 VSZ655363:VSZ655364 WCV655363:WCV655364 WMR655363:WMR655364 WWN655363:WWN655364 AF720899:AF720900 KB720899:KB720900 TX720899:TX720900 ADT720899:ADT720900 ANP720899:ANP720900 AXL720899:AXL720900 BHH720899:BHH720900 BRD720899:BRD720900 CAZ720899:CAZ720900 CKV720899:CKV720900 CUR720899:CUR720900 DEN720899:DEN720900 DOJ720899:DOJ720900 DYF720899:DYF720900 EIB720899:EIB720900 ERX720899:ERX720900 FBT720899:FBT720900 FLP720899:FLP720900 FVL720899:FVL720900 GFH720899:GFH720900 GPD720899:GPD720900 GYZ720899:GYZ720900 HIV720899:HIV720900 HSR720899:HSR720900 ICN720899:ICN720900 IMJ720899:IMJ720900 IWF720899:IWF720900 JGB720899:JGB720900 JPX720899:JPX720900 JZT720899:JZT720900 KJP720899:KJP720900 KTL720899:KTL720900 LDH720899:LDH720900 LND720899:LND720900 LWZ720899:LWZ720900 MGV720899:MGV720900 MQR720899:MQR720900 NAN720899:NAN720900 NKJ720899:NKJ720900 NUF720899:NUF720900 OEB720899:OEB720900 ONX720899:ONX720900 OXT720899:OXT720900 PHP720899:PHP720900 PRL720899:PRL720900 QBH720899:QBH720900 QLD720899:QLD720900 QUZ720899:QUZ720900 REV720899:REV720900 ROR720899:ROR720900 RYN720899:RYN720900 SIJ720899:SIJ720900 SSF720899:SSF720900 TCB720899:TCB720900 TLX720899:TLX720900 TVT720899:TVT720900 UFP720899:UFP720900 UPL720899:UPL720900 UZH720899:UZH720900 VJD720899:VJD720900 VSZ720899:VSZ720900 WCV720899:WCV720900 WMR720899:WMR720900 WWN720899:WWN720900 AF786435:AF786436 KB786435:KB786436 TX786435:TX786436 ADT786435:ADT786436 ANP786435:ANP786436 AXL786435:AXL786436 BHH786435:BHH786436 BRD786435:BRD786436 CAZ786435:CAZ786436 CKV786435:CKV786436 CUR786435:CUR786436 DEN786435:DEN786436 DOJ786435:DOJ786436 DYF786435:DYF786436 EIB786435:EIB786436 ERX786435:ERX786436 FBT786435:FBT786436 FLP786435:FLP786436 FVL786435:FVL786436 GFH786435:GFH786436 GPD786435:GPD786436 GYZ786435:GYZ786436 HIV786435:HIV786436 HSR786435:HSR786436 ICN786435:ICN786436 IMJ786435:IMJ786436 IWF786435:IWF786436 JGB786435:JGB786436 JPX786435:JPX786436 JZT786435:JZT786436 KJP786435:KJP786436 KTL786435:KTL786436 LDH786435:LDH786436 LND786435:LND786436 LWZ786435:LWZ786436 MGV786435:MGV786436 MQR786435:MQR786436 NAN786435:NAN786436 NKJ786435:NKJ786436 NUF786435:NUF786436 OEB786435:OEB786436 ONX786435:ONX786436 OXT786435:OXT786436 PHP786435:PHP786436 PRL786435:PRL786436 QBH786435:QBH786436 QLD786435:QLD786436 QUZ786435:QUZ786436 REV786435:REV786436 ROR786435:ROR786436 RYN786435:RYN786436 SIJ786435:SIJ786436 SSF786435:SSF786436 TCB786435:TCB786436 TLX786435:TLX786436 TVT786435:TVT786436 UFP786435:UFP786436 UPL786435:UPL786436 UZH786435:UZH786436 VJD786435:VJD786436 VSZ786435:VSZ786436 WCV786435:WCV786436 WMR786435:WMR786436 WWN786435:WWN786436 AF851971:AF851972 KB851971:KB851972 TX851971:TX851972 ADT851971:ADT851972 ANP851971:ANP851972 AXL851971:AXL851972 BHH851971:BHH851972 BRD851971:BRD851972 CAZ851971:CAZ851972 CKV851971:CKV851972 CUR851971:CUR851972 DEN851971:DEN851972 DOJ851971:DOJ851972 DYF851971:DYF851972 EIB851971:EIB851972 ERX851971:ERX851972 FBT851971:FBT851972 FLP851971:FLP851972 FVL851971:FVL851972 GFH851971:GFH851972 GPD851971:GPD851972 GYZ851971:GYZ851972 HIV851971:HIV851972 HSR851971:HSR851972 ICN851971:ICN851972 IMJ851971:IMJ851972 IWF851971:IWF851972 JGB851971:JGB851972 JPX851971:JPX851972 JZT851971:JZT851972 KJP851971:KJP851972 KTL851971:KTL851972 LDH851971:LDH851972 LND851971:LND851972 LWZ851971:LWZ851972 MGV851971:MGV851972 MQR851971:MQR851972 NAN851971:NAN851972 NKJ851971:NKJ851972 NUF851971:NUF851972 OEB851971:OEB851972 ONX851971:ONX851972 OXT851971:OXT851972 PHP851971:PHP851972 PRL851971:PRL851972 QBH851971:QBH851972 QLD851971:QLD851972 QUZ851971:QUZ851972 REV851971:REV851972 ROR851971:ROR851972 RYN851971:RYN851972 SIJ851971:SIJ851972 SSF851971:SSF851972 TCB851971:TCB851972 TLX851971:TLX851972 TVT851971:TVT851972 UFP851971:UFP851972 UPL851971:UPL851972 UZH851971:UZH851972 VJD851971:VJD851972 VSZ851971:VSZ851972 WCV851971:WCV851972 WMR851971:WMR851972 WWN851971:WWN851972 AF917507:AF917508 KB917507:KB917508 TX917507:TX917508 ADT917507:ADT917508 ANP917507:ANP917508 AXL917507:AXL917508 BHH917507:BHH917508 BRD917507:BRD917508 CAZ917507:CAZ917508 CKV917507:CKV917508 CUR917507:CUR917508 DEN917507:DEN917508 DOJ917507:DOJ917508 DYF917507:DYF917508 EIB917507:EIB917508 ERX917507:ERX917508 FBT917507:FBT917508 FLP917507:FLP917508 FVL917507:FVL917508 GFH917507:GFH917508 GPD917507:GPD917508 GYZ917507:GYZ917508 HIV917507:HIV917508 HSR917507:HSR917508 ICN917507:ICN917508 IMJ917507:IMJ917508 IWF917507:IWF917508 JGB917507:JGB917508 JPX917507:JPX917508 JZT917507:JZT917508 KJP917507:KJP917508 KTL917507:KTL917508 LDH917507:LDH917508 LND917507:LND917508 LWZ917507:LWZ917508 MGV917507:MGV917508 MQR917507:MQR917508 NAN917507:NAN917508 NKJ917507:NKJ917508 NUF917507:NUF917508 OEB917507:OEB917508 ONX917507:ONX917508 OXT917507:OXT917508 PHP917507:PHP917508 PRL917507:PRL917508 QBH917507:QBH917508 QLD917507:QLD917508 QUZ917507:QUZ917508 REV917507:REV917508 ROR917507:ROR917508 RYN917507:RYN917508 SIJ917507:SIJ917508 SSF917507:SSF917508 TCB917507:TCB917508 TLX917507:TLX917508 TVT917507:TVT917508 UFP917507:UFP917508 UPL917507:UPL917508 UZH917507:UZH917508 VJD917507:VJD917508 VSZ917507:VSZ917508 WCV917507:WCV917508 WMR917507:WMR917508 WWN917507:WWN917508 AF983043:AF983044 KB983043:KB983044 TX983043:TX983044 ADT983043:ADT983044 ANP983043:ANP983044 AXL983043:AXL983044 BHH983043:BHH983044 BRD983043:BRD983044 CAZ983043:CAZ983044 CKV983043:CKV983044 CUR983043:CUR983044 DEN983043:DEN983044 DOJ983043:DOJ983044 DYF983043:DYF983044 EIB983043:EIB983044 ERX983043:ERX983044 FBT983043:FBT983044 FLP983043:FLP983044 FVL983043:FVL983044 GFH983043:GFH983044 GPD983043:GPD983044 GYZ983043:GYZ983044 HIV983043:HIV983044 HSR983043:HSR983044 ICN983043:ICN983044 IMJ983043:IMJ983044 IWF983043:IWF983044 JGB983043:JGB983044 JPX983043:JPX983044 JZT983043:JZT983044 KJP983043:KJP983044 KTL983043:KTL983044 LDH983043:LDH983044 LND983043:LND983044 LWZ983043:LWZ983044 MGV983043:MGV983044 MQR983043:MQR983044 NAN983043:NAN983044 NKJ983043:NKJ983044 NUF983043:NUF983044 OEB983043:OEB983044 ONX983043:ONX983044 OXT983043:OXT983044 PHP983043:PHP983044 PRL983043:PRL983044 QBH983043:QBH983044 QLD983043:QLD983044 QUZ983043:QUZ983044 REV983043:REV983044 ROR983043:ROR983044 RYN983043:RYN983044 SIJ983043:SIJ983044 SSF983043:SSF983044 TCB983043:TCB983044 TLX983043:TLX983044 TVT983043:TVT983044 UFP983043:UFP983044 UPL983043:UPL983044 UZH983043:UZH983044 VJD983043:VJD983044 VSZ983043:VSZ983044 WCV983043:WCV983044 WMR983043:WMR983044 WWN983043:WWN983044 AR983043:AR983044 KN983043:KN983044 UJ983043:UJ983044 AEF983043:AEF983044 AOB983043:AOB983044 AXX983043:AXX983044 BHT983043:BHT983044 BRP983043:BRP983044 CBL983043:CBL983044 CLH983043:CLH983044 CVD983043:CVD983044 DEZ983043:DEZ983044 DOV983043:DOV983044 DYR983043:DYR983044 EIN983043:EIN983044 ESJ983043:ESJ983044 FCF983043:FCF983044 FMB983043:FMB983044 FVX983043:FVX983044 GFT983043:GFT983044 GPP983043:GPP983044 GZL983043:GZL983044 HJH983043:HJH983044 HTD983043:HTD983044 ICZ983043:ICZ983044 IMV983043:IMV983044 IWR983043:IWR983044 JGN983043:JGN983044 JQJ983043:JQJ983044 KAF983043:KAF983044 KKB983043:KKB983044 KTX983043:KTX983044 LDT983043:LDT983044 LNP983043:LNP983044 LXL983043:LXL983044 MHH983043:MHH983044 MRD983043:MRD983044 NAZ983043:NAZ983044 NKV983043:NKV983044 NUR983043:NUR983044 OEN983043:OEN983044 OOJ983043:OOJ983044 OYF983043:OYF983044 PIB983043:PIB983044 PRX983043:PRX983044 QBT983043:QBT983044 QLP983043:QLP983044 QVL983043:QVL983044 RFH983043:RFH983044 RPD983043:RPD983044 RYZ983043:RYZ983044 SIV983043:SIV983044 SSR983043:SSR983044 TCN983043:TCN983044 TMJ983043:TMJ983044 TWF983043:TWF983044 UGB983043:UGB983044 UPX983043:UPX983044 UZT983043:UZT983044 VJP983043:VJP983044 VTL983043:VTL983044 WDH983043:WDH983044 WND983043:WND983044 WWZ983043:WWZ983044 AR65539:AR65540 KN65539:KN65540 UJ65539:UJ65540 AEF65539:AEF65540 AOB65539:AOB65540 AXX65539:AXX65540 BHT65539:BHT65540 BRP65539:BRP65540 CBL65539:CBL65540 CLH65539:CLH65540 CVD65539:CVD65540 DEZ65539:DEZ65540 DOV65539:DOV65540 DYR65539:DYR65540 EIN65539:EIN65540 ESJ65539:ESJ65540 FCF65539:FCF65540 FMB65539:FMB65540 FVX65539:FVX65540 GFT65539:GFT65540 GPP65539:GPP65540 GZL65539:GZL65540 HJH65539:HJH65540 HTD65539:HTD65540 ICZ65539:ICZ65540 IMV65539:IMV65540 IWR65539:IWR65540 JGN65539:JGN65540 JQJ65539:JQJ65540 KAF65539:KAF65540 KKB65539:KKB65540 KTX65539:KTX65540 LDT65539:LDT65540 LNP65539:LNP65540 LXL65539:LXL65540 MHH65539:MHH65540 MRD65539:MRD65540 NAZ65539:NAZ65540 NKV65539:NKV65540 NUR65539:NUR65540 OEN65539:OEN65540 OOJ65539:OOJ65540 OYF65539:OYF65540 PIB65539:PIB65540 PRX65539:PRX65540 QBT65539:QBT65540 QLP65539:QLP65540 QVL65539:QVL65540 RFH65539:RFH65540 RPD65539:RPD65540 RYZ65539:RYZ65540 SIV65539:SIV65540 SSR65539:SSR65540 TCN65539:TCN65540 TMJ65539:TMJ65540 TWF65539:TWF65540 UGB65539:UGB65540 UPX65539:UPX65540 UZT65539:UZT65540 VJP65539:VJP65540 VTL65539:VTL65540 WDH65539:WDH65540 WND65539:WND65540 WWZ65539:WWZ65540 AR131075:AR131076 KN131075:KN131076 UJ131075:UJ131076 AEF131075:AEF131076 AOB131075:AOB131076 AXX131075:AXX131076 BHT131075:BHT131076 BRP131075:BRP131076 CBL131075:CBL131076 CLH131075:CLH131076 CVD131075:CVD131076 DEZ131075:DEZ131076 DOV131075:DOV131076 DYR131075:DYR131076 EIN131075:EIN131076 ESJ131075:ESJ131076 FCF131075:FCF131076 FMB131075:FMB131076 FVX131075:FVX131076 GFT131075:GFT131076 GPP131075:GPP131076 GZL131075:GZL131076 HJH131075:HJH131076 HTD131075:HTD131076 ICZ131075:ICZ131076 IMV131075:IMV131076 IWR131075:IWR131076 JGN131075:JGN131076 JQJ131075:JQJ131076 KAF131075:KAF131076 KKB131075:KKB131076 KTX131075:KTX131076 LDT131075:LDT131076 LNP131075:LNP131076 LXL131075:LXL131076 MHH131075:MHH131076 MRD131075:MRD131076 NAZ131075:NAZ131076 NKV131075:NKV131076 NUR131075:NUR131076 OEN131075:OEN131076 OOJ131075:OOJ131076 OYF131075:OYF131076 PIB131075:PIB131076 PRX131075:PRX131076 QBT131075:QBT131076 QLP131075:QLP131076 QVL131075:QVL131076 RFH131075:RFH131076 RPD131075:RPD131076 RYZ131075:RYZ131076 SIV131075:SIV131076 SSR131075:SSR131076 TCN131075:TCN131076 TMJ131075:TMJ131076 TWF131075:TWF131076 UGB131075:UGB131076 UPX131075:UPX131076 UZT131075:UZT131076 VJP131075:VJP131076 VTL131075:VTL131076 WDH131075:WDH131076 WND131075:WND131076 WWZ131075:WWZ131076 AR196611:AR196612 KN196611:KN196612 UJ196611:UJ196612 AEF196611:AEF196612 AOB196611:AOB196612 AXX196611:AXX196612 BHT196611:BHT196612 BRP196611:BRP196612 CBL196611:CBL196612 CLH196611:CLH196612 CVD196611:CVD196612 DEZ196611:DEZ196612 DOV196611:DOV196612 DYR196611:DYR196612 EIN196611:EIN196612 ESJ196611:ESJ196612 FCF196611:FCF196612 FMB196611:FMB196612 FVX196611:FVX196612 GFT196611:GFT196612 GPP196611:GPP196612 GZL196611:GZL196612 HJH196611:HJH196612 HTD196611:HTD196612 ICZ196611:ICZ196612 IMV196611:IMV196612 IWR196611:IWR196612 JGN196611:JGN196612 JQJ196611:JQJ196612 KAF196611:KAF196612 KKB196611:KKB196612 KTX196611:KTX196612 LDT196611:LDT196612 LNP196611:LNP196612 LXL196611:LXL196612 MHH196611:MHH196612 MRD196611:MRD196612 NAZ196611:NAZ196612 NKV196611:NKV196612 NUR196611:NUR196612 OEN196611:OEN196612 OOJ196611:OOJ196612 OYF196611:OYF196612 PIB196611:PIB196612 PRX196611:PRX196612 QBT196611:QBT196612 QLP196611:QLP196612 QVL196611:QVL196612 RFH196611:RFH196612 RPD196611:RPD196612 RYZ196611:RYZ196612 SIV196611:SIV196612 SSR196611:SSR196612 TCN196611:TCN196612 TMJ196611:TMJ196612 TWF196611:TWF196612 UGB196611:UGB196612 UPX196611:UPX196612 UZT196611:UZT196612 VJP196611:VJP196612 VTL196611:VTL196612 WDH196611:WDH196612 WND196611:WND196612 WWZ196611:WWZ196612 AR262147:AR262148 KN262147:KN262148 UJ262147:UJ262148 AEF262147:AEF262148 AOB262147:AOB262148 AXX262147:AXX262148 BHT262147:BHT262148 BRP262147:BRP262148 CBL262147:CBL262148 CLH262147:CLH262148 CVD262147:CVD262148 DEZ262147:DEZ262148 DOV262147:DOV262148 DYR262147:DYR262148 EIN262147:EIN262148 ESJ262147:ESJ262148 FCF262147:FCF262148 FMB262147:FMB262148 FVX262147:FVX262148 GFT262147:GFT262148 GPP262147:GPP262148 GZL262147:GZL262148 HJH262147:HJH262148 HTD262147:HTD262148 ICZ262147:ICZ262148 IMV262147:IMV262148 IWR262147:IWR262148 JGN262147:JGN262148 JQJ262147:JQJ262148 KAF262147:KAF262148 KKB262147:KKB262148 KTX262147:KTX262148 LDT262147:LDT262148 LNP262147:LNP262148 LXL262147:LXL262148 MHH262147:MHH262148 MRD262147:MRD262148 NAZ262147:NAZ262148 NKV262147:NKV262148 NUR262147:NUR262148 OEN262147:OEN262148 OOJ262147:OOJ262148 OYF262147:OYF262148 PIB262147:PIB262148 PRX262147:PRX262148 QBT262147:QBT262148 QLP262147:QLP262148 QVL262147:QVL262148 RFH262147:RFH262148 RPD262147:RPD262148 RYZ262147:RYZ262148 SIV262147:SIV262148 SSR262147:SSR262148 TCN262147:TCN262148 TMJ262147:TMJ262148 TWF262147:TWF262148 UGB262147:UGB262148 UPX262147:UPX262148 UZT262147:UZT262148 VJP262147:VJP262148 VTL262147:VTL262148 WDH262147:WDH262148 WND262147:WND262148 WWZ262147:WWZ262148 AR327683:AR327684 KN327683:KN327684 UJ327683:UJ327684 AEF327683:AEF327684 AOB327683:AOB327684 AXX327683:AXX327684 BHT327683:BHT327684 BRP327683:BRP327684 CBL327683:CBL327684 CLH327683:CLH327684 CVD327683:CVD327684 DEZ327683:DEZ327684 DOV327683:DOV327684 DYR327683:DYR327684 EIN327683:EIN327684 ESJ327683:ESJ327684 FCF327683:FCF327684 FMB327683:FMB327684 FVX327683:FVX327684 GFT327683:GFT327684 GPP327683:GPP327684 GZL327683:GZL327684 HJH327683:HJH327684 HTD327683:HTD327684 ICZ327683:ICZ327684 IMV327683:IMV327684 IWR327683:IWR327684 JGN327683:JGN327684 JQJ327683:JQJ327684 KAF327683:KAF327684 KKB327683:KKB327684 KTX327683:KTX327684 LDT327683:LDT327684 LNP327683:LNP327684 LXL327683:LXL327684 MHH327683:MHH327684 MRD327683:MRD327684 NAZ327683:NAZ327684 NKV327683:NKV327684 NUR327683:NUR327684 OEN327683:OEN327684 OOJ327683:OOJ327684 OYF327683:OYF327684 PIB327683:PIB327684 PRX327683:PRX327684 QBT327683:QBT327684 QLP327683:QLP327684 QVL327683:QVL327684 RFH327683:RFH327684 RPD327683:RPD327684 RYZ327683:RYZ327684 SIV327683:SIV327684 SSR327683:SSR327684 TCN327683:TCN327684 TMJ327683:TMJ327684 TWF327683:TWF327684 UGB327683:UGB327684 UPX327683:UPX327684 UZT327683:UZT327684 VJP327683:VJP327684 VTL327683:VTL327684 WDH327683:WDH327684 WND327683:WND327684 WWZ327683:WWZ327684 AR393219:AR393220 KN393219:KN393220 UJ393219:UJ393220 AEF393219:AEF393220 AOB393219:AOB393220 AXX393219:AXX393220 BHT393219:BHT393220 BRP393219:BRP393220 CBL393219:CBL393220 CLH393219:CLH393220 CVD393219:CVD393220 DEZ393219:DEZ393220 DOV393219:DOV393220 DYR393219:DYR393220 EIN393219:EIN393220 ESJ393219:ESJ393220 FCF393219:FCF393220 FMB393219:FMB393220 FVX393219:FVX393220 GFT393219:GFT393220 GPP393219:GPP393220 GZL393219:GZL393220 HJH393219:HJH393220 HTD393219:HTD393220 ICZ393219:ICZ393220 IMV393219:IMV393220 IWR393219:IWR393220 JGN393219:JGN393220 JQJ393219:JQJ393220 KAF393219:KAF393220 KKB393219:KKB393220 KTX393219:KTX393220 LDT393219:LDT393220 LNP393219:LNP393220 LXL393219:LXL393220 MHH393219:MHH393220 MRD393219:MRD393220 NAZ393219:NAZ393220 NKV393219:NKV393220 NUR393219:NUR393220 OEN393219:OEN393220 OOJ393219:OOJ393220 OYF393219:OYF393220 PIB393219:PIB393220 PRX393219:PRX393220 QBT393219:QBT393220 QLP393219:QLP393220 QVL393219:QVL393220 RFH393219:RFH393220 RPD393219:RPD393220 RYZ393219:RYZ393220 SIV393219:SIV393220 SSR393219:SSR393220 TCN393219:TCN393220 TMJ393219:TMJ393220 TWF393219:TWF393220 UGB393219:UGB393220 UPX393219:UPX393220 UZT393219:UZT393220 VJP393219:VJP393220 VTL393219:VTL393220 WDH393219:WDH393220 WND393219:WND393220 WWZ393219:WWZ393220 AR458755:AR458756 KN458755:KN458756 UJ458755:UJ458756 AEF458755:AEF458756 AOB458755:AOB458756 AXX458755:AXX458756 BHT458755:BHT458756 BRP458755:BRP458756 CBL458755:CBL458756 CLH458755:CLH458756 CVD458755:CVD458756 DEZ458755:DEZ458756 DOV458755:DOV458756 DYR458755:DYR458756 EIN458755:EIN458756 ESJ458755:ESJ458756 FCF458755:FCF458756 FMB458755:FMB458756 FVX458755:FVX458756 GFT458755:GFT458756 GPP458755:GPP458756 GZL458755:GZL458756 HJH458755:HJH458756 HTD458755:HTD458756 ICZ458755:ICZ458756 IMV458755:IMV458756 IWR458755:IWR458756 JGN458755:JGN458756 JQJ458755:JQJ458756 KAF458755:KAF458756 KKB458755:KKB458756 KTX458755:KTX458756 LDT458755:LDT458756 LNP458755:LNP458756 LXL458755:LXL458756 MHH458755:MHH458756 MRD458755:MRD458756 NAZ458755:NAZ458756 NKV458755:NKV458756 NUR458755:NUR458756 OEN458755:OEN458756 OOJ458755:OOJ458756 OYF458755:OYF458756 PIB458755:PIB458756 PRX458755:PRX458756 QBT458755:QBT458756 QLP458755:QLP458756 QVL458755:QVL458756 RFH458755:RFH458756 RPD458755:RPD458756 RYZ458755:RYZ458756 SIV458755:SIV458756 SSR458755:SSR458756 TCN458755:TCN458756 TMJ458755:TMJ458756 TWF458755:TWF458756 UGB458755:UGB458756 UPX458755:UPX458756 UZT458755:UZT458756 VJP458755:VJP458756 VTL458755:VTL458756 WDH458755:WDH458756 WND458755:WND458756 WWZ458755:WWZ458756 AR524291:AR524292 KN524291:KN524292 UJ524291:UJ524292 AEF524291:AEF524292 AOB524291:AOB524292 AXX524291:AXX524292 BHT524291:BHT524292 BRP524291:BRP524292 CBL524291:CBL524292 CLH524291:CLH524292 CVD524291:CVD524292 DEZ524291:DEZ524292 DOV524291:DOV524292 DYR524291:DYR524292 EIN524291:EIN524292 ESJ524291:ESJ524292 FCF524291:FCF524292 FMB524291:FMB524292 FVX524291:FVX524292 GFT524291:GFT524292 GPP524291:GPP524292 GZL524291:GZL524292 HJH524291:HJH524292 HTD524291:HTD524292 ICZ524291:ICZ524292 IMV524291:IMV524292 IWR524291:IWR524292 JGN524291:JGN524292 JQJ524291:JQJ524292 KAF524291:KAF524292 KKB524291:KKB524292 KTX524291:KTX524292 LDT524291:LDT524292 LNP524291:LNP524292 LXL524291:LXL524292 MHH524291:MHH524292 MRD524291:MRD524292 NAZ524291:NAZ524292 NKV524291:NKV524292 NUR524291:NUR524292 OEN524291:OEN524292 OOJ524291:OOJ524292 OYF524291:OYF524292 PIB524291:PIB524292 PRX524291:PRX524292 QBT524291:QBT524292 QLP524291:QLP524292 QVL524291:QVL524292 RFH524291:RFH524292 RPD524291:RPD524292 RYZ524291:RYZ524292 SIV524291:SIV524292 SSR524291:SSR524292 TCN524291:TCN524292 TMJ524291:TMJ524292 TWF524291:TWF524292 UGB524291:UGB524292 UPX524291:UPX524292 UZT524291:UZT524292 VJP524291:VJP524292 VTL524291:VTL524292 WDH524291:WDH524292 WND524291:WND524292 WWZ524291:WWZ524292 AR589827:AR589828 KN589827:KN589828 UJ589827:UJ589828 AEF589827:AEF589828 AOB589827:AOB589828 AXX589827:AXX589828 BHT589827:BHT589828 BRP589827:BRP589828 CBL589827:CBL589828 CLH589827:CLH589828 CVD589827:CVD589828 DEZ589827:DEZ589828 DOV589827:DOV589828 DYR589827:DYR589828 EIN589827:EIN589828 ESJ589827:ESJ589828 FCF589827:FCF589828 FMB589827:FMB589828 FVX589827:FVX589828 GFT589827:GFT589828 GPP589827:GPP589828 GZL589827:GZL589828 HJH589827:HJH589828 HTD589827:HTD589828 ICZ589827:ICZ589828 IMV589827:IMV589828 IWR589827:IWR589828 JGN589827:JGN589828 JQJ589827:JQJ589828 KAF589827:KAF589828 KKB589827:KKB589828 KTX589827:KTX589828 LDT589827:LDT589828 LNP589827:LNP589828 LXL589827:LXL589828 MHH589827:MHH589828 MRD589827:MRD589828 NAZ589827:NAZ589828 NKV589827:NKV589828 NUR589827:NUR589828 OEN589827:OEN589828 OOJ589827:OOJ589828 OYF589827:OYF589828 PIB589827:PIB589828 PRX589827:PRX589828 QBT589827:QBT589828 QLP589827:QLP589828 QVL589827:QVL589828 RFH589827:RFH589828 RPD589827:RPD589828 RYZ589827:RYZ589828 SIV589827:SIV589828 SSR589827:SSR589828 TCN589827:TCN589828 TMJ589827:TMJ589828 TWF589827:TWF589828 UGB589827:UGB589828 UPX589827:UPX589828 UZT589827:UZT589828 VJP589827:VJP589828 VTL589827:VTL589828 WDH589827:WDH589828 WND589827:WND589828 WWZ589827:WWZ589828 AR655363:AR655364 KN655363:KN655364 UJ655363:UJ655364 AEF655363:AEF655364 AOB655363:AOB655364 AXX655363:AXX655364 BHT655363:BHT655364 BRP655363:BRP655364 CBL655363:CBL655364 CLH655363:CLH655364 CVD655363:CVD655364 DEZ655363:DEZ655364 DOV655363:DOV655364 DYR655363:DYR655364 EIN655363:EIN655364 ESJ655363:ESJ655364 FCF655363:FCF655364 FMB655363:FMB655364 FVX655363:FVX655364 GFT655363:GFT655364 GPP655363:GPP655364 GZL655363:GZL655364 HJH655363:HJH655364 HTD655363:HTD655364 ICZ655363:ICZ655364 IMV655363:IMV655364 IWR655363:IWR655364 JGN655363:JGN655364 JQJ655363:JQJ655364 KAF655363:KAF655364 KKB655363:KKB655364 KTX655363:KTX655364 LDT655363:LDT655364 LNP655363:LNP655364 LXL655363:LXL655364 MHH655363:MHH655364 MRD655363:MRD655364 NAZ655363:NAZ655364 NKV655363:NKV655364 NUR655363:NUR655364 OEN655363:OEN655364 OOJ655363:OOJ655364 OYF655363:OYF655364 PIB655363:PIB655364 PRX655363:PRX655364 QBT655363:QBT655364 QLP655363:QLP655364 QVL655363:QVL655364 RFH655363:RFH655364 RPD655363:RPD655364 RYZ655363:RYZ655364 SIV655363:SIV655364 SSR655363:SSR655364 TCN655363:TCN655364 TMJ655363:TMJ655364 TWF655363:TWF655364 UGB655363:UGB655364 UPX655363:UPX655364 UZT655363:UZT655364 VJP655363:VJP655364 VTL655363:VTL655364 WDH655363:WDH655364 WND655363:WND655364 WWZ655363:WWZ655364 AN3:AN4 KJ3:KJ4 UF3:UF4 AEB3:AEB4 ANX3:ANX4 AXT3:AXT4 BHP3:BHP4 BRL3:BRL4 CBH3:CBH4 CLD3:CLD4 CUZ3:CUZ4 DEV3:DEV4 DOR3:DOR4 DYN3:DYN4 EIJ3:EIJ4 ESF3:ESF4 FCB3:FCB4 FLX3:FLX4 FVT3:FVT4 GFP3:GFP4 GPL3:GPL4 GZH3:GZH4 HJD3:HJD4 HSZ3:HSZ4 ICV3:ICV4 IMR3:IMR4 IWN3:IWN4 JGJ3:JGJ4 JQF3:JQF4 KAB3:KAB4 KJX3:KJX4 KTT3:KTT4 LDP3:LDP4 LNL3:LNL4 LXH3:LXH4 MHD3:MHD4 MQZ3:MQZ4 NAV3:NAV4 NKR3:NKR4 NUN3:NUN4 OEJ3:OEJ4 OOF3:OOF4 OYB3:OYB4 PHX3:PHX4 PRT3:PRT4 QBP3:QBP4 QLL3:QLL4 QVH3:QVH4 RFD3:RFD4 ROZ3:ROZ4 RYV3:RYV4 SIR3:SIR4 SSN3:SSN4 TCJ3:TCJ4 TMF3:TMF4 TWB3:TWB4 UFX3:UFX4 UPT3:UPT4 UZP3:UZP4 VJL3:VJL4 VTH3:VTH4 WDD3:WDD4 WMZ3:WMZ4 WWV3:WWV4 AJ3:AJ4 KF3:KF4 UB3:UB4 ADX3:ADX4 ANT3:ANT4 AXP3:AXP4 BHL3:BHL4 BRH3:BRH4 CBD3:CBD4 CKZ3:CKZ4 CUV3:CUV4 DER3:DER4 DON3:DON4 DYJ3:DYJ4 EIF3:EIF4 ESB3:ESB4 FBX3:FBX4 FLT3:FLT4 FVP3:FVP4 GFL3:GFL4 GPH3:GPH4 GZD3:GZD4 HIZ3:HIZ4 HSV3:HSV4 ICR3:ICR4 IMN3:IMN4 IWJ3:IWJ4 JGF3:JGF4 JQB3:JQB4 JZX3:JZX4 KJT3:KJT4 KTP3:KTP4 LDL3:LDL4 LNH3:LNH4 LXD3:LXD4 MGZ3:MGZ4 MQV3:MQV4 NAR3:NAR4 NKN3:NKN4 NUJ3:NUJ4 OEF3:OEF4 OOB3:OOB4 OXX3:OXX4 PHT3:PHT4 PRP3:PRP4 QBL3:QBL4 QLH3:QLH4 QVD3:QVD4 REZ3:REZ4 ROV3:ROV4 RYR3:RYR4 SIN3:SIN4 SSJ3:SSJ4 TCF3:TCF4 TMB3:TMB4 TVX3:TVX4 UFT3:UFT4 UPP3:UPP4 UZL3:UZL4 VJH3:VJH4 VTD3:VTD4 WCZ3:WCZ4 WMV3:WMV4 WWR3:WWR4 AB3:AB4 JX3:JX4 TT3:TT4 ADP3:ADP4 ANL3:ANL4 AXH3:AXH4 BHD3:BHD4 BQZ3:BQZ4 CAV3:CAV4 CKR3:CKR4 CUN3:CUN4 DEJ3:DEJ4 DOF3:DOF4 DYB3:DYB4 EHX3:EHX4 ERT3:ERT4 FBP3:FBP4 FLL3:FLL4 FVH3:FVH4 GFD3:GFD4 GOZ3:GOZ4 GYV3:GYV4 HIR3:HIR4 HSN3:HSN4 ICJ3:ICJ4 IMF3:IMF4 IWB3:IWB4 JFX3:JFX4 JPT3:JPT4 JZP3:JZP4 KJL3:KJL4 KTH3:KTH4 LDD3:LDD4 LMZ3:LMZ4 LWV3:LWV4 MGR3:MGR4 MQN3:MQN4 NAJ3:NAJ4 NKF3:NKF4 NUB3:NUB4 ODX3:ODX4 ONT3:ONT4 OXP3:OXP4 PHL3:PHL4 PRH3:PRH4 QBD3:QBD4 QKZ3:QKZ4 QUV3:QUV4 RER3:RER4 RON3:RON4 RYJ3:RYJ4 SIF3:SIF4 SSB3:SSB4 TBX3:TBX4 TLT3:TLT4 TVP3:TVP4 UFL3:UFL4 UPH3:UPH4 UZD3:UZD4 VIZ3:VIZ4 VSV3:VSV4 WCR3:WCR4 WMN3:WMN4 WWJ3:WWJ4 AF3:AF4 KB3:KB4 TX3:TX4 ADT3:ADT4 ANP3:ANP4 AXL3:AXL4 BHH3:BHH4 BRD3:BRD4 CAZ3:CAZ4 CKV3:CKV4 CUR3:CUR4 DEN3:DEN4 DOJ3:DOJ4 DYF3:DYF4 EIB3:EIB4 ERX3:ERX4 FBT3:FBT4 FLP3:FLP4 FVL3:FVL4 GFH3:GFH4 GPD3:GPD4 GYZ3:GYZ4 HIV3:HIV4 HSR3:HSR4 ICN3:ICN4 IMJ3:IMJ4 IWF3:IWF4 JGB3:JGB4 JPX3:JPX4 JZT3:JZT4 KJP3:KJP4 KTL3:KTL4 LDH3:LDH4 LND3:LND4 LWZ3:LWZ4 MGV3:MGV4 MQR3:MQR4 NAN3:NAN4 NKJ3:NKJ4 NUF3:NUF4 OEB3:OEB4 ONX3:ONX4 OXT3:OXT4 PHP3:PHP4 PRL3:PRL4 QBH3:QBH4 QLD3:QLD4 QUZ3:QUZ4 REV3:REV4 ROR3:ROR4 RYN3:RYN4 SIJ3:SIJ4 SSF3:SSF4 TCB3:TCB4 TLX3:TLX4 TVT3:TVT4 UFP3:UFP4 UPL3:UPL4 UZH3:UZH4 VJD3:VJD4 VSZ3:VSZ4 WCV3:WCV4 WMR3:WMR4 WWN3:WWN4 AR3:AR4 KN3:KN4 UJ3:UJ4 AEF3:AEF4 AOB3:AOB4 AXX3:AXX4 BHT3:BHT4 BRP3:BRP4 CBL3:CBL4 CLH3:CLH4 CVD3:CVD4 DEZ3:DEZ4 DOV3:DOV4 DYR3:DYR4 EIN3:EIN4 ESJ3:ESJ4 FCF3:FCF4 FMB3:FMB4 FVX3:FVX4 GFT3:GFT4 GPP3:GPP4 GZL3:GZL4 HJH3:HJH4 HTD3:HTD4 ICZ3:ICZ4 IMV3:IMV4 IWR3:IWR4 JGN3:JGN4 JQJ3:JQJ4 KAF3:KAF4 KKB3:KKB4 KTX3:KTX4 LDT3:LDT4 LNP3:LNP4 LXL3:LXL4 MHH3:MHH4 MRD3:MRD4 NAZ3:NAZ4 NKV3:NKV4 NUR3:NUR4 OEN3:OEN4 OOJ3:OOJ4 OYF3:OYF4 PIB3:PIB4 PRX3:PRX4 QBT3:QBT4 QLP3:QLP4 QVL3:QVL4 RFH3:RFH4 RPD3:RPD4 RYZ3:RYZ4 SIV3:SIV4 SSR3:SSR4 TCN3:TCN4 TMJ3:TMJ4 TWF3:TWF4 UGB3:UGB4 UPX3:UPX4 UZT3:UZT4 VJP3:VJP4 VTL3:VTL4 WDH3:WDH4 WND3:WND4 WWZ3:WWZ4" xr:uid="{00000000-0002-0000-0600-000003000000}">
      <formula1>0</formula1>
    </dataValidation>
    <dataValidation allowBlank="1" showInputMessage="1" showErrorMessage="1" promptTitle="Warehouse Quantity" prompt="Enter the Quantity available for this SKU specific to the Warehouse ID.  _x000a__x000a_The summation of each Warehouse quantity reported in this file must equal the total quantity entered in column D." sqref="AQ720899:AQ720900 KM720899:KM720900 UI720899:UI720900 AEE720899:AEE720900 AOA720899:AOA720900 AXW720899:AXW720900 BHS720899:BHS720900 BRO720899:BRO720900 CBK720899:CBK720900 CLG720899:CLG720900 CVC720899:CVC720900 DEY720899:DEY720900 DOU720899:DOU720900 DYQ720899:DYQ720900 EIM720899:EIM720900 ESI720899:ESI720900 FCE720899:FCE720900 FMA720899:FMA720900 FVW720899:FVW720900 GFS720899:GFS720900 GPO720899:GPO720900 GZK720899:GZK720900 HJG720899:HJG720900 HTC720899:HTC720900 ICY720899:ICY720900 IMU720899:IMU720900 IWQ720899:IWQ720900 JGM720899:JGM720900 JQI720899:JQI720900 KAE720899:KAE720900 KKA720899:KKA720900 KTW720899:KTW720900 LDS720899:LDS720900 LNO720899:LNO720900 LXK720899:LXK720900 MHG720899:MHG720900 MRC720899:MRC720900 NAY720899:NAY720900 NKU720899:NKU720900 NUQ720899:NUQ720900 OEM720899:OEM720900 OOI720899:OOI720900 OYE720899:OYE720900 PIA720899:PIA720900 PRW720899:PRW720900 QBS720899:QBS720900 QLO720899:QLO720900 QVK720899:QVK720900 RFG720899:RFG720900 RPC720899:RPC720900 RYY720899:RYY720900 SIU720899:SIU720900 SSQ720899:SSQ720900 TCM720899:TCM720900 TMI720899:TMI720900 TWE720899:TWE720900 UGA720899:UGA720900 UPW720899:UPW720900 UZS720899:UZS720900 VJO720899:VJO720900 VTK720899:VTK720900 WDG720899:WDG720900 WNC720899:WNC720900 WWY720899:WWY720900 AA65539:AA65540 JW65539:JW65540 TS65539:TS65540 ADO65539:ADO65540 ANK65539:ANK65540 AXG65539:AXG65540 BHC65539:BHC65540 BQY65539:BQY65540 CAU65539:CAU65540 CKQ65539:CKQ65540 CUM65539:CUM65540 DEI65539:DEI65540 DOE65539:DOE65540 DYA65539:DYA65540 EHW65539:EHW65540 ERS65539:ERS65540 FBO65539:FBO65540 FLK65539:FLK65540 FVG65539:FVG65540 GFC65539:GFC65540 GOY65539:GOY65540 GYU65539:GYU65540 HIQ65539:HIQ65540 HSM65539:HSM65540 ICI65539:ICI65540 IME65539:IME65540 IWA65539:IWA65540 JFW65539:JFW65540 JPS65539:JPS65540 JZO65539:JZO65540 KJK65539:KJK65540 KTG65539:KTG65540 LDC65539:LDC65540 LMY65539:LMY65540 LWU65539:LWU65540 MGQ65539:MGQ65540 MQM65539:MQM65540 NAI65539:NAI65540 NKE65539:NKE65540 NUA65539:NUA65540 ODW65539:ODW65540 ONS65539:ONS65540 OXO65539:OXO65540 PHK65539:PHK65540 PRG65539:PRG65540 QBC65539:QBC65540 QKY65539:QKY65540 QUU65539:QUU65540 REQ65539:REQ65540 ROM65539:ROM65540 RYI65539:RYI65540 SIE65539:SIE65540 SSA65539:SSA65540 TBW65539:TBW65540 TLS65539:TLS65540 TVO65539:TVO65540 UFK65539:UFK65540 UPG65539:UPG65540 UZC65539:UZC65540 VIY65539:VIY65540 VSU65539:VSU65540 WCQ65539:WCQ65540 WMM65539:WMM65540 WWI65539:WWI65540 AA131075:AA131076 JW131075:JW131076 TS131075:TS131076 ADO131075:ADO131076 ANK131075:ANK131076 AXG131075:AXG131076 BHC131075:BHC131076 BQY131075:BQY131076 CAU131075:CAU131076 CKQ131075:CKQ131076 CUM131075:CUM131076 DEI131075:DEI131076 DOE131075:DOE131076 DYA131075:DYA131076 EHW131075:EHW131076 ERS131075:ERS131076 FBO131075:FBO131076 FLK131075:FLK131076 FVG131075:FVG131076 GFC131075:GFC131076 GOY131075:GOY131076 GYU131075:GYU131076 HIQ131075:HIQ131076 HSM131075:HSM131076 ICI131075:ICI131076 IME131075:IME131076 IWA131075:IWA131076 JFW131075:JFW131076 JPS131075:JPS131076 JZO131075:JZO131076 KJK131075:KJK131076 KTG131075:KTG131076 LDC131075:LDC131076 LMY131075:LMY131076 LWU131075:LWU131076 MGQ131075:MGQ131076 MQM131075:MQM131076 NAI131075:NAI131076 NKE131075:NKE131076 NUA131075:NUA131076 ODW131075:ODW131076 ONS131075:ONS131076 OXO131075:OXO131076 PHK131075:PHK131076 PRG131075:PRG131076 QBC131075:QBC131076 QKY131075:QKY131076 QUU131075:QUU131076 REQ131075:REQ131076 ROM131075:ROM131076 RYI131075:RYI131076 SIE131075:SIE131076 SSA131075:SSA131076 TBW131075:TBW131076 TLS131075:TLS131076 TVO131075:TVO131076 UFK131075:UFK131076 UPG131075:UPG131076 UZC131075:UZC131076 VIY131075:VIY131076 VSU131075:VSU131076 WCQ131075:WCQ131076 WMM131075:WMM131076 WWI131075:WWI131076 AA196611:AA196612 JW196611:JW196612 TS196611:TS196612 ADO196611:ADO196612 ANK196611:ANK196612 AXG196611:AXG196612 BHC196611:BHC196612 BQY196611:BQY196612 CAU196611:CAU196612 CKQ196611:CKQ196612 CUM196611:CUM196612 DEI196611:DEI196612 DOE196611:DOE196612 DYA196611:DYA196612 EHW196611:EHW196612 ERS196611:ERS196612 FBO196611:FBO196612 FLK196611:FLK196612 FVG196611:FVG196612 GFC196611:GFC196612 GOY196611:GOY196612 GYU196611:GYU196612 HIQ196611:HIQ196612 HSM196611:HSM196612 ICI196611:ICI196612 IME196611:IME196612 IWA196611:IWA196612 JFW196611:JFW196612 JPS196611:JPS196612 JZO196611:JZO196612 KJK196611:KJK196612 KTG196611:KTG196612 LDC196611:LDC196612 LMY196611:LMY196612 LWU196611:LWU196612 MGQ196611:MGQ196612 MQM196611:MQM196612 NAI196611:NAI196612 NKE196611:NKE196612 NUA196611:NUA196612 ODW196611:ODW196612 ONS196611:ONS196612 OXO196611:OXO196612 PHK196611:PHK196612 PRG196611:PRG196612 QBC196611:QBC196612 QKY196611:QKY196612 QUU196611:QUU196612 REQ196611:REQ196612 ROM196611:ROM196612 RYI196611:RYI196612 SIE196611:SIE196612 SSA196611:SSA196612 TBW196611:TBW196612 TLS196611:TLS196612 TVO196611:TVO196612 UFK196611:UFK196612 UPG196611:UPG196612 UZC196611:UZC196612 VIY196611:VIY196612 VSU196611:VSU196612 WCQ196611:WCQ196612 WMM196611:WMM196612 WWI196611:WWI196612 AA262147:AA262148 JW262147:JW262148 TS262147:TS262148 ADO262147:ADO262148 ANK262147:ANK262148 AXG262147:AXG262148 BHC262147:BHC262148 BQY262147:BQY262148 CAU262147:CAU262148 CKQ262147:CKQ262148 CUM262147:CUM262148 DEI262147:DEI262148 DOE262147:DOE262148 DYA262147:DYA262148 EHW262147:EHW262148 ERS262147:ERS262148 FBO262147:FBO262148 FLK262147:FLK262148 FVG262147:FVG262148 GFC262147:GFC262148 GOY262147:GOY262148 GYU262147:GYU262148 HIQ262147:HIQ262148 HSM262147:HSM262148 ICI262147:ICI262148 IME262147:IME262148 IWA262147:IWA262148 JFW262147:JFW262148 JPS262147:JPS262148 JZO262147:JZO262148 KJK262147:KJK262148 KTG262147:KTG262148 LDC262147:LDC262148 LMY262147:LMY262148 LWU262147:LWU262148 MGQ262147:MGQ262148 MQM262147:MQM262148 NAI262147:NAI262148 NKE262147:NKE262148 NUA262147:NUA262148 ODW262147:ODW262148 ONS262147:ONS262148 OXO262147:OXO262148 PHK262147:PHK262148 PRG262147:PRG262148 QBC262147:QBC262148 QKY262147:QKY262148 QUU262147:QUU262148 REQ262147:REQ262148 ROM262147:ROM262148 RYI262147:RYI262148 SIE262147:SIE262148 SSA262147:SSA262148 TBW262147:TBW262148 TLS262147:TLS262148 TVO262147:TVO262148 UFK262147:UFK262148 UPG262147:UPG262148 UZC262147:UZC262148 VIY262147:VIY262148 VSU262147:VSU262148 WCQ262147:WCQ262148 WMM262147:WMM262148 WWI262147:WWI262148 AA327683:AA327684 JW327683:JW327684 TS327683:TS327684 ADO327683:ADO327684 ANK327683:ANK327684 AXG327683:AXG327684 BHC327683:BHC327684 BQY327683:BQY327684 CAU327683:CAU327684 CKQ327683:CKQ327684 CUM327683:CUM327684 DEI327683:DEI327684 DOE327683:DOE327684 DYA327683:DYA327684 EHW327683:EHW327684 ERS327683:ERS327684 FBO327683:FBO327684 FLK327683:FLK327684 FVG327683:FVG327684 GFC327683:GFC327684 GOY327683:GOY327684 GYU327683:GYU327684 HIQ327683:HIQ327684 HSM327683:HSM327684 ICI327683:ICI327684 IME327683:IME327684 IWA327683:IWA327684 JFW327683:JFW327684 JPS327683:JPS327684 JZO327683:JZO327684 KJK327683:KJK327684 KTG327683:KTG327684 LDC327683:LDC327684 LMY327683:LMY327684 LWU327683:LWU327684 MGQ327683:MGQ327684 MQM327683:MQM327684 NAI327683:NAI327684 NKE327683:NKE327684 NUA327683:NUA327684 ODW327683:ODW327684 ONS327683:ONS327684 OXO327683:OXO327684 PHK327683:PHK327684 PRG327683:PRG327684 QBC327683:QBC327684 QKY327683:QKY327684 QUU327683:QUU327684 REQ327683:REQ327684 ROM327683:ROM327684 RYI327683:RYI327684 SIE327683:SIE327684 SSA327683:SSA327684 TBW327683:TBW327684 TLS327683:TLS327684 TVO327683:TVO327684 UFK327683:UFK327684 UPG327683:UPG327684 UZC327683:UZC327684 VIY327683:VIY327684 VSU327683:VSU327684 WCQ327683:WCQ327684 WMM327683:WMM327684 WWI327683:WWI327684 AA393219:AA393220 JW393219:JW393220 TS393219:TS393220 ADO393219:ADO393220 ANK393219:ANK393220 AXG393219:AXG393220 BHC393219:BHC393220 BQY393219:BQY393220 CAU393219:CAU393220 CKQ393219:CKQ393220 CUM393219:CUM393220 DEI393219:DEI393220 DOE393219:DOE393220 DYA393219:DYA393220 EHW393219:EHW393220 ERS393219:ERS393220 FBO393219:FBO393220 FLK393219:FLK393220 FVG393219:FVG393220 GFC393219:GFC393220 GOY393219:GOY393220 GYU393219:GYU393220 HIQ393219:HIQ393220 HSM393219:HSM393220 ICI393219:ICI393220 IME393219:IME393220 IWA393219:IWA393220 JFW393219:JFW393220 JPS393219:JPS393220 JZO393219:JZO393220 KJK393219:KJK393220 KTG393219:KTG393220 LDC393219:LDC393220 LMY393219:LMY393220 LWU393219:LWU393220 MGQ393219:MGQ393220 MQM393219:MQM393220 NAI393219:NAI393220 NKE393219:NKE393220 NUA393219:NUA393220 ODW393219:ODW393220 ONS393219:ONS393220 OXO393219:OXO393220 PHK393219:PHK393220 PRG393219:PRG393220 QBC393219:QBC393220 QKY393219:QKY393220 QUU393219:QUU393220 REQ393219:REQ393220 ROM393219:ROM393220 RYI393219:RYI393220 SIE393219:SIE393220 SSA393219:SSA393220 TBW393219:TBW393220 TLS393219:TLS393220 TVO393219:TVO393220 UFK393219:UFK393220 UPG393219:UPG393220 UZC393219:UZC393220 VIY393219:VIY393220 VSU393219:VSU393220 WCQ393219:WCQ393220 WMM393219:WMM393220 WWI393219:WWI393220 AA458755:AA458756 JW458755:JW458756 TS458755:TS458756 ADO458755:ADO458756 ANK458755:ANK458756 AXG458755:AXG458756 BHC458755:BHC458756 BQY458755:BQY458756 CAU458755:CAU458756 CKQ458755:CKQ458756 CUM458755:CUM458756 DEI458755:DEI458756 DOE458755:DOE458756 DYA458755:DYA458756 EHW458755:EHW458756 ERS458755:ERS458756 FBO458755:FBO458756 FLK458755:FLK458756 FVG458755:FVG458756 GFC458755:GFC458756 GOY458755:GOY458756 GYU458755:GYU458756 HIQ458755:HIQ458756 HSM458755:HSM458756 ICI458755:ICI458756 IME458755:IME458756 IWA458755:IWA458756 JFW458755:JFW458756 JPS458755:JPS458756 JZO458755:JZO458756 KJK458755:KJK458756 KTG458755:KTG458756 LDC458755:LDC458756 LMY458755:LMY458756 LWU458755:LWU458756 MGQ458755:MGQ458756 MQM458755:MQM458756 NAI458755:NAI458756 NKE458755:NKE458756 NUA458755:NUA458756 ODW458755:ODW458756 ONS458755:ONS458756 OXO458755:OXO458756 PHK458755:PHK458756 PRG458755:PRG458756 QBC458755:QBC458756 QKY458755:QKY458756 QUU458755:QUU458756 REQ458755:REQ458756 ROM458755:ROM458756 RYI458755:RYI458756 SIE458755:SIE458756 SSA458755:SSA458756 TBW458755:TBW458756 TLS458755:TLS458756 TVO458755:TVO458756 UFK458755:UFK458756 UPG458755:UPG458756 UZC458755:UZC458756 VIY458755:VIY458756 VSU458755:VSU458756 WCQ458755:WCQ458756 WMM458755:WMM458756 WWI458755:WWI458756 AA524291:AA524292 JW524291:JW524292 TS524291:TS524292 ADO524291:ADO524292 ANK524291:ANK524292 AXG524291:AXG524292 BHC524291:BHC524292 BQY524291:BQY524292 CAU524291:CAU524292 CKQ524291:CKQ524292 CUM524291:CUM524292 DEI524291:DEI524292 DOE524291:DOE524292 DYA524291:DYA524292 EHW524291:EHW524292 ERS524291:ERS524292 FBO524291:FBO524292 FLK524291:FLK524292 FVG524291:FVG524292 GFC524291:GFC524292 GOY524291:GOY524292 GYU524291:GYU524292 HIQ524291:HIQ524292 HSM524291:HSM524292 ICI524291:ICI524292 IME524291:IME524292 IWA524291:IWA524292 JFW524291:JFW524292 JPS524291:JPS524292 JZO524291:JZO524292 KJK524291:KJK524292 KTG524291:KTG524292 LDC524291:LDC524292 LMY524291:LMY524292 LWU524291:LWU524292 MGQ524291:MGQ524292 MQM524291:MQM524292 NAI524291:NAI524292 NKE524291:NKE524292 NUA524291:NUA524292 ODW524291:ODW524292 ONS524291:ONS524292 OXO524291:OXO524292 PHK524291:PHK524292 PRG524291:PRG524292 QBC524291:QBC524292 QKY524291:QKY524292 QUU524291:QUU524292 REQ524291:REQ524292 ROM524291:ROM524292 RYI524291:RYI524292 SIE524291:SIE524292 SSA524291:SSA524292 TBW524291:TBW524292 TLS524291:TLS524292 TVO524291:TVO524292 UFK524291:UFK524292 UPG524291:UPG524292 UZC524291:UZC524292 VIY524291:VIY524292 VSU524291:VSU524292 WCQ524291:WCQ524292 WMM524291:WMM524292 WWI524291:WWI524292 AA589827:AA589828 JW589827:JW589828 TS589827:TS589828 ADO589827:ADO589828 ANK589827:ANK589828 AXG589827:AXG589828 BHC589827:BHC589828 BQY589827:BQY589828 CAU589827:CAU589828 CKQ589827:CKQ589828 CUM589827:CUM589828 DEI589827:DEI589828 DOE589827:DOE589828 DYA589827:DYA589828 EHW589827:EHW589828 ERS589827:ERS589828 FBO589827:FBO589828 FLK589827:FLK589828 FVG589827:FVG589828 GFC589827:GFC589828 GOY589827:GOY589828 GYU589827:GYU589828 HIQ589827:HIQ589828 HSM589827:HSM589828 ICI589827:ICI589828 IME589827:IME589828 IWA589827:IWA589828 JFW589827:JFW589828 JPS589827:JPS589828 JZO589827:JZO589828 KJK589827:KJK589828 KTG589827:KTG589828 LDC589827:LDC589828 LMY589827:LMY589828 LWU589827:LWU589828 MGQ589827:MGQ589828 MQM589827:MQM589828 NAI589827:NAI589828 NKE589827:NKE589828 NUA589827:NUA589828 ODW589827:ODW589828 ONS589827:ONS589828 OXO589827:OXO589828 PHK589827:PHK589828 PRG589827:PRG589828 QBC589827:QBC589828 QKY589827:QKY589828 QUU589827:QUU589828 REQ589827:REQ589828 ROM589827:ROM589828 RYI589827:RYI589828 SIE589827:SIE589828 SSA589827:SSA589828 TBW589827:TBW589828 TLS589827:TLS589828 TVO589827:TVO589828 UFK589827:UFK589828 UPG589827:UPG589828 UZC589827:UZC589828 VIY589827:VIY589828 VSU589827:VSU589828 WCQ589827:WCQ589828 WMM589827:WMM589828 WWI589827:WWI589828 AA655363:AA655364 JW655363:JW655364 TS655363:TS655364 ADO655363:ADO655364 ANK655363:ANK655364 AXG655363:AXG655364 BHC655363:BHC655364 BQY655363:BQY655364 CAU655363:CAU655364 CKQ655363:CKQ655364 CUM655363:CUM655364 DEI655363:DEI655364 DOE655363:DOE655364 DYA655363:DYA655364 EHW655363:EHW655364 ERS655363:ERS655364 FBO655363:FBO655364 FLK655363:FLK655364 FVG655363:FVG655364 GFC655363:GFC655364 GOY655363:GOY655364 GYU655363:GYU655364 HIQ655363:HIQ655364 HSM655363:HSM655364 ICI655363:ICI655364 IME655363:IME655364 IWA655363:IWA655364 JFW655363:JFW655364 JPS655363:JPS655364 JZO655363:JZO655364 KJK655363:KJK655364 KTG655363:KTG655364 LDC655363:LDC655364 LMY655363:LMY655364 LWU655363:LWU655364 MGQ655363:MGQ655364 MQM655363:MQM655364 NAI655363:NAI655364 NKE655363:NKE655364 NUA655363:NUA655364 ODW655363:ODW655364 ONS655363:ONS655364 OXO655363:OXO655364 PHK655363:PHK655364 PRG655363:PRG655364 QBC655363:QBC655364 QKY655363:QKY655364 QUU655363:QUU655364 REQ655363:REQ655364 ROM655363:ROM655364 RYI655363:RYI655364 SIE655363:SIE655364 SSA655363:SSA655364 TBW655363:TBW655364 TLS655363:TLS655364 TVO655363:TVO655364 UFK655363:UFK655364 UPG655363:UPG655364 UZC655363:UZC655364 VIY655363:VIY655364 VSU655363:VSU655364 WCQ655363:WCQ655364 WMM655363:WMM655364 WWI655363:WWI655364 AA720899:AA720900 JW720899:JW720900 TS720899:TS720900 ADO720899:ADO720900 ANK720899:ANK720900 AXG720899:AXG720900 BHC720899:BHC720900 BQY720899:BQY720900 CAU720899:CAU720900 CKQ720899:CKQ720900 CUM720899:CUM720900 DEI720899:DEI720900 DOE720899:DOE720900 DYA720899:DYA720900 EHW720899:EHW720900 ERS720899:ERS720900 FBO720899:FBO720900 FLK720899:FLK720900 FVG720899:FVG720900 GFC720899:GFC720900 GOY720899:GOY720900 GYU720899:GYU720900 HIQ720899:HIQ720900 HSM720899:HSM720900 ICI720899:ICI720900 IME720899:IME720900 IWA720899:IWA720900 JFW720899:JFW720900 JPS720899:JPS720900 JZO720899:JZO720900 KJK720899:KJK720900 KTG720899:KTG720900 LDC720899:LDC720900 LMY720899:LMY720900 LWU720899:LWU720900 MGQ720899:MGQ720900 MQM720899:MQM720900 NAI720899:NAI720900 NKE720899:NKE720900 NUA720899:NUA720900 ODW720899:ODW720900 ONS720899:ONS720900 OXO720899:OXO720900 PHK720899:PHK720900 PRG720899:PRG720900 QBC720899:QBC720900 QKY720899:QKY720900 QUU720899:QUU720900 REQ720899:REQ720900 ROM720899:ROM720900 RYI720899:RYI720900 SIE720899:SIE720900 SSA720899:SSA720900 TBW720899:TBW720900 TLS720899:TLS720900 TVO720899:TVO720900 UFK720899:UFK720900 UPG720899:UPG720900 UZC720899:UZC720900 VIY720899:VIY720900 VSU720899:VSU720900 WCQ720899:WCQ720900 WMM720899:WMM720900 WWI720899:WWI720900 AA786435:AA786436 JW786435:JW786436 TS786435:TS786436 ADO786435:ADO786436 ANK786435:ANK786436 AXG786435:AXG786436 BHC786435:BHC786436 BQY786435:BQY786436 CAU786435:CAU786436 CKQ786435:CKQ786436 CUM786435:CUM786436 DEI786435:DEI786436 DOE786435:DOE786436 DYA786435:DYA786436 EHW786435:EHW786436 ERS786435:ERS786436 FBO786435:FBO786436 FLK786435:FLK786436 FVG786435:FVG786436 GFC786435:GFC786436 GOY786435:GOY786436 GYU786435:GYU786436 HIQ786435:HIQ786436 HSM786435:HSM786436 ICI786435:ICI786436 IME786435:IME786436 IWA786435:IWA786436 JFW786435:JFW786436 JPS786435:JPS786436 JZO786435:JZO786436 KJK786435:KJK786436 KTG786435:KTG786436 LDC786435:LDC786436 LMY786435:LMY786436 LWU786435:LWU786436 MGQ786435:MGQ786436 MQM786435:MQM786436 NAI786435:NAI786436 NKE786435:NKE786436 NUA786435:NUA786436 ODW786435:ODW786436 ONS786435:ONS786436 OXO786435:OXO786436 PHK786435:PHK786436 PRG786435:PRG786436 QBC786435:QBC786436 QKY786435:QKY786436 QUU786435:QUU786436 REQ786435:REQ786436 ROM786435:ROM786436 RYI786435:RYI786436 SIE786435:SIE786436 SSA786435:SSA786436 TBW786435:TBW786436 TLS786435:TLS786436 TVO786435:TVO786436 UFK786435:UFK786436 UPG786435:UPG786436 UZC786435:UZC786436 VIY786435:VIY786436 VSU786435:VSU786436 WCQ786435:WCQ786436 WMM786435:WMM786436 WWI786435:WWI786436 AA851971:AA851972 JW851971:JW851972 TS851971:TS851972 ADO851971:ADO851972 ANK851971:ANK851972 AXG851971:AXG851972 BHC851971:BHC851972 BQY851971:BQY851972 CAU851971:CAU851972 CKQ851971:CKQ851972 CUM851971:CUM851972 DEI851971:DEI851972 DOE851971:DOE851972 DYA851971:DYA851972 EHW851971:EHW851972 ERS851971:ERS851972 FBO851971:FBO851972 FLK851971:FLK851972 FVG851971:FVG851972 GFC851971:GFC851972 GOY851971:GOY851972 GYU851971:GYU851972 HIQ851971:HIQ851972 HSM851971:HSM851972 ICI851971:ICI851972 IME851971:IME851972 IWA851971:IWA851972 JFW851971:JFW851972 JPS851971:JPS851972 JZO851971:JZO851972 KJK851971:KJK851972 KTG851971:KTG851972 LDC851971:LDC851972 LMY851971:LMY851972 LWU851971:LWU851972 MGQ851971:MGQ851972 MQM851971:MQM851972 NAI851971:NAI851972 NKE851971:NKE851972 NUA851971:NUA851972 ODW851971:ODW851972 ONS851971:ONS851972 OXO851971:OXO851972 PHK851971:PHK851972 PRG851971:PRG851972 QBC851971:QBC851972 QKY851971:QKY851972 QUU851971:QUU851972 REQ851971:REQ851972 ROM851971:ROM851972 RYI851971:RYI851972 SIE851971:SIE851972 SSA851971:SSA851972 TBW851971:TBW851972 TLS851971:TLS851972 TVO851971:TVO851972 UFK851971:UFK851972 UPG851971:UPG851972 UZC851971:UZC851972 VIY851971:VIY851972 VSU851971:VSU851972 WCQ851971:WCQ851972 WMM851971:WMM851972 WWI851971:WWI851972 AA917507:AA917508 JW917507:JW917508 TS917507:TS917508 ADO917507:ADO917508 ANK917507:ANK917508 AXG917507:AXG917508 BHC917507:BHC917508 BQY917507:BQY917508 CAU917507:CAU917508 CKQ917507:CKQ917508 CUM917507:CUM917508 DEI917507:DEI917508 DOE917507:DOE917508 DYA917507:DYA917508 EHW917507:EHW917508 ERS917507:ERS917508 FBO917507:FBO917508 FLK917507:FLK917508 FVG917507:FVG917508 GFC917507:GFC917508 GOY917507:GOY917508 GYU917507:GYU917508 HIQ917507:HIQ917508 HSM917507:HSM917508 ICI917507:ICI917508 IME917507:IME917508 IWA917507:IWA917508 JFW917507:JFW917508 JPS917507:JPS917508 JZO917507:JZO917508 KJK917507:KJK917508 KTG917507:KTG917508 LDC917507:LDC917508 LMY917507:LMY917508 LWU917507:LWU917508 MGQ917507:MGQ917508 MQM917507:MQM917508 NAI917507:NAI917508 NKE917507:NKE917508 NUA917507:NUA917508 ODW917507:ODW917508 ONS917507:ONS917508 OXO917507:OXO917508 PHK917507:PHK917508 PRG917507:PRG917508 QBC917507:QBC917508 QKY917507:QKY917508 QUU917507:QUU917508 REQ917507:REQ917508 ROM917507:ROM917508 RYI917507:RYI917508 SIE917507:SIE917508 SSA917507:SSA917508 TBW917507:TBW917508 TLS917507:TLS917508 TVO917507:TVO917508 UFK917507:UFK917508 UPG917507:UPG917508 UZC917507:UZC917508 VIY917507:VIY917508 VSU917507:VSU917508 WCQ917507:WCQ917508 WMM917507:WMM917508 WWI917507:WWI917508 AA983043:AA983044 JW983043:JW983044 TS983043:TS983044 ADO983043:ADO983044 ANK983043:ANK983044 AXG983043:AXG983044 BHC983043:BHC983044 BQY983043:BQY983044 CAU983043:CAU983044 CKQ983043:CKQ983044 CUM983043:CUM983044 DEI983043:DEI983044 DOE983043:DOE983044 DYA983043:DYA983044 EHW983043:EHW983044 ERS983043:ERS983044 FBO983043:FBO983044 FLK983043:FLK983044 FVG983043:FVG983044 GFC983043:GFC983044 GOY983043:GOY983044 GYU983043:GYU983044 HIQ983043:HIQ983044 HSM983043:HSM983044 ICI983043:ICI983044 IME983043:IME983044 IWA983043:IWA983044 JFW983043:JFW983044 JPS983043:JPS983044 JZO983043:JZO983044 KJK983043:KJK983044 KTG983043:KTG983044 LDC983043:LDC983044 LMY983043:LMY983044 LWU983043:LWU983044 MGQ983043:MGQ983044 MQM983043:MQM983044 NAI983043:NAI983044 NKE983043:NKE983044 NUA983043:NUA983044 ODW983043:ODW983044 ONS983043:ONS983044 OXO983043:OXO983044 PHK983043:PHK983044 PRG983043:PRG983044 QBC983043:QBC983044 QKY983043:QKY983044 QUU983043:QUU983044 REQ983043:REQ983044 ROM983043:ROM983044 RYI983043:RYI983044 SIE983043:SIE983044 SSA983043:SSA983044 TBW983043:TBW983044 TLS983043:TLS983044 TVO983043:TVO983044 UFK983043:UFK983044 UPG983043:UPG983044 UZC983043:UZC983044 VIY983043:VIY983044 VSU983043:VSU983044 WCQ983043:WCQ983044 WMM983043:WMM983044 WWI983043:WWI983044 AQ786435:AQ786436 KM786435:KM786436 UI786435:UI786436 AEE786435:AEE786436 AOA786435:AOA786436 AXW786435:AXW786436 BHS786435:BHS786436 BRO786435:BRO786436 CBK786435:CBK786436 CLG786435:CLG786436 CVC786435:CVC786436 DEY786435:DEY786436 DOU786435:DOU786436 DYQ786435:DYQ786436 EIM786435:EIM786436 ESI786435:ESI786436 FCE786435:FCE786436 FMA786435:FMA786436 FVW786435:FVW786436 GFS786435:GFS786436 GPO786435:GPO786436 GZK786435:GZK786436 HJG786435:HJG786436 HTC786435:HTC786436 ICY786435:ICY786436 IMU786435:IMU786436 IWQ786435:IWQ786436 JGM786435:JGM786436 JQI786435:JQI786436 KAE786435:KAE786436 KKA786435:KKA786436 KTW786435:KTW786436 LDS786435:LDS786436 LNO786435:LNO786436 LXK786435:LXK786436 MHG786435:MHG786436 MRC786435:MRC786436 NAY786435:NAY786436 NKU786435:NKU786436 NUQ786435:NUQ786436 OEM786435:OEM786436 OOI786435:OOI786436 OYE786435:OYE786436 PIA786435:PIA786436 PRW786435:PRW786436 QBS786435:QBS786436 QLO786435:QLO786436 QVK786435:QVK786436 RFG786435:RFG786436 RPC786435:RPC786436 RYY786435:RYY786436 SIU786435:SIU786436 SSQ786435:SSQ786436 TCM786435:TCM786436 TMI786435:TMI786436 TWE786435:TWE786436 UGA786435:UGA786436 UPW786435:UPW786436 UZS786435:UZS786436 VJO786435:VJO786436 VTK786435:VTK786436 WDG786435:WDG786436 WNC786435:WNC786436 WWY786435:WWY786436 AE65539:AE65540 KA65539:KA65540 TW65539:TW65540 ADS65539:ADS65540 ANO65539:ANO65540 AXK65539:AXK65540 BHG65539:BHG65540 BRC65539:BRC65540 CAY65539:CAY65540 CKU65539:CKU65540 CUQ65539:CUQ65540 DEM65539:DEM65540 DOI65539:DOI65540 DYE65539:DYE65540 EIA65539:EIA65540 ERW65539:ERW65540 FBS65539:FBS65540 FLO65539:FLO65540 FVK65539:FVK65540 GFG65539:GFG65540 GPC65539:GPC65540 GYY65539:GYY65540 HIU65539:HIU65540 HSQ65539:HSQ65540 ICM65539:ICM65540 IMI65539:IMI65540 IWE65539:IWE65540 JGA65539:JGA65540 JPW65539:JPW65540 JZS65539:JZS65540 KJO65539:KJO65540 KTK65539:KTK65540 LDG65539:LDG65540 LNC65539:LNC65540 LWY65539:LWY65540 MGU65539:MGU65540 MQQ65539:MQQ65540 NAM65539:NAM65540 NKI65539:NKI65540 NUE65539:NUE65540 OEA65539:OEA65540 ONW65539:ONW65540 OXS65539:OXS65540 PHO65539:PHO65540 PRK65539:PRK65540 QBG65539:QBG65540 QLC65539:QLC65540 QUY65539:QUY65540 REU65539:REU65540 ROQ65539:ROQ65540 RYM65539:RYM65540 SII65539:SII65540 SSE65539:SSE65540 TCA65539:TCA65540 TLW65539:TLW65540 TVS65539:TVS65540 UFO65539:UFO65540 UPK65539:UPK65540 UZG65539:UZG65540 VJC65539:VJC65540 VSY65539:VSY65540 WCU65539:WCU65540 WMQ65539:WMQ65540 WWM65539:WWM65540 AE131075:AE131076 KA131075:KA131076 TW131075:TW131076 ADS131075:ADS131076 ANO131075:ANO131076 AXK131075:AXK131076 BHG131075:BHG131076 BRC131075:BRC131076 CAY131075:CAY131076 CKU131075:CKU131076 CUQ131075:CUQ131076 DEM131075:DEM131076 DOI131075:DOI131076 DYE131075:DYE131076 EIA131075:EIA131076 ERW131075:ERW131076 FBS131075:FBS131076 FLO131075:FLO131076 FVK131075:FVK131076 GFG131075:GFG131076 GPC131075:GPC131076 GYY131075:GYY131076 HIU131075:HIU131076 HSQ131075:HSQ131076 ICM131075:ICM131076 IMI131075:IMI131076 IWE131075:IWE131076 JGA131075:JGA131076 JPW131075:JPW131076 JZS131075:JZS131076 KJO131075:KJO131076 KTK131075:KTK131076 LDG131075:LDG131076 LNC131075:LNC131076 LWY131075:LWY131076 MGU131075:MGU131076 MQQ131075:MQQ131076 NAM131075:NAM131076 NKI131075:NKI131076 NUE131075:NUE131076 OEA131075:OEA131076 ONW131075:ONW131076 OXS131075:OXS131076 PHO131075:PHO131076 PRK131075:PRK131076 QBG131075:QBG131076 QLC131075:QLC131076 QUY131075:QUY131076 REU131075:REU131076 ROQ131075:ROQ131076 RYM131075:RYM131076 SII131075:SII131076 SSE131075:SSE131076 TCA131075:TCA131076 TLW131075:TLW131076 TVS131075:TVS131076 UFO131075:UFO131076 UPK131075:UPK131076 UZG131075:UZG131076 VJC131075:VJC131076 VSY131075:VSY131076 WCU131075:WCU131076 WMQ131075:WMQ131076 WWM131075:WWM131076 AE196611:AE196612 KA196611:KA196612 TW196611:TW196612 ADS196611:ADS196612 ANO196611:ANO196612 AXK196611:AXK196612 BHG196611:BHG196612 BRC196611:BRC196612 CAY196611:CAY196612 CKU196611:CKU196612 CUQ196611:CUQ196612 DEM196611:DEM196612 DOI196611:DOI196612 DYE196611:DYE196612 EIA196611:EIA196612 ERW196611:ERW196612 FBS196611:FBS196612 FLO196611:FLO196612 FVK196611:FVK196612 GFG196611:GFG196612 GPC196611:GPC196612 GYY196611:GYY196612 HIU196611:HIU196612 HSQ196611:HSQ196612 ICM196611:ICM196612 IMI196611:IMI196612 IWE196611:IWE196612 JGA196611:JGA196612 JPW196611:JPW196612 JZS196611:JZS196612 KJO196611:KJO196612 KTK196611:KTK196612 LDG196611:LDG196612 LNC196611:LNC196612 LWY196611:LWY196612 MGU196611:MGU196612 MQQ196611:MQQ196612 NAM196611:NAM196612 NKI196611:NKI196612 NUE196611:NUE196612 OEA196611:OEA196612 ONW196611:ONW196612 OXS196611:OXS196612 PHO196611:PHO196612 PRK196611:PRK196612 QBG196611:QBG196612 QLC196611:QLC196612 QUY196611:QUY196612 REU196611:REU196612 ROQ196611:ROQ196612 RYM196611:RYM196612 SII196611:SII196612 SSE196611:SSE196612 TCA196611:TCA196612 TLW196611:TLW196612 TVS196611:TVS196612 UFO196611:UFO196612 UPK196611:UPK196612 UZG196611:UZG196612 VJC196611:VJC196612 VSY196611:VSY196612 WCU196611:WCU196612 WMQ196611:WMQ196612 WWM196611:WWM196612 AE262147:AE262148 KA262147:KA262148 TW262147:TW262148 ADS262147:ADS262148 ANO262147:ANO262148 AXK262147:AXK262148 BHG262147:BHG262148 BRC262147:BRC262148 CAY262147:CAY262148 CKU262147:CKU262148 CUQ262147:CUQ262148 DEM262147:DEM262148 DOI262147:DOI262148 DYE262147:DYE262148 EIA262147:EIA262148 ERW262147:ERW262148 FBS262147:FBS262148 FLO262147:FLO262148 FVK262147:FVK262148 GFG262147:GFG262148 GPC262147:GPC262148 GYY262147:GYY262148 HIU262147:HIU262148 HSQ262147:HSQ262148 ICM262147:ICM262148 IMI262147:IMI262148 IWE262147:IWE262148 JGA262147:JGA262148 JPW262147:JPW262148 JZS262147:JZS262148 KJO262147:KJO262148 KTK262147:KTK262148 LDG262147:LDG262148 LNC262147:LNC262148 LWY262147:LWY262148 MGU262147:MGU262148 MQQ262147:MQQ262148 NAM262147:NAM262148 NKI262147:NKI262148 NUE262147:NUE262148 OEA262147:OEA262148 ONW262147:ONW262148 OXS262147:OXS262148 PHO262147:PHO262148 PRK262147:PRK262148 QBG262147:QBG262148 QLC262147:QLC262148 QUY262147:QUY262148 REU262147:REU262148 ROQ262147:ROQ262148 RYM262147:RYM262148 SII262147:SII262148 SSE262147:SSE262148 TCA262147:TCA262148 TLW262147:TLW262148 TVS262147:TVS262148 UFO262147:UFO262148 UPK262147:UPK262148 UZG262147:UZG262148 VJC262147:VJC262148 VSY262147:VSY262148 WCU262147:WCU262148 WMQ262147:WMQ262148 WWM262147:WWM262148 AE327683:AE327684 KA327683:KA327684 TW327683:TW327684 ADS327683:ADS327684 ANO327683:ANO327684 AXK327683:AXK327684 BHG327683:BHG327684 BRC327683:BRC327684 CAY327683:CAY327684 CKU327683:CKU327684 CUQ327683:CUQ327684 DEM327683:DEM327684 DOI327683:DOI327684 DYE327683:DYE327684 EIA327683:EIA327684 ERW327683:ERW327684 FBS327683:FBS327684 FLO327683:FLO327684 FVK327683:FVK327684 GFG327683:GFG327684 GPC327683:GPC327684 GYY327683:GYY327684 HIU327683:HIU327684 HSQ327683:HSQ327684 ICM327683:ICM327684 IMI327683:IMI327684 IWE327683:IWE327684 JGA327683:JGA327684 JPW327683:JPW327684 JZS327683:JZS327684 KJO327683:KJO327684 KTK327683:KTK327684 LDG327683:LDG327684 LNC327683:LNC327684 LWY327683:LWY327684 MGU327683:MGU327684 MQQ327683:MQQ327684 NAM327683:NAM327684 NKI327683:NKI327684 NUE327683:NUE327684 OEA327683:OEA327684 ONW327683:ONW327684 OXS327683:OXS327684 PHO327683:PHO327684 PRK327683:PRK327684 QBG327683:QBG327684 QLC327683:QLC327684 QUY327683:QUY327684 REU327683:REU327684 ROQ327683:ROQ327684 RYM327683:RYM327684 SII327683:SII327684 SSE327683:SSE327684 TCA327683:TCA327684 TLW327683:TLW327684 TVS327683:TVS327684 UFO327683:UFO327684 UPK327683:UPK327684 UZG327683:UZG327684 VJC327683:VJC327684 VSY327683:VSY327684 WCU327683:WCU327684 WMQ327683:WMQ327684 WWM327683:WWM327684 AE393219:AE393220 KA393219:KA393220 TW393219:TW393220 ADS393219:ADS393220 ANO393219:ANO393220 AXK393219:AXK393220 BHG393219:BHG393220 BRC393219:BRC393220 CAY393219:CAY393220 CKU393219:CKU393220 CUQ393219:CUQ393220 DEM393219:DEM393220 DOI393219:DOI393220 DYE393219:DYE393220 EIA393219:EIA393220 ERW393219:ERW393220 FBS393219:FBS393220 FLO393219:FLO393220 FVK393219:FVK393220 GFG393219:GFG393220 GPC393219:GPC393220 GYY393219:GYY393220 HIU393219:HIU393220 HSQ393219:HSQ393220 ICM393219:ICM393220 IMI393219:IMI393220 IWE393219:IWE393220 JGA393219:JGA393220 JPW393219:JPW393220 JZS393219:JZS393220 KJO393219:KJO393220 KTK393219:KTK393220 LDG393219:LDG393220 LNC393219:LNC393220 LWY393219:LWY393220 MGU393219:MGU393220 MQQ393219:MQQ393220 NAM393219:NAM393220 NKI393219:NKI393220 NUE393219:NUE393220 OEA393219:OEA393220 ONW393219:ONW393220 OXS393219:OXS393220 PHO393219:PHO393220 PRK393219:PRK393220 QBG393219:QBG393220 QLC393219:QLC393220 QUY393219:QUY393220 REU393219:REU393220 ROQ393219:ROQ393220 RYM393219:RYM393220 SII393219:SII393220 SSE393219:SSE393220 TCA393219:TCA393220 TLW393219:TLW393220 TVS393219:TVS393220 UFO393219:UFO393220 UPK393219:UPK393220 UZG393219:UZG393220 VJC393219:VJC393220 VSY393219:VSY393220 WCU393219:WCU393220 WMQ393219:WMQ393220 WWM393219:WWM393220 AE458755:AE458756 KA458755:KA458756 TW458755:TW458756 ADS458755:ADS458756 ANO458755:ANO458756 AXK458755:AXK458756 BHG458755:BHG458756 BRC458755:BRC458756 CAY458755:CAY458756 CKU458755:CKU458756 CUQ458755:CUQ458756 DEM458755:DEM458756 DOI458755:DOI458756 DYE458755:DYE458756 EIA458755:EIA458756 ERW458755:ERW458756 FBS458755:FBS458756 FLO458755:FLO458756 FVK458755:FVK458756 GFG458755:GFG458756 GPC458755:GPC458756 GYY458755:GYY458756 HIU458755:HIU458756 HSQ458755:HSQ458756 ICM458755:ICM458756 IMI458755:IMI458756 IWE458755:IWE458756 JGA458755:JGA458756 JPW458755:JPW458756 JZS458755:JZS458756 KJO458755:KJO458756 KTK458755:KTK458756 LDG458755:LDG458756 LNC458755:LNC458756 LWY458755:LWY458756 MGU458755:MGU458756 MQQ458755:MQQ458756 NAM458755:NAM458756 NKI458755:NKI458756 NUE458755:NUE458756 OEA458755:OEA458756 ONW458755:ONW458756 OXS458755:OXS458756 PHO458755:PHO458756 PRK458755:PRK458756 QBG458755:QBG458756 QLC458755:QLC458756 QUY458755:QUY458756 REU458755:REU458756 ROQ458755:ROQ458756 RYM458755:RYM458756 SII458755:SII458756 SSE458755:SSE458756 TCA458755:TCA458756 TLW458755:TLW458756 TVS458755:TVS458756 UFO458755:UFO458756 UPK458755:UPK458756 UZG458755:UZG458756 VJC458755:VJC458756 VSY458755:VSY458756 WCU458755:WCU458756 WMQ458755:WMQ458756 WWM458755:WWM458756 AE524291:AE524292 KA524291:KA524292 TW524291:TW524292 ADS524291:ADS524292 ANO524291:ANO524292 AXK524291:AXK524292 BHG524291:BHG524292 BRC524291:BRC524292 CAY524291:CAY524292 CKU524291:CKU524292 CUQ524291:CUQ524292 DEM524291:DEM524292 DOI524291:DOI524292 DYE524291:DYE524292 EIA524291:EIA524292 ERW524291:ERW524292 FBS524291:FBS524292 FLO524291:FLO524292 FVK524291:FVK524292 GFG524291:GFG524292 GPC524291:GPC524292 GYY524291:GYY524292 HIU524291:HIU524292 HSQ524291:HSQ524292 ICM524291:ICM524292 IMI524291:IMI524292 IWE524291:IWE524292 JGA524291:JGA524292 JPW524291:JPW524292 JZS524291:JZS524292 KJO524291:KJO524292 KTK524291:KTK524292 LDG524291:LDG524292 LNC524291:LNC524292 LWY524291:LWY524292 MGU524291:MGU524292 MQQ524291:MQQ524292 NAM524291:NAM524292 NKI524291:NKI524292 NUE524291:NUE524292 OEA524291:OEA524292 ONW524291:ONW524292 OXS524291:OXS524292 PHO524291:PHO524292 PRK524291:PRK524292 QBG524291:QBG524292 QLC524291:QLC524292 QUY524291:QUY524292 REU524291:REU524292 ROQ524291:ROQ524292 RYM524291:RYM524292 SII524291:SII524292 SSE524291:SSE524292 TCA524291:TCA524292 TLW524291:TLW524292 TVS524291:TVS524292 UFO524291:UFO524292 UPK524291:UPK524292 UZG524291:UZG524292 VJC524291:VJC524292 VSY524291:VSY524292 WCU524291:WCU524292 WMQ524291:WMQ524292 WWM524291:WWM524292 AE589827:AE589828 KA589827:KA589828 TW589827:TW589828 ADS589827:ADS589828 ANO589827:ANO589828 AXK589827:AXK589828 BHG589827:BHG589828 BRC589827:BRC589828 CAY589827:CAY589828 CKU589827:CKU589828 CUQ589827:CUQ589828 DEM589827:DEM589828 DOI589827:DOI589828 DYE589827:DYE589828 EIA589827:EIA589828 ERW589827:ERW589828 FBS589827:FBS589828 FLO589827:FLO589828 FVK589827:FVK589828 GFG589827:GFG589828 GPC589827:GPC589828 GYY589827:GYY589828 HIU589827:HIU589828 HSQ589827:HSQ589828 ICM589827:ICM589828 IMI589827:IMI589828 IWE589827:IWE589828 JGA589827:JGA589828 JPW589827:JPW589828 JZS589827:JZS589828 KJO589827:KJO589828 KTK589827:KTK589828 LDG589827:LDG589828 LNC589827:LNC589828 LWY589827:LWY589828 MGU589827:MGU589828 MQQ589827:MQQ589828 NAM589827:NAM589828 NKI589827:NKI589828 NUE589827:NUE589828 OEA589827:OEA589828 ONW589827:ONW589828 OXS589827:OXS589828 PHO589827:PHO589828 PRK589827:PRK589828 QBG589827:QBG589828 QLC589827:QLC589828 QUY589827:QUY589828 REU589827:REU589828 ROQ589827:ROQ589828 RYM589827:RYM589828 SII589827:SII589828 SSE589827:SSE589828 TCA589827:TCA589828 TLW589827:TLW589828 TVS589827:TVS589828 UFO589827:UFO589828 UPK589827:UPK589828 UZG589827:UZG589828 VJC589827:VJC589828 VSY589827:VSY589828 WCU589827:WCU589828 WMQ589827:WMQ589828 WWM589827:WWM589828 AE655363:AE655364 KA655363:KA655364 TW655363:TW655364 ADS655363:ADS655364 ANO655363:ANO655364 AXK655363:AXK655364 BHG655363:BHG655364 BRC655363:BRC655364 CAY655363:CAY655364 CKU655363:CKU655364 CUQ655363:CUQ655364 DEM655363:DEM655364 DOI655363:DOI655364 DYE655363:DYE655364 EIA655363:EIA655364 ERW655363:ERW655364 FBS655363:FBS655364 FLO655363:FLO655364 FVK655363:FVK655364 GFG655363:GFG655364 GPC655363:GPC655364 GYY655363:GYY655364 HIU655363:HIU655364 HSQ655363:HSQ655364 ICM655363:ICM655364 IMI655363:IMI655364 IWE655363:IWE655364 JGA655363:JGA655364 JPW655363:JPW655364 JZS655363:JZS655364 KJO655363:KJO655364 KTK655363:KTK655364 LDG655363:LDG655364 LNC655363:LNC655364 LWY655363:LWY655364 MGU655363:MGU655364 MQQ655363:MQQ655364 NAM655363:NAM655364 NKI655363:NKI655364 NUE655363:NUE655364 OEA655363:OEA655364 ONW655363:ONW655364 OXS655363:OXS655364 PHO655363:PHO655364 PRK655363:PRK655364 QBG655363:QBG655364 QLC655363:QLC655364 QUY655363:QUY655364 REU655363:REU655364 ROQ655363:ROQ655364 RYM655363:RYM655364 SII655363:SII655364 SSE655363:SSE655364 TCA655363:TCA655364 TLW655363:TLW655364 TVS655363:TVS655364 UFO655363:UFO655364 UPK655363:UPK655364 UZG655363:UZG655364 VJC655363:VJC655364 VSY655363:VSY655364 WCU655363:WCU655364 WMQ655363:WMQ655364 WWM655363:WWM655364 AE720899:AE720900 KA720899:KA720900 TW720899:TW720900 ADS720899:ADS720900 ANO720899:ANO720900 AXK720899:AXK720900 BHG720899:BHG720900 BRC720899:BRC720900 CAY720899:CAY720900 CKU720899:CKU720900 CUQ720899:CUQ720900 DEM720899:DEM720900 DOI720899:DOI720900 DYE720899:DYE720900 EIA720899:EIA720900 ERW720899:ERW720900 FBS720899:FBS720900 FLO720899:FLO720900 FVK720899:FVK720900 GFG720899:GFG720900 GPC720899:GPC720900 GYY720899:GYY720900 HIU720899:HIU720900 HSQ720899:HSQ720900 ICM720899:ICM720900 IMI720899:IMI720900 IWE720899:IWE720900 JGA720899:JGA720900 JPW720899:JPW720900 JZS720899:JZS720900 KJO720899:KJO720900 KTK720899:KTK720900 LDG720899:LDG720900 LNC720899:LNC720900 LWY720899:LWY720900 MGU720899:MGU720900 MQQ720899:MQQ720900 NAM720899:NAM720900 NKI720899:NKI720900 NUE720899:NUE720900 OEA720899:OEA720900 ONW720899:ONW720900 OXS720899:OXS720900 PHO720899:PHO720900 PRK720899:PRK720900 QBG720899:QBG720900 QLC720899:QLC720900 QUY720899:QUY720900 REU720899:REU720900 ROQ720899:ROQ720900 RYM720899:RYM720900 SII720899:SII720900 SSE720899:SSE720900 TCA720899:TCA720900 TLW720899:TLW720900 TVS720899:TVS720900 UFO720899:UFO720900 UPK720899:UPK720900 UZG720899:UZG720900 VJC720899:VJC720900 VSY720899:VSY720900 WCU720899:WCU720900 WMQ720899:WMQ720900 WWM720899:WWM720900 AE786435:AE786436 KA786435:KA786436 TW786435:TW786436 ADS786435:ADS786436 ANO786435:ANO786436 AXK786435:AXK786436 BHG786435:BHG786436 BRC786435:BRC786436 CAY786435:CAY786436 CKU786435:CKU786436 CUQ786435:CUQ786436 DEM786435:DEM786436 DOI786435:DOI786436 DYE786435:DYE786436 EIA786435:EIA786436 ERW786435:ERW786436 FBS786435:FBS786436 FLO786435:FLO786436 FVK786435:FVK786436 GFG786435:GFG786436 GPC786435:GPC786436 GYY786435:GYY786436 HIU786435:HIU786436 HSQ786435:HSQ786436 ICM786435:ICM786436 IMI786435:IMI786436 IWE786435:IWE786436 JGA786435:JGA786436 JPW786435:JPW786436 JZS786435:JZS786436 KJO786435:KJO786436 KTK786435:KTK786436 LDG786435:LDG786436 LNC786435:LNC786436 LWY786435:LWY786436 MGU786435:MGU786436 MQQ786435:MQQ786436 NAM786435:NAM786436 NKI786435:NKI786436 NUE786435:NUE786436 OEA786435:OEA786436 ONW786435:ONW786436 OXS786435:OXS786436 PHO786435:PHO786436 PRK786435:PRK786436 QBG786435:QBG786436 QLC786435:QLC786436 QUY786435:QUY786436 REU786435:REU786436 ROQ786435:ROQ786436 RYM786435:RYM786436 SII786435:SII786436 SSE786435:SSE786436 TCA786435:TCA786436 TLW786435:TLW786436 TVS786435:TVS786436 UFO786435:UFO786436 UPK786435:UPK786436 UZG786435:UZG786436 VJC786435:VJC786436 VSY786435:VSY786436 WCU786435:WCU786436 WMQ786435:WMQ786436 WWM786435:WWM786436 AE851971:AE851972 KA851971:KA851972 TW851971:TW851972 ADS851971:ADS851972 ANO851971:ANO851972 AXK851971:AXK851972 BHG851971:BHG851972 BRC851971:BRC851972 CAY851971:CAY851972 CKU851971:CKU851972 CUQ851971:CUQ851972 DEM851971:DEM851972 DOI851971:DOI851972 DYE851971:DYE851972 EIA851971:EIA851972 ERW851971:ERW851972 FBS851971:FBS851972 FLO851971:FLO851972 FVK851971:FVK851972 GFG851971:GFG851972 GPC851971:GPC851972 GYY851971:GYY851972 HIU851971:HIU851972 HSQ851971:HSQ851972 ICM851971:ICM851972 IMI851971:IMI851972 IWE851971:IWE851972 JGA851971:JGA851972 JPW851971:JPW851972 JZS851971:JZS851972 KJO851971:KJO851972 KTK851971:KTK851972 LDG851971:LDG851972 LNC851971:LNC851972 LWY851971:LWY851972 MGU851971:MGU851972 MQQ851971:MQQ851972 NAM851971:NAM851972 NKI851971:NKI851972 NUE851971:NUE851972 OEA851971:OEA851972 ONW851971:ONW851972 OXS851971:OXS851972 PHO851971:PHO851972 PRK851971:PRK851972 QBG851971:QBG851972 QLC851971:QLC851972 QUY851971:QUY851972 REU851971:REU851972 ROQ851971:ROQ851972 RYM851971:RYM851972 SII851971:SII851972 SSE851971:SSE851972 TCA851971:TCA851972 TLW851971:TLW851972 TVS851971:TVS851972 UFO851971:UFO851972 UPK851971:UPK851972 UZG851971:UZG851972 VJC851971:VJC851972 VSY851971:VSY851972 WCU851971:WCU851972 WMQ851971:WMQ851972 WWM851971:WWM851972 AE917507:AE917508 KA917507:KA917508 TW917507:TW917508 ADS917507:ADS917508 ANO917507:ANO917508 AXK917507:AXK917508 BHG917507:BHG917508 BRC917507:BRC917508 CAY917507:CAY917508 CKU917507:CKU917508 CUQ917507:CUQ917508 DEM917507:DEM917508 DOI917507:DOI917508 DYE917507:DYE917508 EIA917507:EIA917508 ERW917507:ERW917508 FBS917507:FBS917508 FLO917507:FLO917508 FVK917507:FVK917508 GFG917507:GFG917508 GPC917507:GPC917508 GYY917507:GYY917508 HIU917507:HIU917508 HSQ917507:HSQ917508 ICM917507:ICM917508 IMI917507:IMI917508 IWE917507:IWE917508 JGA917507:JGA917508 JPW917507:JPW917508 JZS917507:JZS917508 KJO917507:KJO917508 KTK917507:KTK917508 LDG917507:LDG917508 LNC917507:LNC917508 LWY917507:LWY917508 MGU917507:MGU917508 MQQ917507:MQQ917508 NAM917507:NAM917508 NKI917507:NKI917508 NUE917507:NUE917508 OEA917507:OEA917508 ONW917507:ONW917508 OXS917507:OXS917508 PHO917507:PHO917508 PRK917507:PRK917508 QBG917507:QBG917508 QLC917507:QLC917508 QUY917507:QUY917508 REU917507:REU917508 ROQ917507:ROQ917508 RYM917507:RYM917508 SII917507:SII917508 SSE917507:SSE917508 TCA917507:TCA917508 TLW917507:TLW917508 TVS917507:TVS917508 UFO917507:UFO917508 UPK917507:UPK917508 UZG917507:UZG917508 VJC917507:VJC917508 VSY917507:VSY917508 WCU917507:WCU917508 WMQ917507:WMQ917508 WWM917507:WWM917508 AE983043:AE983044 KA983043:KA983044 TW983043:TW983044 ADS983043:ADS983044 ANO983043:ANO983044 AXK983043:AXK983044 BHG983043:BHG983044 BRC983043:BRC983044 CAY983043:CAY983044 CKU983043:CKU983044 CUQ983043:CUQ983044 DEM983043:DEM983044 DOI983043:DOI983044 DYE983043:DYE983044 EIA983043:EIA983044 ERW983043:ERW983044 FBS983043:FBS983044 FLO983043:FLO983044 FVK983043:FVK983044 GFG983043:GFG983044 GPC983043:GPC983044 GYY983043:GYY983044 HIU983043:HIU983044 HSQ983043:HSQ983044 ICM983043:ICM983044 IMI983043:IMI983044 IWE983043:IWE983044 JGA983043:JGA983044 JPW983043:JPW983044 JZS983043:JZS983044 KJO983043:KJO983044 KTK983043:KTK983044 LDG983043:LDG983044 LNC983043:LNC983044 LWY983043:LWY983044 MGU983043:MGU983044 MQQ983043:MQQ983044 NAM983043:NAM983044 NKI983043:NKI983044 NUE983043:NUE983044 OEA983043:OEA983044 ONW983043:ONW983044 OXS983043:OXS983044 PHO983043:PHO983044 PRK983043:PRK983044 QBG983043:QBG983044 QLC983043:QLC983044 QUY983043:QUY983044 REU983043:REU983044 ROQ983043:ROQ983044 RYM983043:RYM983044 SII983043:SII983044 SSE983043:SSE983044 TCA983043:TCA983044 TLW983043:TLW983044 TVS983043:TVS983044 UFO983043:UFO983044 UPK983043:UPK983044 UZG983043:UZG983044 VJC983043:VJC983044 VSY983043:VSY983044 WCU983043:WCU983044 WMQ983043:WMQ983044 WWM983043:WWM983044 AQ851971:AQ851972 KM851971:KM851972 UI851971:UI851972 AEE851971:AEE851972 AOA851971:AOA851972 AXW851971:AXW851972 BHS851971:BHS851972 BRO851971:BRO851972 CBK851971:CBK851972 CLG851971:CLG851972 CVC851971:CVC851972 DEY851971:DEY851972 DOU851971:DOU851972 DYQ851971:DYQ851972 EIM851971:EIM851972 ESI851971:ESI851972 FCE851971:FCE851972 FMA851971:FMA851972 FVW851971:FVW851972 GFS851971:GFS851972 GPO851971:GPO851972 GZK851971:GZK851972 HJG851971:HJG851972 HTC851971:HTC851972 ICY851971:ICY851972 IMU851971:IMU851972 IWQ851971:IWQ851972 JGM851971:JGM851972 JQI851971:JQI851972 KAE851971:KAE851972 KKA851971:KKA851972 KTW851971:KTW851972 LDS851971:LDS851972 LNO851971:LNO851972 LXK851971:LXK851972 MHG851971:MHG851972 MRC851971:MRC851972 NAY851971:NAY851972 NKU851971:NKU851972 NUQ851971:NUQ851972 OEM851971:OEM851972 OOI851971:OOI851972 OYE851971:OYE851972 PIA851971:PIA851972 PRW851971:PRW851972 QBS851971:QBS851972 QLO851971:QLO851972 QVK851971:QVK851972 RFG851971:RFG851972 RPC851971:RPC851972 RYY851971:RYY851972 SIU851971:SIU851972 SSQ851971:SSQ851972 TCM851971:TCM851972 TMI851971:TMI851972 TWE851971:TWE851972 UGA851971:UGA851972 UPW851971:UPW851972 UZS851971:UZS851972 VJO851971:VJO851972 VTK851971:VTK851972 WDG851971:WDG851972 WNC851971:WNC851972 WWY851971:WWY851972 AI65539:AI65540 KE65539:KE65540 UA65539:UA65540 ADW65539:ADW65540 ANS65539:ANS65540 AXO65539:AXO65540 BHK65539:BHK65540 BRG65539:BRG65540 CBC65539:CBC65540 CKY65539:CKY65540 CUU65539:CUU65540 DEQ65539:DEQ65540 DOM65539:DOM65540 DYI65539:DYI65540 EIE65539:EIE65540 ESA65539:ESA65540 FBW65539:FBW65540 FLS65539:FLS65540 FVO65539:FVO65540 GFK65539:GFK65540 GPG65539:GPG65540 GZC65539:GZC65540 HIY65539:HIY65540 HSU65539:HSU65540 ICQ65539:ICQ65540 IMM65539:IMM65540 IWI65539:IWI65540 JGE65539:JGE65540 JQA65539:JQA65540 JZW65539:JZW65540 KJS65539:KJS65540 KTO65539:KTO65540 LDK65539:LDK65540 LNG65539:LNG65540 LXC65539:LXC65540 MGY65539:MGY65540 MQU65539:MQU65540 NAQ65539:NAQ65540 NKM65539:NKM65540 NUI65539:NUI65540 OEE65539:OEE65540 OOA65539:OOA65540 OXW65539:OXW65540 PHS65539:PHS65540 PRO65539:PRO65540 QBK65539:QBK65540 QLG65539:QLG65540 QVC65539:QVC65540 REY65539:REY65540 ROU65539:ROU65540 RYQ65539:RYQ65540 SIM65539:SIM65540 SSI65539:SSI65540 TCE65539:TCE65540 TMA65539:TMA65540 TVW65539:TVW65540 UFS65539:UFS65540 UPO65539:UPO65540 UZK65539:UZK65540 VJG65539:VJG65540 VTC65539:VTC65540 WCY65539:WCY65540 WMU65539:WMU65540 WWQ65539:WWQ65540 AI131075:AI131076 KE131075:KE131076 UA131075:UA131076 ADW131075:ADW131076 ANS131075:ANS131076 AXO131075:AXO131076 BHK131075:BHK131076 BRG131075:BRG131076 CBC131075:CBC131076 CKY131075:CKY131076 CUU131075:CUU131076 DEQ131075:DEQ131076 DOM131075:DOM131076 DYI131075:DYI131076 EIE131075:EIE131076 ESA131075:ESA131076 FBW131075:FBW131076 FLS131075:FLS131076 FVO131075:FVO131076 GFK131075:GFK131076 GPG131075:GPG131076 GZC131075:GZC131076 HIY131075:HIY131076 HSU131075:HSU131076 ICQ131075:ICQ131076 IMM131075:IMM131076 IWI131075:IWI131076 JGE131075:JGE131076 JQA131075:JQA131076 JZW131075:JZW131076 KJS131075:KJS131076 KTO131075:KTO131076 LDK131075:LDK131076 LNG131075:LNG131076 LXC131075:LXC131076 MGY131075:MGY131076 MQU131075:MQU131076 NAQ131075:NAQ131076 NKM131075:NKM131076 NUI131075:NUI131076 OEE131075:OEE131076 OOA131075:OOA131076 OXW131075:OXW131076 PHS131075:PHS131076 PRO131075:PRO131076 QBK131075:QBK131076 QLG131075:QLG131076 QVC131075:QVC131076 REY131075:REY131076 ROU131075:ROU131076 RYQ131075:RYQ131076 SIM131075:SIM131076 SSI131075:SSI131076 TCE131075:TCE131076 TMA131075:TMA131076 TVW131075:TVW131076 UFS131075:UFS131076 UPO131075:UPO131076 UZK131075:UZK131076 VJG131075:VJG131076 VTC131075:VTC131076 WCY131075:WCY131076 WMU131075:WMU131076 WWQ131075:WWQ131076 AI196611:AI196612 KE196611:KE196612 UA196611:UA196612 ADW196611:ADW196612 ANS196611:ANS196612 AXO196611:AXO196612 BHK196611:BHK196612 BRG196611:BRG196612 CBC196611:CBC196612 CKY196611:CKY196612 CUU196611:CUU196612 DEQ196611:DEQ196612 DOM196611:DOM196612 DYI196611:DYI196612 EIE196611:EIE196612 ESA196611:ESA196612 FBW196611:FBW196612 FLS196611:FLS196612 FVO196611:FVO196612 GFK196611:GFK196612 GPG196611:GPG196612 GZC196611:GZC196612 HIY196611:HIY196612 HSU196611:HSU196612 ICQ196611:ICQ196612 IMM196611:IMM196612 IWI196611:IWI196612 JGE196611:JGE196612 JQA196611:JQA196612 JZW196611:JZW196612 KJS196611:KJS196612 KTO196611:KTO196612 LDK196611:LDK196612 LNG196611:LNG196612 LXC196611:LXC196612 MGY196611:MGY196612 MQU196611:MQU196612 NAQ196611:NAQ196612 NKM196611:NKM196612 NUI196611:NUI196612 OEE196611:OEE196612 OOA196611:OOA196612 OXW196611:OXW196612 PHS196611:PHS196612 PRO196611:PRO196612 QBK196611:QBK196612 QLG196611:QLG196612 QVC196611:QVC196612 REY196611:REY196612 ROU196611:ROU196612 RYQ196611:RYQ196612 SIM196611:SIM196612 SSI196611:SSI196612 TCE196611:TCE196612 TMA196611:TMA196612 TVW196611:TVW196612 UFS196611:UFS196612 UPO196611:UPO196612 UZK196611:UZK196612 VJG196611:VJG196612 VTC196611:VTC196612 WCY196611:WCY196612 WMU196611:WMU196612 WWQ196611:WWQ196612 AI262147:AI262148 KE262147:KE262148 UA262147:UA262148 ADW262147:ADW262148 ANS262147:ANS262148 AXO262147:AXO262148 BHK262147:BHK262148 BRG262147:BRG262148 CBC262147:CBC262148 CKY262147:CKY262148 CUU262147:CUU262148 DEQ262147:DEQ262148 DOM262147:DOM262148 DYI262147:DYI262148 EIE262147:EIE262148 ESA262147:ESA262148 FBW262147:FBW262148 FLS262147:FLS262148 FVO262147:FVO262148 GFK262147:GFK262148 GPG262147:GPG262148 GZC262147:GZC262148 HIY262147:HIY262148 HSU262147:HSU262148 ICQ262147:ICQ262148 IMM262147:IMM262148 IWI262147:IWI262148 JGE262147:JGE262148 JQA262147:JQA262148 JZW262147:JZW262148 KJS262147:KJS262148 KTO262147:KTO262148 LDK262147:LDK262148 LNG262147:LNG262148 LXC262147:LXC262148 MGY262147:MGY262148 MQU262147:MQU262148 NAQ262147:NAQ262148 NKM262147:NKM262148 NUI262147:NUI262148 OEE262147:OEE262148 OOA262147:OOA262148 OXW262147:OXW262148 PHS262147:PHS262148 PRO262147:PRO262148 QBK262147:QBK262148 QLG262147:QLG262148 QVC262147:QVC262148 REY262147:REY262148 ROU262147:ROU262148 RYQ262147:RYQ262148 SIM262147:SIM262148 SSI262147:SSI262148 TCE262147:TCE262148 TMA262147:TMA262148 TVW262147:TVW262148 UFS262147:UFS262148 UPO262147:UPO262148 UZK262147:UZK262148 VJG262147:VJG262148 VTC262147:VTC262148 WCY262147:WCY262148 WMU262147:WMU262148 WWQ262147:WWQ262148 AI327683:AI327684 KE327683:KE327684 UA327683:UA327684 ADW327683:ADW327684 ANS327683:ANS327684 AXO327683:AXO327684 BHK327683:BHK327684 BRG327683:BRG327684 CBC327683:CBC327684 CKY327683:CKY327684 CUU327683:CUU327684 DEQ327683:DEQ327684 DOM327683:DOM327684 DYI327683:DYI327684 EIE327683:EIE327684 ESA327683:ESA327684 FBW327683:FBW327684 FLS327683:FLS327684 FVO327683:FVO327684 GFK327683:GFK327684 GPG327683:GPG327684 GZC327683:GZC327684 HIY327683:HIY327684 HSU327683:HSU327684 ICQ327683:ICQ327684 IMM327683:IMM327684 IWI327683:IWI327684 JGE327683:JGE327684 JQA327683:JQA327684 JZW327683:JZW327684 KJS327683:KJS327684 KTO327683:KTO327684 LDK327683:LDK327684 LNG327683:LNG327684 LXC327683:LXC327684 MGY327683:MGY327684 MQU327683:MQU327684 NAQ327683:NAQ327684 NKM327683:NKM327684 NUI327683:NUI327684 OEE327683:OEE327684 OOA327683:OOA327684 OXW327683:OXW327684 PHS327683:PHS327684 PRO327683:PRO327684 QBK327683:QBK327684 QLG327683:QLG327684 QVC327683:QVC327684 REY327683:REY327684 ROU327683:ROU327684 RYQ327683:RYQ327684 SIM327683:SIM327684 SSI327683:SSI327684 TCE327683:TCE327684 TMA327683:TMA327684 TVW327683:TVW327684 UFS327683:UFS327684 UPO327683:UPO327684 UZK327683:UZK327684 VJG327683:VJG327684 VTC327683:VTC327684 WCY327683:WCY327684 WMU327683:WMU327684 WWQ327683:WWQ327684 AI393219:AI393220 KE393219:KE393220 UA393219:UA393220 ADW393219:ADW393220 ANS393219:ANS393220 AXO393219:AXO393220 BHK393219:BHK393220 BRG393219:BRG393220 CBC393219:CBC393220 CKY393219:CKY393220 CUU393219:CUU393220 DEQ393219:DEQ393220 DOM393219:DOM393220 DYI393219:DYI393220 EIE393219:EIE393220 ESA393219:ESA393220 FBW393219:FBW393220 FLS393219:FLS393220 FVO393219:FVO393220 GFK393219:GFK393220 GPG393219:GPG393220 GZC393219:GZC393220 HIY393219:HIY393220 HSU393219:HSU393220 ICQ393219:ICQ393220 IMM393219:IMM393220 IWI393219:IWI393220 JGE393219:JGE393220 JQA393219:JQA393220 JZW393219:JZW393220 KJS393219:KJS393220 KTO393219:KTO393220 LDK393219:LDK393220 LNG393219:LNG393220 LXC393219:LXC393220 MGY393219:MGY393220 MQU393219:MQU393220 NAQ393219:NAQ393220 NKM393219:NKM393220 NUI393219:NUI393220 OEE393219:OEE393220 OOA393219:OOA393220 OXW393219:OXW393220 PHS393219:PHS393220 PRO393219:PRO393220 QBK393219:QBK393220 QLG393219:QLG393220 QVC393219:QVC393220 REY393219:REY393220 ROU393219:ROU393220 RYQ393219:RYQ393220 SIM393219:SIM393220 SSI393219:SSI393220 TCE393219:TCE393220 TMA393219:TMA393220 TVW393219:TVW393220 UFS393219:UFS393220 UPO393219:UPO393220 UZK393219:UZK393220 VJG393219:VJG393220 VTC393219:VTC393220 WCY393219:WCY393220 WMU393219:WMU393220 WWQ393219:WWQ393220 AI458755:AI458756 KE458755:KE458756 UA458755:UA458756 ADW458755:ADW458756 ANS458755:ANS458756 AXO458755:AXO458756 BHK458755:BHK458756 BRG458755:BRG458756 CBC458755:CBC458756 CKY458755:CKY458756 CUU458755:CUU458756 DEQ458755:DEQ458756 DOM458755:DOM458756 DYI458755:DYI458756 EIE458755:EIE458756 ESA458755:ESA458756 FBW458755:FBW458756 FLS458755:FLS458756 FVO458755:FVO458756 GFK458755:GFK458756 GPG458755:GPG458756 GZC458755:GZC458756 HIY458755:HIY458756 HSU458755:HSU458756 ICQ458755:ICQ458756 IMM458755:IMM458756 IWI458755:IWI458756 JGE458755:JGE458756 JQA458755:JQA458756 JZW458755:JZW458756 KJS458755:KJS458756 KTO458755:KTO458756 LDK458755:LDK458756 LNG458755:LNG458756 LXC458755:LXC458756 MGY458755:MGY458756 MQU458755:MQU458756 NAQ458755:NAQ458756 NKM458755:NKM458756 NUI458755:NUI458756 OEE458755:OEE458756 OOA458755:OOA458756 OXW458755:OXW458756 PHS458755:PHS458756 PRO458755:PRO458756 QBK458755:QBK458756 QLG458755:QLG458756 QVC458755:QVC458756 REY458755:REY458756 ROU458755:ROU458756 RYQ458755:RYQ458756 SIM458755:SIM458756 SSI458755:SSI458756 TCE458755:TCE458756 TMA458755:TMA458756 TVW458755:TVW458756 UFS458755:UFS458756 UPO458755:UPO458756 UZK458755:UZK458756 VJG458755:VJG458756 VTC458755:VTC458756 WCY458755:WCY458756 WMU458755:WMU458756 WWQ458755:WWQ458756 AI524291:AI524292 KE524291:KE524292 UA524291:UA524292 ADW524291:ADW524292 ANS524291:ANS524292 AXO524291:AXO524292 BHK524291:BHK524292 BRG524291:BRG524292 CBC524291:CBC524292 CKY524291:CKY524292 CUU524291:CUU524292 DEQ524291:DEQ524292 DOM524291:DOM524292 DYI524291:DYI524292 EIE524291:EIE524292 ESA524291:ESA524292 FBW524291:FBW524292 FLS524291:FLS524292 FVO524291:FVO524292 GFK524291:GFK524292 GPG524291:GPG524292 GZC524291:GZC524292 HIY524291:HIY524292 HSU524291:HSU524292 ICQ524291:ICQ524292 IMM524291:IMM524292 IWI524291:IWI524292 JGE524291:JGE524292 JQA524291:JQA524292 JZW524291:JZW524292 KJS524291:KJS524292 KTO524291:KTO524292 LDK524291:LDK524292 LNG524291:LNG524292 LXC524291:LXC524292 MGY524291:MGY524292 MQU524291:MQU524292 NAQ524291:NAQ524292 NKM524291:NKM524292 NUI524291:NUI524292 OEE524291:OEE524292 OOA524291:OOA524292 OXW524291:OXW524292 PHS524291:PHS524292 PRO524291:PRO524292 QBK524291:QBK524292 QLG524291:QLG524292 QVC524291:QVC524292 REY524291:REY524292 ROU524291:ROU524292 RYQ524291:RYQ524292 SIM524291:SIM524292 SSI524291:SSI524292 TCE524291:TCE524292 TMA524291:TMA524292 TVW524291:TVW524292 UFS524291:UFS524292 UPO524291:UPO524292 UZK524291:UZK524292 VJG524291:VJG524292 VTC524291:VTC524292 WCY524291:WCY524292 WMU524291:WMU524292 WWQ524291:WWQ524292 AI589827:AI589828 KE589827:KE589828 UA589827:UA589828 ADW589827:ADW589828 ANS589827:ANS589828 AXO589827:AXO589828 BHK589827:BHK589828 BRG589827:BRG589828 CBC589827:CBC589828 CKY589827:CKY589828 CUU589827:CUU589828 DEQ589827:DEQ589828 DOM589827:DOM589828 DYI589827:DYI589828 EIE589827:EIE589828 ESA589827:ESA589828 FBW589827:FBW589828 FLS589827:FLS589828 FVO589827:FVO589828 GFK589827:GFK589828 GPG589827:GPG589828 GZC589827:GZC589828 HIY589827:HIY589828 HSU589827:HSU589828 ICQ589827:ICQ589828 IMM589827:IMM589828 IWI589827:IWI589828 JGE589827:JGE589828 JQA589827:JQA589828 JZW589827:JZW589828 KJS589827:KJS589828 KTO589827:KTO589828 LDK589827:LDK589828 LNG589827:LNG589828 LXC589827:LXC589828 MGY589827:MGY589828 MQU589827:MQU589828 NAQ589827:NAQ589828 NKM589827:NKM589828 NUI589827:NUI589828 OEE589827:OEE589828 OOA589827:OOA589828 OXW589827:OXW589828 PHS589827:PHS589828 PRO589827:PRO589828 QBK589827:QBK589828 QLG589827:QLG589828 QVC589827:QVC589828 REY589827:REY589828 ROU589827:ROU589828 RYQ589827:RYQ589828 SIM589827:SIM589828 SSI589827:SSI589828 TCE589827:TCE589828 TMA589827:TMA589828 TVW589827:TVW589828 UFS589827:UFS589828 UPO589827:UPO589828 UZK589827:UZK589828 VJG589827:VJG589828 VTC589827:VTC589828 WCY589827:WCY589828 WMU589827:WMU589828 WWQ589827:WWQ589828 AI655363:AI655364 KE655363:KE655364 UA655363:UA655364 ADW655363:ADW655364 ANS655363:ANS655364 AXO655363:AXO655364 BHK655363:BHK655364 BRG655363:BRG655364 CBC655363:CBC655364 CKY655363:CKY655364 CUU655363:CUU655364 DEQ655363:DEQ655364 DOM655363:DOM655364 DYI655363:DYI655364 EIE655363:EIE655364 ESA655363:ESA655364 FBW655363:FBW655364 FLS655363:FLS655364 FVO655363:FVO655364 GFK655363:GFK655364 GPG655363:GPG655364 GZC655363:GZC655364 HIY655363:HIY655364 HSU655363:HSU655364 ICQ655363:ICQ655364 IMM655363:IMM655364 IWI655363:IWI655364 JGE655363:JGE655364 JQA655363:JQA655364 JZW655363:JZW655364 KJS655363:KJS655364 KTO655363:KTO655364 LDK655363:LDK655364 LNG655363:LNG655364 LXC655363:LXC655364 MGY655363:MGY655364 MQU655363:MQU655364 NAQ655363:NAQ655364 NKM655363:NKM655364 NUI655363:NUI655364 OEE655363:OEE655364 OOA655363:OOA655364 OXW655363:OXW655364 PHS655363:PHS655364 PRO655363:PRO655364 QBK655363:QBK655364 QLG655363:QLG655364 QVC655363:QVC655364 REY655363:REY655364 ROU655363:ROU655364 RYQ655363:RYQ655364 SIM655363:SIM655364 SSI655363:SSI655364 TCE655363:TCE655364 TMA655363:TMA655364 TVW655363:TVW655364 UFS655363:UFS655364 UPO655363:UPO655364 UZK655363:UZK655364 VJG655363:VJG655364 VTC655363:VTC655364 WCY655363:WCY655364 WMU655363:WMU655364 WWQ655363:WWQ655364 AI720899:AI720900 KE720899:KE720900 UA720899:UA720900 ADW720899:ADW720900 ANS720899:ANS720900 AXO720899:AXO720900 BHK720899:BHK720900 BRG720899:BRG720900 CBC720899:CBC720900 CKY720899:CKY720900 CUU720899:CUU720900 DEQ720899:DEQ720900 DOM720899:DOM720900 DYI720899:DYI720900 EIE720899:EIE720900 ESA720899:ESA720900 FBW720899:FBW720900 FLS720899:FLS720900 FVO720899:FVO720900 GFK720899:GFK720900 GPG720899:GPG720900 GZC720899:GZC720900 HIY720899:HIY720900 HSU720899:HSU720900 ICQ720899:ICQ720900 IMM720899:IMM720900 IWI720899:IWI720900 JGE720899:JGE720900 JQA720899:JQA720900 JZW720899:JZW720900 KJS720899:KJS720900 KTO720899:KTO720900 LDK720899:LDK720900 LNG720899:LNG720900 LXC720899:LXC720900 MGY720899:MGY720900 MQU720899:MQU720900 NAQ720899:NAQ720900 NKM720899:NKM720900 NUI720899:NUI720900 OEE720899:OEE720900 OOA720899:OOA720900 OXW720899:OXW720900 PHS720899:PHS720900 PRO720899:PRO720900 QBK720899:QBK720900 QLG720899:QLG720900 QVC720899:QVC720900 REY720899:REY720900 ROU720899:ROU720900 RYQ720899:RYQ720900 SIM720899:SIM720900 SSI720899:SSI720900 TCE720899:TCE720900 TMA720899:TMA720900 TVW720899:TVW720900 UFS720899:UFS720900 UPO720899:UPO720900 UZK720899:UZK720900 VJG720899:VJG720900 VTC720899:VTC720900 WCY720899:WCY720900 WMU720899:WMU720900 WWQ720899:WWQ720900 AI786435:AI786436 KE786435:KE786436 UA786435:UA786436 ADW786435:ADW786436 ANS786435:ANS786436 AXO786435:AXO786436 BHK786435:BHK786436 BRG786435:BRG786436 CBC786435:CBC786436 CKY786435:CKY786436 CUU786435:CUU786436 DEQ786435:DEQ786436 DOM786435:DOM786436 DYI786435:DYI786436 EIE786435:EIE786436 ESA786435:ESA786436 FBW786435:FBW786436 FLS786435:FLS786436 FVO786435:FVO786436 GFK786435:GFK786436 GPG786435:GPG786436 GZC786435:GZC786436 HIY786435:HIY786436 HSU786435:HSU786436 ICQ786435:ICQ786436 IMM786435:IMM786436 IWI786435:IWI786436 JGE786435:JGE786436 JQA786435:JQA786436 JZW786435:JZW786436 KJS786435:KJS786436 KTO786435:KTO786436 LDK786435:LDK786436 LNG786435:LNG786436 LXC786435:LXC786436 MGY786435:MGY786436 MQU786435:MQU786436 NAQ786435:NAQ786436 NKM786435:NKM786436 NUI786435:NUI786436 OEE786435:OEE786436 OOA786435:OOA786436 OXW786435:OXW786436 PHS786435:PHS786436 PRO786435:PRO786436 QBK786435:QBK786436 QLG786435:QLG786436 QVC786435:QVC786436 REY786435:REY786436 ROU786435:ROU786436 RYQ786435:RYQ786436 SIM786435:SIM786436 SSI786435:SSI786436 TCE786435:TCE786436 TMA786435:TMA786436 TVW786435:TVW786436 UFS786435:UFS786436 UPO786435:UPO786436 UZK786435:UZK786436 VJG786435:VJG786436 VTC786435:VTC786436 WCY786435:WCY786436 WMU786435:WMU786436 WWQ786435:WWQ786436 AI851971:AI851972 KE851971:KE851972 UA851971:UA851972 ADW851971:ADW851972 ANS851971:ANS851972 AXO851971:AXO851972 BHK851971:BHK851972 BRG851971:BRG851972 CBC851971:CBC851972 CKY851971:CKY851972 CUU851971:CUU851972 DEQ851971:DEQ851972 DOM851971:DOM851972 DYI851971:DYI851972 EIE851971:EIE851972 ESA851971:ESA851972 FBW851971:FBW851972 FLS851971:FLS851972 FVO851971:FVO851972 GFK851971:GFK851972 GPG851971:GPG851972 GZC851971:GZC851972 HIY851971:HIY851972 HSU851971:HSU851972 ICQ851971:ICQ851972 IMM851971:IMM851972 IWI851971:IWI851972 JGE851971:JGE851972 JQA851971:JQA851972 JZW851971:JZW851972 KJS851971:KJS851972 KTO851971:KTO851972 LDK851971:LDK851972 LNG851971:LNG851972 LXC851971:LXC851972 MGY851971:MGY851972 MQU851971:MQU851972 NAQ851971:NAQ851972 NKM851971:NKM851972 NUI851971:NUI851972 OEE851971:OEE851972 OOA851971:OOA851972 OXW851971:OXW851972 PHS851971:PHS851972 PRO851971:PRO851972 QBK851971:QBK851972 QLG851971:QLG851972 QVC851971:QVC851972 REY851971:REY851972 ROU851971:ROU851972 RYQ851971:RYQ851972 SIM851971:SIM851972 SSI851971:SSI851972 TCE851971:TCE851972 TMA851971:TMA851972 TVW851971:TVW851972 UFS851971:UFS851972 UPO851971:UPO851972 UZK851971:UZK851972 VJG851971:VJG851972 VTC851971:VTC851972 WCY851971:WCY851972 WMU851971:WMU851972 WWQ851971:WWQ851972 AI917507:AI917508 KE917507:KE917508 UA917507:UA917508 ADW917507:ADW917508 ANS917507:ANS917508 AXO917507:AXO917508 BHK917507:BHK917508 BRG917507:BRG917508 CBC917507:CBC917508 CKY917507:CKY917508 CUU917507:CUU917508 DEQ917507:DEQ917508 DOM917507:DOM917508 DYI917507:DYI917508 EIE917507:EIE917508 ESA917507:ESA917508 FBW917507:FBW917508 FLS917507:FLS917508 FVO917507:FVO917508 GFK917507:GFK917508 GPG917507:GPG917508 GZC917507:GZC917508 HIY917507:HIY917508 HSU917507:HSU917508 ICQ917507:ICQ917508 IMM917507:IMM917508 IWI917507:IWI917508 JGE917507:JGE917508 JQA917507:JQA917508 JZW917507:JZW917508 KJS917507:KJS917508 KTO917507:KTO917508 LDK917507:LDK917508 LNG917507:LNG917508 LXC917507:LXC917508 MGY917507:MGY917508 MQU917507:MQU917508 NAQ917507:NAQ917508 NKM917507:NKM917508 NUI917507:NUI917508 OEE917507:OEE917508 OOA917507:OOA917508 OXW917507:OXW917508 PHS917507:PHS917508 PRO917507:PRO917508 QBK917507:QBK917508 QLG917507:QLG917508 QVC917507:QVC917508 REY917507:REY917508 ROU917507:ROU917508 RYQ917507:RYQ917508 SIM917507:SIM917508 SSI917507:SSI917508 TCE917507:TCE917508 TMA917507:TMA917508 TVW917507:TVW917508 UFS917507:UFS917508 UPO917507:UPO917508 UZK917507:UZK917508 VJG917507:VJG917508 VTC917507:VTC917508 WCY917507:WCY917508 WMU917507:WMU917508 WWQ917507:WWQ917508 AI983043:AI983044 KE983043:KE983044 UA983043:UA983044 ADW983043:ADW983044 ANS983043:ANS983044 AXO983043:AXO983044 BHK983043:BHK983044 BRG983043:BRG983044 CBC983043:CBC983044 CKY983043:CKY983044 CUU983043:CUU983044 DEQ983043:DEQ983044 DOM983043:DOM983044 DYI983043:DYI983044 EIE983043:EIE983044 ESA983043:ESA983044 FBW983043:FBW983044 FLS983043:FLS983044 FVO983043:FVO983044 GFK983043:GFK983044 GPG983043:GPG983044 GZC983043:GZC983044 HIY983043:HIY983044 HSU983043:HSU983044 ICQ983043:ICQ983044 IMM983043:IMM983044 IWI983043:IWI983044 JGE983043:JGE983044 JQA983043:JQA983044 JZW983043:JZW983044 KJS983043:KJS983044 KTO983043:KTO983044 LDK983043:LDK983044 LNG983043:LNG983044 LXC983043:LXC983044 MGY983043:MGY983044 MQU983043:MQU983044 NAQ983043:NAQ983044 NKM983043:NKM983044 NUI983043:NUI983044 OEE983043:OEE983044 OOA983043:OOA983044 OXW983043:OXW983044 PHS983043:PHS983044 PRO983043:PRO983044 QBK983043:QBK983044 QLG983043:QLG983044 QVC983043:QVC983044 REY983043:REY983044 ROU983043:ROU983044 RYQ983043:RYQ983044 SIM983043:SIM983044 SSI983043:SSI983044 TCE983043:TCE983044 TMA983043:TMA983044 TVW983043:TVW983044 UFS983043:UFS983044 UPO983043:UPO983044 UZK983043:UZK983044 VJG983043:VJG983044 VTC983043:VTC983044 WCY983043:WCY983044 WMU983043:WMU983044 WWQ983043:WWQ983044 AQ917507:AQ917508 KM917507:KM917508 UI917507:UI917508 AEE917507:AEE917508 AOA917507:AOA917508 AXW917507:AXW917508 BHS917507:BHS917508 BRO917507:BRO917508 CBK917507:CBK917508 CLG917507:CLG917508 CVC917507:CVC917508 DEY917507:DEY917508 DOU917507:DOU917508 DYQ917507:DYQ917508 EIM917507:EIM917508 ESI917507:ESI917508 FCE917507:FCE917508 FMA917507:FMA917508 FVW917507:FVW917508 GFS917507:GFS917508 GPO917507:GPO917508 GZK917507:GZK917508 HJG917507:HJG917508 HTC917507:HTC917508 ICY917507:ICY917508 IMU917507:IMU917508 IWQ917507:IWQ917508 JGM917507:JGM917508 JQI917507:JQI917508 KAE917507:KAE917508 KKA917507:KKA917508 KTW917507:KTW917508 LDS917507:LDS917508 LNO917507:LNO917508 LXK917507:LXK917508 MHG917507:MHG917508 MRC917507:MRC917508 NAY917507:NAY917508 NKU917507:NKU917508 NUQ917507:NUQ917508 OEM917507:OEM917508 OOI917507:OOI917508 OYE917507:OYE917508 PIA917507:PIA917508 PRW917507:PRW917508 QBS917507:QBS917508 QLO917507:QLO917508 QVK917507:QVK917508 RFG917507:RFG917508 RPC917507:RPC917508 RYY917507:RYY917508 SIU917507:SIU917508 SSQ917507:SSQ917508 TCM917507:TCM917508 TMI917507:TMI917508 TWE917507:TWE917508 UGA917507:UGA917508 UPW917507:UPW917508 UZS917507:UZS917508 VJO917507:VJO917508 VTK917507:VTK917508 WDG917507:WDG917508 WNC917507:WNC917508 WWY917507:WWY917508 AM65539:AM65540 KI65539:KI65540 UE65539:UE65540 AEA65539:AEA65540 ANW65539:ANW65540 AXS65539:AXS65540 BHO65539:BHO65540 BRK65539:BRK65540 CBG65539:CBG65540 CLC65539:CLC65540 CUY65539:CUY65540 DEU65539:DEU65540 DOQ65539:DOQ65540 DYM65539:DYM65540 EII65539:EII65540 ESE65539:ESE65540 FCA65539:FCA65540 FLW65539:FLW65540 FVS65539:FVS65540 GFO65539:GFO65540 GPK65539:GPK65540 GZG65539:GZG65540 HJC65539:HJC65540 HSY65539:HSY65540 ICU65539:ICU65540 IMQ65539:IMQ65540 IWM65539:IWM65540 JGI65539:JGI65540 JQE65539:JQE65540 KAA65539:KAA65540 KJW65539:KJW65540 KTS65539:KTS65540 LDO65539:LDO65540 LNK65539:LNK65540 LXG65539:LXG65540 MHC65539:MHC65540 MQY65539:MQY65540 NAU65539:NAU65540 NKQ65539:NKQ65540 NUM65539:NUM65540 OEI65539:OEI65540 OOE65539:OOE65540 OYA65539:OYA65540 PHW65539:PHW65540 PRS65539:PRS65540 QBO65539:QBO65540 QLK65539:QLK65540 QVG65539:QVG65540 RFC65539:RFC65540 ROY65539:ROY65540 RYU65539:RYU65540 SIQ65539:SIQ65540 SSM65539:SSM65540 TCI65539:TCI65540 TME65539:TME65540 TWA65539:TWA65540 UFW65539:UFW65540 UPS65539:UPS65540 UZO65539:UZO65540 VJK65539:VJK65540 VTG65539:VTG65540 WDC65539:WDC65540 WMY65539:WMY65540 WWU65539:WWU65540 AM131075:AM131076 KI131075:KI131076 UE131075:UE131076 AEA131075:AEA131076 ANW131075:ANW131076 AXS131075:AXS131076 BHO131075:BHO131076 BRK131075:BRK131076 CBG131075:CBG131076 CLC131075:CLC131076 CUY131075:CUY131076 DEU131075:DEU131076 DOQ131075:DOQ131076 DYM131075:DYM131076 EII131075:EII131076 ESE131075:ESE131076 FCA131075:FCA131076 FLW131075:FLW131076 FVS131075:FVS131076 GFO131075:GFO131076 GPK131075:GPK131076 GZG131075:GZG131076 HJC131075:HJC131076 HSY131075:HSY131076 ICU131075:ICU131076 IMQ131075:IMQ131076 IWM131075:IWM131076 JGI131075:JGI131076 JQE131075:JQE131076 KAA131075:KAA131076 KJW131075:KJW131076 KTS131075:KTS131076 LDO131075:LDO131076 LNK131075:LNK131076 LXG131075:LXG131076 MHC131075:MHC131076 MQY131075:MQY131076 NAU131075:NAU131076 NKQ131075:NKQ131076 NUM131075:NUM131076 OEI131075:OEI131076 OOE131075:OOE131076 OYA131075:OYA131076 PHW131075:PHW131076 PRS131075:PRS131076 QBO131075:QBO131076 QLK131075:QLK131076 QVG131075:QVG131076 RFC131075:RFC131076 ROY131075:ROY131076 RYU131075:RYU131076 SIQ131075:SIQ131076 SSM131075:SSM131076 TCI131075:TCI131076 TME131075:TME131076 TWA131075:TWA131076 UFW131075:UFW131076 UPS131075:UPS131076 UZO131075:UZO131076 VJK131075:VJK131076 VTG131075:VTG131076 WDC131075:WDC131076 WMY131075:WMY131076 WWU131075:WWU131076 AM196611:AM196612 KI196611:KI196612 UE196611:UE196612 AEA196611:AEA196612 ANW196611:ANW196612 AXS196611:AXS196612 BHO196611:BHO196612 BRK196611:BRK196612 CBG196611:CBG196612 CLC196611:CLC196612 CUY196611:CUY196612 DEU196611:DEU196612 DOQ196611:DOQ196612 DYM196611:DYM196612 EII196611:EII196612 ESE196611:ESE196612 FCA196611:FCA196612 FLW196611:FLW196612 FVS196611:FVS196612 GFO196611:GFO196612 GPK196611:GPK196612 GZG196611:GZG196612 HJC196611:HJC196612 HSY196611:HSY196612 ICU196611:ICU196612 IMQ196611:IMQ196612 IWM196611:IWM196612 JGI196611:JGI196612 JQE196611:JQE196612 KAA196611:KAA196612 KJW196611:KJW196612 KTS196611:KTS196612 LDO196611:LDO196612 LNK196611:LNK196612 LXG196611:LXG196612 MHC196611:MHC196612 MQY196611:MQY196612 NAU196611:NAU196612 NKQ196611:NKQ196612 NUM196611:NUM196612 OEI196611:OEI196612 OOE196611:OOE196612 OYA196611:OYA196612 PHW196611:PHW196612 PRS196611:PRS196612 QBO196611:QBO196612 QLK196611:QLK196612 QVG196611:QVG196612 RFC196611:RFC196612 ROY196611:ROY196612 RYU196611:RYU196612 SIQ196611:SIQ196612 SSM196611:SSM196612 TCI196611:TCI196612 TME196611:TME196612 TWA196611:TWA196612 UFW196611:UFW196612 UPS196611:UPS196612 UZO196611:UZO196612 VJK196611:VJK196612 VTG196611:VTG196612 WDC196611:WDC196612 WMY196611:WMY196612 WWU196611:WWU196612 AM262147:AM262148 KI262147:KI262148 UE262147:UE262148 AEA262147:AEA262148 ANW262147:ANW262148 AXS262147:AXS262148 BHO262147:BHO262148 BRK262147:BRK262148 CBG262147:CBG262148 CLC262147:CLC262148 CUY262147:CUY262148 DEU262147:DEU262148 DOQ262147:DOQ262148 DYM262147:DYM262148 EII262147:EII262148 ESE262147:ESE262148 FCA262147:FCA262148 FLW262147:FLW262148 FVS262147:FVS262148 GFO262147:GFO262148 GPK262147:GPK262148 GZG262147:GZG262148 HJC262147:HJC262148 HSY262147:HSY262148 ICU262147:ICU262148 IMQ262147:IMQ262148 IWM262147:IWM262148 JGI262147:JGI262148 JQE262147:JQE262148 KAA262147:KAA262148 KJW262147:KJW262148 KTS262147:KTS262148 LDO262147:LDO262148 LNK262147:LNK262148 LXG262147:LXG262148 MHC262147:MHC262148 MQY262147:MQY262148 NAU262147:NAU262148 NKQ262147:NKQ262148 NUM262147:NUM262148 OEI262147:OEI262148 OOE262147:OOE262148 OYA262147:OYA262148 PHW262147:PHW262148 PRS262147:PRS262148 QBO262147:QBO262148 QLK262147:QLK262148 QVG262147:QVG262148 RFC262147:RFC262148 ROY262147:ROY262148 RYU262147:RYU262148 SIQ262147:SIQ262148 SSM262147:SSM262148 TCI262147:TCI262148 TME262147:TME262148 TWA262147:TWA262148 UFW262147:UFW262148 UPS262147:UPS262148 UZO262147:UZO262148 VJK262147:VJK262148 VTG262147:VTG262148 WDC262147:WDC262148 WMY262147:WMY262148 WWU262147:WWU262148 AM327683:AM327684 KI327683:KI327684 UE327683:UE327684 AEA327683:AEA327684 ANW327683:ANW327684 AXS327683:AXS327684 BHO327683:BHO327684 BRK327683:BRK327684 CBG327683:CBG327684 CLC327683:CLC327684 CUY327683:CUY327684 DEU327683:DEU327684 DOQ327683:DOQ327684 DYM327683:DYM327684 EII327683:EII327684 ESE327683:ESE327684 FCA327683:FCA327684 FLW327683:FLW327684 FVS327683:FVS327684 GFO327683:GFO327684 GPK327683:GPK327684 GZG327683:GZG327684 HJC327683:HJC327684 HSY327683:HSY327684 ICU327683:ICU327684 IMQ327683:IMQ327684 IWM327683:IWM327684 JGI327683:JGI327684 JQE327683:JQE327684 KAA327683:KAA327684 KJW327683:KJW327684 KTS327683:KTS327684 LDO327683:LDO327684 LNK327683:LNK327684 LXG327683:LXG327684 MHC327683:MHC327684 MQY327683:MQY327684 NAU327683:NAU327684 NKQ327683:NKQ327684 NUM327683:NUM327684 OEI327683:OEI327684 OOE327683:OOE327684 OYA327683:OYA327684 PHW327683:PHW327684 PRS327683:PRS327684 QBO327683:QBO327684 QLK327683:QLK327684 QVG327683:QVG327684 RFC327683:RFC327684 ROY327683:ROY327684 RYU327683:RYU327684 SIQ327683:SIQ327684 SSM327683:SSM327684 TCI327683:TCI327684 TME327683:TME327684 TWA327683:TWA327684 UFW327683:UFW327684 UPS327683:UPS327684 UZO327683:UZO327684 VJK327683:VJK327684 VTG327683:VTG327684 WDC327683:WDC327684 WMY327683:WMY327684 WWU327683:WWU327684 AM393219:AM393220 KI393219:KI393220 UE393219:UE393220 AEA393219:AEA393220 ANW393219:ANW393220 AXS393219:AXS393220 BHO393219:BHO393220 BRK393219:BRK393220 CBG393219:CBG393220 CLC393219:CLC393220 CUY393219:CUY393220 DEU393219:DEU393220 DOQ393219:DOQ393220 DYM393219:DYM393220 EII393219:EII393220 ESE393219:ESE393220 FCA393219:FCA393220 FLW393219:FLW393220 FVS393219:FVS393220 GFO393219:GFO393220 GPK393219:GPK393220 GZG393219:GZG393220 HJC393219:HJC393220 HSY393219:HSY393220 ICU393219:ICU393220 IMQ393219:IMQ393220 IWM393219:IWM393220 JGI393219:JGI393220 JQE393219:JQE393220 KAA393219:KAA393220 KJW393219:KJW393220 KTS393219:KTS393220 LDO393219:LDO393220 LNK393219:LNK393220 LXG393219:LXG393220 MHC393219:MHC393220 MQY393219:MQY393220 NAU393219:NAU393220 NKQ393219:NKQ393220 NUM393219:NUM393220 OEI393219:OEI393220 OOE393219:OOE393220 OYA393219:OYA393220 PHW393219:PHW393220 PRS393219:PRS393220 QBO393219:QBO393220 QLK393219:QLK393220 QVG393219:QVG393220 RFC393219:RFC393220 ROY393219:ROY393220 RYU393219:RYU393220 SIQ393219:SIQ393220 SSM393219:SSM393220 TCI393219:TCI393220 TME393219:TME393220 TWA393219:TWA393220 UFW393219:UFW393220 UPS393219:UPS393220 UZO393219:UZO393220 VJK393219:VJK393220 VTG393219:VTG393220 WDC393219:WDC393220 WMY393219:WMY393220 WWU393219:WWU393220 AM458755:AM458756 KI458755:KI458756 UE458755:UE458756 AEA458755:AEA458756 ANW458755:ANW458756 AXS458755:AXS458756 BHO458755:BHO458756 BRK458755:BRK458756 CBG458755:CBG458756 CLC458755:CLC458756 CUY458755:CUY458756 DEU458755:DEU458756 DOQ458755:DOQ458756 DYM458755:DYM458756 EII458755:EII458756 ESE458755:ESE458756 FCA458755:FCA458756 FLW458755:FLW458756 FVS458755:FVS458756 GFO458755:GFO458756 GPK458755:GPK458756 GZG458755:GZG458756 HJC458755:HJC458756 HSY458755:HSY458756 ICU458755:ICU458756 IMQ458755:IMQ458756 IWM458755:IWM458756 JGI458755:JGI458756 JQE458755:JQE458756 KAA458755:KAA458756 KJW458755:KJW458756 KTS458755:KTS458756 LDO458755:LDO458756 LNK458755:LNK458756 LXG458755:LXG458756 MHC458755:MHC458756 MQY458755:MQY458756 NAU458755:NAU458756 NKQ458755:NKQ458756 NUM458755:NUM458756 OEI458755:OEI458756 OOE458755:OOE458756 OYA458755:OYA458756 PHW458755:PHW458756 PRS458755:PRS458756 QBO458755:QBO458756 QLK458755:QLK458756 QVG458755:QVG458756 RFC458755:RFC458756 ROY458755:ROY458756 RYU458755:RYU458756 SIQ458755:SIQ458756 SSM458755:SSM458756 TCI458755:TCI458756 TME458755:TME458756 TWA458755:TWA458756 UFW458755:UFW458756 UPS458755:UPS458756 UZO458755:UZO458756 VJK458755:VJK458756 VTG458755:VTG458756 WDC458755:WDC458756 WMY458755:WMY458756 WWU458755:WWU458756 AM524291:AM524292 KI524291:KI524292 UE524291:UE524292 AEA524291:AEA524292 ANW524291:ANW524292 AXS524291:AXS524292 BHO524291:BHO524292 BRK524291:BRK524292 CBG524291:CBG524292 CLC524291:CLC524292 CUY524291:CUY524292 DEU524291:DEU524292 DOQ524291:DOQ524292 DYM524291:DYM524292 EII524291:EII524292 ESE524291:ESE524292 FCA524291:FCA524292 FLW524291:FLW524292 FVS524291:FVS524292 GFO524291:GFO524292 GPK524291:GPK524292 GZG524291:GZG524292 HJC524291:HJC524292 HSY524291:HSY524292 ICU524291:ICU524292 IMQ524291:IMQ524292 IWM524291:IWM524292 JGI524291:JGI524292 JQE524291:JQE524292 KAA524291:KAA524292 KJW524291:KJW524292 KTS524291:KTS524292 LDO524291:LDO524292 LNK524291:LNK524292 LXG524291:LXG524292 MHC524291:MHC524292 MQY524291:MQY524292 NAU524291:NAU524292 NKQ524291:NKQ524292 NUM524291:NUM524292 OEI524291:OEI524292 OOE524291:OOE524292 OYA524291:OYA524292 PHW524291:PHW524292 PRS524291:PRS524292 QBO524291:QBO524292 QLK524291:QLK524292 QVG524291:QVG524292 RFC524291:RFC524292 ROY524291:ROY524292 RYU524291:RYU524292 SIQ524291:SIQ524292 SSM524291:SSM524292 TCI524291:TCI524292 TME524291:TME524292 TWA524291:TWA524292 UFW524291:UFW524292 UPS524291:UPS524292 UZO524291:UZO524292 VJK524291:VJK524292 VTG524291:VTG524292 WDC524291:WDC524292 WMY524291:WMY524292 WWU524291:WWU524292 AM589827:AM589828 KI589827:KI589828 UE589827:UE589828 AEA589827:AEA589828 ANW589827:ANW589828 AXS589827:AXS589828 BHO589827:BHO589828 BRK589827:BRK589828 CBG589827:CBG589828 CLC589827:CLC589828 CUY589827:CUY589828 DEU589827:DEU589828 DOQ589827:DOQ589828 DYM589827:DYM589828 EII589827:EII589828 ESE589827:ESE589828 FCA589827:FCA589828 FLW589827:FLW589828 FVS589827:FVS589828 GFO589827:GFO589828 GPK589827:GPK589828 GZG589827:GZG589828 HJC589827:HJC589828 HSY589827:HSY589828 ICU589827:ICU589828 IMQ589827:IMQ589828 IWM589827:IWM589828 JGI589827:JGI589828 JQE589827:JQE589828 KAA589827:KAA589828 KJW589827:KJW589828 KTS589827:KTS589828 LDO589827:LDO589828 LNK589827:LNK589828 LXG589827:LXG589828 MHC589827:MHC589828 MQY589827:MQY589828 NAU589827:NAU589828 NKQ589827:NKQ589828 NUM589827:NUM589828 OEI589827:OEI589828 OOE589827:OOE589828 OYA589827:OYA589828 PHW589827:PHW589828 PRS589827:PRS589828 QBO589827:QBO589828 QLK589827:QLK589828 QVG589827:QVG589828 RFC589827:RFC589828 ROY589827:ROY589828 RYU589827:RYU589828 SIQ589827:SIQ589828 SSM589827:SSM589828 TCI589827:TCI589828 TME589827:TME589828 TWA589827:TWA589828 UFW589827:UFW589828 UPS589827:UPS589828 UZO589827:UZO589828 VJK589827:VJK589828 VTG589827:VTG589828 WDC589827:WDC589828 WMY589827:WMY589828 WWU589827:WWU589828 AM655363:AM655364 KI655363:KI655364 UE655363:UE655364 AEA655363:AEA655364 ANW655363:ANW655364 AXS655363:AXS655364 BHO655363:BHO655364 BRK655363:BRK655364 CBG655363:CBG655364 CLC655363:CLC655364 CUY655363:CUY655364 DEU655363:DEU655364 DOQ655363:DOQ655364 DYM655363:DYM655364 EII655363:EII655364 ESE655363:ESE655364 FCA655363:FCA655364 FLW655363:FLW655364 FVS655363:FVS655364 GFO655363:GFO655364 GPK655363:GPK655364 GZG655363:GZG655364 HJC655363:HJC655364 HSY655363:HSY655364 ICU655363:ICU655364 IMQ655363:IMQ655364 IWM655363:IWM655364 JGI655363:JGI655364 JQE655363:JQE655364 KAA655363:KAA655364 KJW655363:KJW655364 KTS655363:KTS655364 LDO655363:LDO655364 LNK655363:LNK655364 LXG655363:LXG655364 MHC655363:MHC655364 MQY655363:MQY655364 NAU655363:NAU655364 NKQ655363:NKQ655364 NUM655363:NUM655364 OEI655363:OEI655364 OOE655363:OOE655364 OYA655363:OYA655364 PHW655363:PHW655364 PRS655363:PRS655364 QBO655363:QBO655364 QLK655363:QLK655364 QVG655363:QVG655364 RFC655363:RFC655364 ROY655363:ROY655364 RYU655363:RYU655364 SIQ655363:SIQ655364 SSM655363:SSM655364 TCI655363:TCI655364 TME655363:TME655364 TWA655363:TWA655364 UFW655363:UFW655364 UPS655363:UPS655364 UZO655363:UZO655364 VJK655363:VJK655364 VTG655363:VTG655364 WDC655363:WDC655364 WMY655363:WMY655364 WWU655363:WWU655364 AM720899:AM720900 KI720899:KI720900 UE720899:UE720900 AEA720899:AEA720900 ANW720899:ANW720900 AXS720899:AXS720900 BHO720899:BHO720900 BRK720899:BRK720900 CBG720899:CBG720900 CLC720899:CLC720900 CUY720899:CUY720900 DEU720899:DEU720900 DOQ720899:DOQ720900 DYM720899:DYM720900 EII720899:EII720900 ESE720899:ESE720900 FCA720899:FCA720900 FLW720899:FLW720900 FVS720899:FVS720900 GFO720899:GFO720900 GPK720899:GPK720900 GZG720899:GZG720900 HJC720899:HJC720900 HSY720899:HSY720900 ICU720899:ICU720900 IMQ720899:IMQ720900 IWM720899:IWM720900 JGI720899:JGI720900 JQE720899:JQE720900 KAA720899:KAA720900 KJW720899:KJW720900 KTS720899:KTS720900 LDO720899:LDO720900 LNK720899:LNK720900 LXG720899:LXG720900 MHC720899:MHC720900 MQY720899:MQY720900 NAU720899:NAU720900 NKQ720899:NKQ720900 NUM720899:NUM720900 OEI720899:OEI720900 OOE720899:OOE720900 OYA720899:OYA720900 PHW720899:PHW720900 PRS720899:PRS720900 QBO720899:QBO720900 QLK720899:QLK720900 QVG720899:QVG720900 RFC720899:RFC720900 ROY720899:ROY720900 RYU720899:RYU720900 SIQ720899:SIQ720900 SSM720899:SSM720900 TCI720899:TCI720900 TME720899:TME720900 TWA720899:TWA720900 UFW720899:UFW720900 UPS720899:UPS720900 UZO720899:UZO720900 VJK720899:VJK720900 VTG720899:VTG720900 WDC720899:WDC720900 WMY720899:WMY720900 WWU720899:WWU720900 AM786435:AM786436 KI786435:KI786436 UE786435:UE786436 AEA786435:AEA786436 ANW786435:ANW786436 AXS786435:AXS786436 BHO786435:BHO786436 BRK786435:BRK786436 CBG786435:CBG786436 CLC786435:CLC786436 CUY786435:CUY786436 DEU786435:DEU786436 DOQ786435:DOQ786436 DYM786435:DYM786436 EII786435:EII786436 ESE786435:ESE786436 FCA786435:FCA786436 FLW786435:FLW786436 FVS786435:FVS786436 GFO786435:GFO786436 GPK786435:GPK786436 GZG786435:GZG786436 HJC786435:HJC786436 HSY786435:HSY786436 ICU786435:ICU786436 IMQ786435:IMQ786436 IWM786435:IWM786436 JGI786435:JGI786436 JQE786435:JQE786436 KAA786435:KAA786436 KJW786435:KJW786436 KTS786435:KTS786436 LDO786435:LDO786436 LNK786435:LNK786436 LXG786435:LXG786436 MHC786435:MHC786436 MQY786435:MQY786436 NAU786435:NAU786436 NKQ786435:NKQ786436 NUM786435:NUM786436 OEI786435:OEI786436 OOE786435:OOE786436 OYA786435:OYA786436 PHW786435:PHW786436 PRS786435:PRS786436 QBO786435:QBO786436 QLK786435:QLK786436 QVG786435:QVG786436 RFC786435:RFC786436 ROY786435:ROY786436 RYU786435:RYU786436 SIQ786435:SIQ786436 SSM786435:SSM786436 TCI786435:TCI786436 TME786435:TME786436 TWA786435:TWA786436 UFW786435:UFW786436 UPS786435:UPS786436 UZO786435:UZO786436 VJK786435:VJK786436 VTG786435:VTG786436 WDC786435:WDC786436 WMY786435:WMY786436 WWU786435:WWU786436 AM851971:AM851972 KI851971:KI851972 UE851971:UE851972 AEA851971:AEA851972 ANW851971:ANW851972 AXS851971:AXS851972 BHO851971:BHO851972 BRK851971:BRK851972 CBG851971:CBG851972 CLC851971:CLC851972 CUY851971:CUY851972 DEU851971:DEU851972 DOQ851971:DOQ851972 DYM851971:DYM851972 EII851971:EII851972 ESE851971:ESE851972 FCA851971:FCA851972 FLW851971:FLW851972 FVS851971:FVS851972 GFO851971:GFO851972 GPK851971:GPK851972 GZG851971:GZG851972 HJC851971:HJC851972 HSY851971:HSY851972 ICU851971:ICU851972 IMQ851971:IMQ851972 IWM851971:IWM851972 JGI851971:JGI851972 JQE851971:JQE851972 KAA851971:KAA851972 KJW851971:KJW851972 KTS851971:KTS851972 LDO851971:LDO851972 LNK851971:LNK851972 LXG851971:LXG851972 MHC851971:MHC851972 MQY851971:MQY851972 NAU851971:NAU851972 NKQ851971:NKQ851972 NUM851971:NUM851972 OEI851971:OEI851972 OOE851971:OOE851972 OYA851971:OYA851972 PHW851971:PHW851972 PRS851971:PRS851972 QBO851971:QBO851972 QLK851971:QLK851972 QVG851971:QVG851972 RFC851971:RFC851972 ROY851971:ROY851972 RYU851971:RYU851972 SIQ851971:SIQ851972 SSM851971:SSM851972 TCI851971:TCI851972 TME851971:TME851972 TWA851971:TWA851972 UFW851971:UFW851972 UPS851971:UPS851972 UZO851971:UZO851972 VJK851971:VJK851972 VTG851971:VTG851972 WDC851971:WDC851972 WMY851971:WMY851972 WWU851971:WWU851972 AM917507:AM917508 KI917507:KI917508 UE917507:UE917508 AEA917507:AEA917508 ANW917507:ANW917508 AXS917507:AXS917508 BHO917507:BHO917508 BRK917507:BRK917508 CBG917507:CBG917508 CLC917507:CLC917508 CUY917507:CUY917508 DEU917507:DEU917508 DOQ917507:DOQ917508 DYM917507:DYM917508 EII917507:EII917508 ESE917507:ESE917508 FCA917507:FCA917508 FLW917507:FLW917508 FVS917507:FVS917508 GFO917507:GFO917508 GPK917507:GPK917508 GZG917507:GZG917508 HJC917507:HJC917508 HSY917507:HSY917508 ICU917507:ICU917508 IMQ917507:IMQ917508 IWM917507:IWM917508 JGI917507:JGI917508 JQE917507:JQE917508 KAA917507:KAA917508 KJW917507:KJW917508 KTS917507:KTS917508 LDO917507:LDO917508 LNK917507:LNK917508 LXG917507:LXG917508 MHC917507:MHC917508 MQY917507:MQY917508 NAU917507:NAU917508 NKQ917507:NKQ917508 NUM917507:NUM917508 OEI917507:OEI917508 OOE917507:OOE917508 OYA917507:OYA917508 PHW917507:PHW917508 PRS917507:PRS917508 QBO917507:QBO917508 QLK917507:QLK917508 QVG917507:QVG917508 RFC917507:RFC917508 ROY917507:ROY917508 RYU917507:RYU917508 SIQ917507:SIQ917508 SSM917507:SSM917508 TCI917507:TCI917508 TME917507:TME917508 TWA917507:TWA917508 UFW917507:UFW917508 UPS917507:UPS917508 UZO917507:UZO917508 VJK917507:VJK917508 VTG917507:VTG917508 WDC917507:WDC917508 WMY917507:WMY917508 WWU917507:WWU917508 AM983043:AM983044 KI983043:KI983044 UE983043:UE983044 AEA983043:AEA983044 ANW983043:ANW983044 AXS983043:AXS983044 BHO983043:BHO983044 BRK983043:BRK983044 CBG983043:CBG983044 CLC983043:CLC983044 CUY983043:CUY983044 DEU983043:DEU983044 DOQ983043:DOQ983044 DYM983043:DYM983044 EII983043:EII983044 ESE983043:ESE983044 FCA983043:FCA983044 FLW983043:FLW983044 FVS983043:FVS983044 GFO983043:GFO983044 GPK983043:GPK983044 GZG983043:GZG983044 HJC983043:HJC983044 HSY983043:HSY983044 ICU983043:ICU983044 IMQ983043:IMQ983044 IWM983043:IWM983044 JGI983043:JGI983044 JQE983043:JQE983044 KAA983043:KAA983044 KJW983043:KJW983044 KTS983043:KTS983044 LDO983043:LDO983044 LNK983043:LNK983044 LXG983043:LXG983044 MHC983043:MHC983044 MQY983043:MQY983044 NAU983043:NAU983044 NKQ983043:NKQ983044 NUM983043:NUM983044 OEI983043:OEI983044 OOE983043:OOE983044 OYA983043:OYA983044 PHW983043:PHW983044 PRS983043:PRS983044 QBO983043:QBO983044 QLK983043:QLK983044 QVG983043:QVG983044 RFC983043:RFC983044 ROY983043:ROY983044 RYU983043:RYU983044 SIQ983043:SIQ983044 SSM983043:SSM983044 TCI983043:TCI983044 TME983043:TME983044 TWA983043:TWA983044 UFW983043:UFW983044 UPS983043:UPS983044 UZO983043:UZO983044 VJK983043:VJK983044 VTG983043:VTG983044 WDC983043:WDC983044 WMY983043:WMY983044 WWU983043:WWU983044 AQ983043:AQ983044 KM983043:KM983044 UI983043:UI983044 AEE983043:AEE983044 AOA983043:AOA983044 AXW983043:AXW983044 BHS983043:BHS983044 BRO983043:BRO983044 CBK983043:CBK983044 CLG983043:CLG983044 CVC983043:CVC983044 DEY983043:DEY983044 DOU983043:DOU983044 DYQ983043:DYQ983044 EIM983043:EIM983044 ESI983043:ESI983044 FCE983043:FCE983044 FMA983043:FMA983044 FVW983043:FVW983044 GFS983043:GFS983044 GPO983043:GPO983044 GZK983043:GZK983044 HJG983043:HJG983044 HTC983043:HTC983044 ICY983043:ICY983044 IMU983043:IMU983044 IWQ983043:IWQ983044 JGM983043:JGM983044 JQI983043:JQI983044 KAE983043:KAE983044 KKA983043:KKA983044 KTW983043:KTW983044 LDS983043:LDS983044 LNO983043:LNO983044 LXK983043:LXK983044 MHG983043:MHG983044 MRC983043:MRC983044 NAY983043:NAY983044 NKU983043:NKU983044 NUQ983043:NUQ983044 OEM983043:OEM983044 OOI983043:OOI983044 OYE983043:OYE983044 PIA983043:PIA983044 PRW983043:PRW983044 QBS983043:QBS983044 QLO983043:QLO983044 QVK983043:QVK983044 RFG983043:RFG983044 RPC983043:RPC983044 RYY983043:RYY983044 SIU983043:SIU983044 SSQ983043:SSQ983044 TCM983043:TCM983044 TMI983043:TMI983044 TWE983043:TWE983044 UGA983043:UGA983044 UPW983043:UPW983044 UZS983043:UZS983044 VJO983043:VJO983044 VTK983043:VTK983044 WDG983043:WDG983044 WNC983043:WNC983044 WWY983043:WWY983044 AQ65539:AQ65540 KM65539:KM65540 UI65539:UI65540 AEE65539:AEE65540 AOA65539:AOA65540 AXW65539:AXW65540 BHS65539:BHS65540 BRO65539:BRO65540 CBK65539:CBK65540 CLG65539:CLG65540 CVC65539:CVC65540 DEY65539:DEY65540 DOU65539:DOU65540 DYQ65539:DYQ65540 EIM65539:EIM65540 ESI65539:ESI65540 FCE65539:FCE65540 FMA65539:FMA65540 FVW65539:FVW65540 GFS65539:GFS65540 GPO65539:GPO65540 GZK65539:GZK65540 HJG65539:HJG65540 HTC65539:HTC65540 ICY65539:ICY65540 IMU65539:IMU65540 IWQ65539:IWQ65540 JGM65539:JGM65540 JQI65539:JQI65540 KAE65539:KAE65540 KKA65539:KKA65540 KTW65539:KTW65540 LDS65539:LDS65540 LNO65539:LNO65540 LXK65539:LXK65540 MHG65539:MHG65540 MRC65539:MRC65540 NAY65539:NAY65540 NKU65539:NKU65540 NUQ65539:NUQ65540 OEM65539:OEM65540 OOI65539:OOI65540 OYE65539:OYE65540 PIA65539:PIA65540 PRW65539:PRW65540 QBS65539:QBS65540 QLO65539:QLO65540 QVK65539:QVK65540 RFG65539:RFG65540 RPC65539:RPC65540 RYY65539:RYY65540 SIU65539:SIU65540 SSQ65539:SSQ65540 TCM65539:TCM65540 TMI65539:TMI65540 TWE65539:TWE65540 UGA65539:UGA65540 UPW65539:UPW65540 UZS65539:UZS65540 VJO65539:VJO65540 VTK65539:VTK65540 WDG65539:WDG65540 WNC65539:WNC65540 WWY65539:WWY65540 AQ131075:AQ131076 KM131075:KM131076 UI131075:UI131076 AEE131075:AEE131076 AOA131075:AOA131076 AXW131075:AXW131076 BHS131075:BHS131076 BRO131075:BRO131076 CBK131075:CBK131076 CLG131075:CLG131076 CVC131075:CVC131076 DEY131075:DEY131076 DOU131075:DOU131076 DYQ131075:DYQ131076 EIM131075:EIM131076 ESI131075:ESI131076 FCE131075:FCE131076 FMA131075:FMA131076 FVW131075:FVW131076 GFS131075:GFS131076 GPO131075:GPO131076 GZK131075:GZK131076 HJG131075:HJG131076 HTC131075:HTC131076 ICY131075:ICY131076 IMU131075:IMU131076 IWQ131075:IWQ131076 JGM131075:JGM131076 JQI131075:JQI131076 KAE131075:KAE131076 KKA131075:KKA131076 KTW131075:KTW131076 LDS131075:LDS131076 LNO131075:LNO131076 LXK131075:LXK131076 MHG131075:MHG131076 MRC131075:MRC131076 NAY131075:NAY131076 NKU131075:NKU131076 NUQ131075:NUQ131076 OEM131075:OEM131076 OOI131075:OOI131076 OYE131075:OYE131076 PIA131075:PIA131076 PRW131075:PRW131076 QBS131075:QBS131076 QLO131075:QLO131076 QVK131075:QVK131076 RFG131075:RFG131076 RPC131075:RPC131076 RYY131075:RYY131076 SIU131075:SIU131076 SSQ131075:SSQ131076 TCM131075:TCM131076 TMI131075:TMI131076 TWE131075:TWE131076 UGA131075:UGA131076 UPW131075:UPW131076 UZS131075:UZS131076 VJO131075:VJO131076 VTK131075:VTK131076 WDG131075:WDG131076 WNC131075:WNC131076 WWY131075:WWY131076 AQ196611:AQ196612 KM196611:KM196612 UI196611:UI196612 AEE196611:AEE196612 AOA196611:AOA196612 AXW196611:AXW196612 BHS196611:BHS196612 BRO196611:BRO196612 CBK196611:CBK196612 CLG196611:CLG196612 CVC196611:CVC196612 DEY196611:DEY196612 DOU196611:DOU196612 DYQ196611:DYQ196612 EIM196611:EIM196612 ESI196611:ESI196612 FCE196611:FCE196612 FMA196611:FMA196612 FVW196611:FVW196612 GFS196611:GFS196612 GPO196611:GPO196612 GZK196611:GZK196612 HJG196611:HJG196612 HTC196611:HTC196612 ICY196611:ICY196612 IMU196611:IMU196612 IWQ196611:IWQ196612 JGM196611:JGM196612 JQI196611:JQI196612 KAE196611:KAE196612 KKA196611:KKA196612 KTW196611:KTW196612 LDS196611:LDS196612 LNO196611:LNO196612 LXK196611:LXK196612 MHG196611:MHG196612 MRC196611:MRC196612 NAY196611:NAY196612 NKU196611:NKU196612 NUQ196611:NUQ196612 OEM196611:OEM196612 OOI196611:OOI196612 OYE196611:OYE196612 PIA196611:PIA196612 PRW196611:PRW196612 QBS196611:QBS196612 QLO196611:QLO196612 QVK196611:QVK196612 RFG196611:RFG196612 RPC196611:RPC196612 RYY196611:RYY196612 SIU196611:SIU196612 SSQ196611:SSQ196612 TCM196611:TCM196612 TMI196611:TMI196612 TWE196611:TWE196612 UGA196611:UGA196612 UPW196611:UPW196612 UZS196611:UZS196612 VJO196611:VJO196612 VTK196611:VTK196612 WDG196611:WDG196612 WNC196611:WNC196612 WWY196611:WWY196612 AQ262147:AQ262148 KM262147:KM262148 UI262147:UI262148 AEE262147:AEE262148 AOA262147:AOA262148 AXW262147:AXW262148 BHS262147:BHS262148 BRO262147:BRO262148 CBK262147:CBK262148 CLG262147:CLG262148 CVC262147:CVC262148 DEY262147:DEY262148 DOU262147:DOU262148 DYQ262147:DYQ262148 EIM262147:EIM262148 ESI262147:ESI262148 FCE262147:FCE262148 FMA262147:FMA262148 FVW262147:FVW262148 GFS262147:GFS262148 GPO262147:GPO262148 GZK262147:GZK262148 HJG262147:HJG262148 HTC262147:HTC262148 ICY262147:ICY262148 IMU262147:IMU262148 IWQ262147:IWQ262148 JGM262147:JGM262148 JQI262147:JQI262148 KAE262147:KAE262148 KKA262147:KKA262148 KTW262147:KTW262148 LDS262147:LDS262148 LNO262147:LNO262148 LXK262147:LXK262148 MHG262147:MHG262148 MRC262147:MRC262148 NAY262147:NAY262148 NKU262147:NKU262148 NUQ262147:NUQ262148 OEM262147:OEM262148 OOI262147:OOI262148 OYE262147:OYE262148 PIA262147:PIA262148 PRW262147:PRW262148 QBS262147:QBS262148 QLO262147:QLO262148 QVK262147:QVK262148 RFG262147:RFG262148 RPC262147:RPC262148 RYY262147:RYY262148 SIU262147:SIU262148 SSQ262147:SSQ262148 TCM262147:TCM262148 TMI262147:TMI262148 TWE262147:TWE262148 UGA262147:UGA262148 UPW262147:UPW262148 UZS262147:UZS262148 VJO262147:VJO262148 VTK262147:VTK262148 WDG262147:WDG262148 WNC262147:WNC262148 WWY262147:WWY262148 AQ327683:AQ327684 KM327683:KM327684 UI327683:UI327684 AEE327683:AEE327684 AOA327683:AOA327684 AXW327683:AXW327684 BHS327683:BHS327684 BRO327683:BRO327684 CBK327683:CBK327684 CLG327683:CLG327684 CVC327683:CVC327684 DEY327683:DEY327684 DOU327683:DOU327684 DYQ327683:DYQ327684 EIM327683:EIM327684 ESI327683:ESI327684 FCE327683:FCE327684 FMA327683:FMA327684 FVW327683:FVW327684 GFS327683:GFS327684 GPO327683:GPO327684 GZK327683:GZK327684 HJG327683:HJG327684 HTC327683:HTC327684 ICY327683:ICY327684 IMU327683:IMU327684 IWQ327683:IWQ327684 JGM327683:JGM327684 JQI327683:JQI327684 KAE327683:KAE327684 KKA327683:KKA327684 KTW327683:KTW327684 LDS327683:LDS327684 LNO327683:LNO327684 LXK327683:LXK327684 MHG327683:MHG327684 MRC327683:MRC327684 NAY327683:NAY327684 NKU327683:NKU327684 NUQ327683:NUQ327684 OEM327683:OEM327684 OOI327683:OOI327684 OYE327683:OYE327684 PIA327683:PIA327684 PRW327683:PRW327684 QBS327683:QBS327684 QLO327683:QLO327684 QVK327683:QVK327684 RFG327683:RFG327684 RPC327683:RPC327684 RYY327683:RYY327684 SIU327683:SIU327684 SSQ327683:SSQ327684 TCM327683:TCM327684 TMI327683:TMI327684 TWE327683:TWE327684 UGA327683:UGA327684 UPW327683:UPW327684 UZS327683:UZS327684 VJO327683:VJO327684 VTK327683:VTK327684 WDG327683:WDG327684 WNC327683:WNC327684 WWY327683:WWY327684 AQ393219:AQ393220 KM393219:KM393220 UI393219:UI393220 AEE393219:AEE393220 AOA393219:AOA393220 AXW393219:AXW393220 BHS393219:BHS393220 BRO393219:BRO393220 CBK393219:CBK393220 CLG393219:CLG393220 CVC393219:CVC393220 DEY393219:DEY393220 DOU393219:DOU393220 DYQ393219:DYQ393220 EIM393219:EIM393220 ESI393219:ESI393220 FCE393219:FCE393220 FMA393219:FMA393220 FVW393219:FVW393220 GFS393219:GFS393220 GPO393219:GPO393220 GZK393219:GZK393220 HJG393219:HJG393220 HTC393219:HTC393220 ICY393219:ICY393220 IMU393219:IMU393220 IWQ393219:IWQ393220 JGM393219:JGM393220 JQI393219:JQI393220 KAE393219:KAE393220 KKA393219:KKA393220 KTW393219:KTW393220 LDS393219:LDS393220 LNO393219:LNO393220 LXK393219:LXK393220 MHG393219:MHG393220 MRC393219:MRC393220 NAY393219:NAY393220 NKU393219:NKU393220 NUQ393219:NUQ393220 OEM393219:OEM393220 OOI393219:OOI393220 OYE393219:OYE393220 PIA393219:PIA393220 PRW393219:PRW393220 QBS393219:QBS393220 QLO393219:QLO393220 QVK393219:QVK393220 RFG393219:RFG393220 RPC393219:RPC393220 RYY393219:RYY393220 SIU393219:SIU393220 SSQ393219:SSQ393220 TCM393219:TCM393220 TMI393219:TMI393220 TWE393219:TWE393220 UGA393219:UGA393220 UPW393219:UPW393220 UZS393219:UZS393220 VJO393219:VJO393220 VTK393219:VTK393220 WDG393219:WDG393220 WNC393219:WNC393220 WWY393219:WWY393220 AQ458755:AQ458756 KM458755:KM458756 UI458755:UI458756 AEE458755:AEE458756 AOA458755:AOA458756 AXW458755:AXW458756 BHS458755:BHS458756 BRO458755:BRO458756 CBK458755:CBK458756 CLG458755:CLG458756 CVC458755:CVC458756 DEY458755:DEY458756 DOU458755:DOU458756 DYQ458755:DYQ458756 EIM458755:EIM458756 ESI458755:ESI458756 FCE458755:FCE458756 FMA458755:FMA458756 FVW458755:FVW458756 GFS458755:GFS458756 GPO458755:GPO458756 GZK458755:GZK458756 HJG458755:HJG458756 HTC458755:HTC458756 ICY458755:ICY458756 IMU458755:IMU458756 IWQ458755:IWQ458756 JGM458755:JGM458756 JQI458755:JQI458756 KAE458755:KAE458756 KKA458755:KKA458756 KTW458755:KTW458756 LDS458755:LDS458756 LNO458755:LNO458756 LXK458755:LXK458756 MHG458755:MHG458756 MRC458755:MRC458756 NAY458755:NAY458756 NKU458755:NKU458756 NUQ458755:NUQ458756 OEM458755:OEM458756 OOI458755:OOI458756 OYE458755:OYE458756 PIA458755:PIA458756 PRW458755:PRW458756 QBS458755:QBS458756 QLO458755:QLO458756 QVK458755:QVK458756 RFG458755:RFG458756 RPC458755:RPC458756 RYY458755:RYY458756 SIU458755:SIU458756 SSQ458755:SSQ458756 TCM458755:TCM458756 TMI458755:TMI458756 TWE458755:TWE458756 UGA458755:UGA458756 UPW458755:UPW458756 UZS458755:UZS458756 VJO458755:VJO458756 VTK458755:VTK458756 WDG458755:WDG458756 WNC458755:WNC458756 WWY458755:WWY458756 AQ524291:AQ524292 KM524291:KM524292 UI524291:UI524292 AEE524291:AEE524292 AOA524291:AOA524292 AXW524291:AXW524292 BHS524291:BHS524292 BRO524291:BRO524292 CBK524291:CBK524292 CLG524291:CLG524292 CVC524291:CVC524292 DEY524291:DEY524292 DOU524291:DOU524292 DYQ524291:DYQ524292 EIM524291:EIM524292 ESI524291:ESI524292 FCE524291:FCE524292 FMA524291:FMA524292 FVW524291:FVW524292 GFS524291:GFS524292 GPO524291:GPO524292 GZK524291:GZK524292 HJG524291:HJG524292 HTC524291:HTC524292 ICY524291:ICY524292 IMU524291:IMU524292 IWQ524291:IWQ524292 JGM524291:JGM524292 JQI524291:JQI524292 KAE524291:KAE524292 KKA524291:KKA524292 KTW524291:KTW524292 LDS524291:LDS524292 LNO524291:LNO524292 LXK524291:LXK524292 MHG524291:MHG524292 MRC524291:MRC524292 NAY524291:NAY524292 NKU524291:NKU524292 NUQ524291:NUQ524292 OEM524291:OEM524292 OOI524291:OOI524292 OYE524291:OYE524292 PIA524291:PIA524292 PRW524291:PRW524292 QBS524291:QBS524292 QLO524291:QLO524292 QVK524291:QVK524292 RFG524291:RFG524292 RPC524291:RPC524292 RYY524291:RYY524292 SIU524291:SIU524292 SSQ524291:SSQ524292 TCM524291:TCM524292 TMI524291:TMI524292 TWE524291:TWE524292 UGA524291:UGA524292 UPW524291:UPW524292 UZS524291:UZS524292 VJO524291:VJO524292 VTK524291:VTK524292 WDG524291:WDG524292 WNC524291:WNC524292 WWY524291:WWY524292 AQ589827:AQ589828 KM589827:KM589828 UI589827:UI589828 AEE589827:AEE589828 AOA589827:AOA589828 AXW589827:AXW589828 BHS589827:BHS589828 BRO589827:BRO589828 CBK589827:CBK589828 CLG589827:CLG589828 CVC589827:CVC589828 DEY589827:DEY589828 DOU589827:DOU589828 DYQ589827:DYQ589828 EIM589827:EIM589828 ESI589827:ESI589828 FCE589827:FCE589828 FMA589827:FMA589828 FVW589827:FVW589828 GFS589827:GFS589828 GPO589827:GPO589828 GZK589827:GZK589828 HJG589827:HJG589828 HTC589827:HTC589828 ICY589827:ICY589828 IMU589827:IMU589828 IWQ589827:IWQ589828 JGM589827:JGM589828 JQI589827:JQI589828 KAE589827:KAE589828 KKA589827:KKA589828 KTW589827:KTW589828 LDS589827:LDS589828 LNO589827:LNO589828 LXK589827:LXK589828 MHG589827:MHG589828 MRC589827:MRC589828 NAY589827:NAY589828 NKU589827:NKU589828 NUQ589827:NUQ589828 OEM589827:OEM589828 OOI589827:OOI589828 OYE589827:OYE589828 PIA589827:PIA589828 PRW589827:PRW589828 QBS589827:QBS589828 QLO589827:QLO589828 QVK589827:QVK589828 RFG589827:RFG589828 RPC589827:RPC589828 RYY589827:RYY589828 SIU589827:SIU589828 SSQ589827:SSQ589828 TCM589827:TCM589828 TMI589827:TMI589828 TWE589827:TWE589828 UGA589827:UGA589828 UPW589827:UPW589828 UZS589827:UZS589828 VJO589827:VJO589828 VTK589827:VTK589828 WDG589827:WDG589828 WNC589827:WNC589828 WWY589827:WWY589828 AQ655363:AQ655364 KM655363:KM655364 UI655363:UI655364 AEE655363:AEE655364 AOA655363:AOA655364 AXW655363:AXW655364 BHS655363:BHS655364 BRO655363:BRO655364 CBK655363:CBK655364 CLG655363:CLG655364 CVC655363:CVC655364 DEY655363:DEY655364 DOU655363:DOU655364 DYQ655363:DYQ655364 EIM655363:EIM655364 ESI655363:ESI655364 FCE655363:FCE655364 FMA655363:FMA655364 FVW655363:FVW655364 GFS655363:GFS655364 GPO655363:GPO655364 GZK655363:GZK655364 HJG655363:HJG655364 HTC655363:HTC655364 ICY655363:ICY655364 IMU655363:IMU655364 IWQ655363:IWQ655364 JGM655363:JGM655364 JQI655363:JQI655364 KAE655363:KAE655364 KKA655363:KKA655364 KTW655363:KTW655364 LDS655363:LDS655364 LNO655363:LNO655364 LXK655363:LXK655364 MHG655363:MHG655364 MRC655363:MRC655364 NAY655363:NAY655364 NKU655363:NKU655364 NUQ655363:NUQ655364 OEM655363:OEM655364 OOI655363:OOI655364 OYE655363:OYE655364 PIA655363:PIA655364 PRW655363:PRW655364 QBS655363:QBS655364 QLO655363:QLO655364 QVK655363:QVK655364 RFG655363:RFG655364 RPC655363:RPC655364 RYY655363:RYY655364 SIU655363:SIU655364 SSQ655363:SSQ655364 TCM655363:TCM655364 TMI655363:TMI655364 TWE655363:TWE655364 UGA655363:UGA655364 UPW655363:UPW655364 UZS655363:UZS655364 VJO655363:VJO655364 VTK655363:VTK655364 WDG655363:WDG655364 WNC655363:WNC655364 WWY655363:WWY655364 AA3:AA4 JW3:JW4 TS3:TS4 ADO3:ADO4 ANK3:ANK4 AXG3:AXG4 BHC3:BHC4 BQY3:BQY4 CAU3:CAU4 CKQ3:CKQ4 CUM3:CUM4 DEI3:DEI4 DOE3:DOE4 DYA3:DYA4 EHW3:EHW4 ERS3:ERS4 FBO3:FBO4 FLK3:FLK4 FVG3:FVG4 GFC3:GFC4 GOY3:GOY4 GYU3:GYU4 HIQ3:HIQ4 HSM3:HSM4 ICI3:ICI4 IME3:IME4 IWA3:IWA4 JFW3:JFW4 JPS3:JPS4 JZO3:JZO4 KJK3:KJK4 KTG3:KTG4 LDC3:LDC4 LMY3:LMY4 LWU3:LWU4 MGQ3:MGQ4 MQM3:MQM4 NAI3:NAI4 NKE3:NKE4 NUA3:NUA4 ODW3:ODW4 ONS3:ONS4 OXO3:OXO4 PHK3:PHK4 PRG3:PRG4 QBC3:QBC4 QKY3:QKY4 QUU3:QUU4 REQ3:REQ4 ROM3:ROM4 RYI3:RYI4 SIE3:SIE4 SSA3:SSA4 TBW3:TBW4 TLS3:TLS4 TVO3:TVO4 UFK3:UFK4 UPG3:UPG4 UZC3:UZC4 VIY3:VIY4 VSU3:VSU4 WCQ3:WCQ4 WMM3:WMM4 WWI3:WWI4 AE3:AE4 KA3:KA4 TW3:TW4 ADS3:ADS4 ANO3:ANO4 AXK3:AXK4 BHG3:BHG4 BRC3:BRC4 CAY3:CAY4 CKU3:CKU4 CUQ3:CUQ4 DEM3:DEM4 DOI3:DOI4 DYE3:DYE4 EIA3:EIA4 ERW3:ERW4 FBS3:FBS4 FLO3:FLO4 FVK3:FVK4 GFG3:GFG4 GPC3:GPC4 GYY3:GYY4 HIU3:HIU4 HSQ3:HSQ4 ICM3:ICM4 IMI3:IMI4 IWE3:IWE4 JGA3:JGA4 JPW3:JPW4 JZS3:JZS4 KJO3:KJO4 KTK3:KTK4 LDG3:LDG4 LNC3:LNC4 LWY3:LWY4 MGU3:MGU4 MQQ3:MQQ4 NAM3:NAM4 NKI3:NKI4 NUE3:NUE4 OEA3:OEA4 ONW3:ONW4 OXS3:OXS4 PHO3:PHO4 PRK3:PRK4 QBG3:QBG4 QLC3:QLC4 QUY3:QUY4 REU3:REU4 ROQ3:ROQ4 RYM3:RYM4 SII3:SII4 SSE3:SSE4 TCA3:TCA4 TLW3:TLW4 TVS3:TVS4 UFO3:UFO4 UPK3:UPK4 UZG3:UZG4 VJC3:VJC4 VSY3:VSY4 WCU3:WCU4 WMQ3:WMQ4 WWM3:WWM4 AI3:AI4 KE3:KE4 UA3:UA4 ADW3:ADW4 ANS3:ANS4 AXO3:AXO4 BHK3:BHK4 BRG3:BRG4 CBC3:CBC4 CKY3:CKY4 CUU3:CUU4 DEQ3:DEQ4 DOM3:DOM4 DYI3:DYI4 EIE3:EIE4 ESA3:ESA4 FBW3:FBW4 FLS3:FLS4 FVO3:FVO4 GFK3:GFK4 GPG3:GPG4 GZC3:GZC4 HIY3:HIY4 HSU3:HSU4 ICQ3:ICQ4 IMM3:IMM4 IWI3:IWI4 JGE3:JGE4 JQA3:JQA4 JZW3:JZW4 KJS3:KJS4 KTO3:KTO4 LDK3:LDK4 LNG3:LNG4 LXC3:LXC4 MGY3:MGY4 MQU3:MQU4 NAQ3:NAQ4 NKM3:NKM4 NUI3:NUI4 OEE3:OEE4 OOA3:OOA4 OXW3:OXW4 PHS3:PHS4 PRO3:PRO4 QBK3:QBK4 QLG3:QLG4 QVC3:QVC4 REY3:REY4 ROU3:ROU4 RYQ3:RYQ4 SIM3:SIM4 SSI3:SSI4 TCE3:TCE4 TMA3:TMA4 TVW3:TVW4 UFS3:UFS4 UPO3:UPO4 UZK3:UZK4 VJG3:VJG4 VTC3:VTC4 WCY3:WCY4 WMU3:WMU4 WWQ3:WWQ4 AM3:AM4 KI3:KI4 UE3:UE4 AEA3:AEA4 ANW3:ANW4 AXS3:AXS4 BHO3:BHO4 BRK3:BRK4 CBG3:CBG4 CLC3:CLC4 CUY3:CUY4 DEU3:DEU4 DOQ3:DOQ4 DYM3:DYM4 EII3:EII4 ESE3:ESE4 FCA3:FCA4 FLW3:FLW4 FVS3:FVS4 GFO3:GFO4 GPK3:GPK4 GZG3:GZG4 HJC3:HJC4 HSY3:HSY4 ICU3:ICU4 IMQ3:IMQ4 IWM3:IWM4 JGI3:JGI4 JQE3:JQE4 KAA3:KAA4 KJW3:KJW4 KTS3:KTS4 LDO3:LDO4 LNK3:LNK4 LXG3:LXG4 MHC3:MHC4 MQY3:MQY4 NAU3:NAU4 NKQ3:NKQ4 NUM3:NUM4 OEI3:OEI4 OOE3:OOE4 OYA3:OYA4 PHW3:PHW4 PRS3:PRS4 QBO3:QBO4 QLK3:QLK4 QVG3:QVG4 RFC3:RFC4 ROY3:ROY4 RYU3:RYU4 SIQ3:SIQ4 SSM3:SSM4 TCI3:TCI4 TME3:TME4 TWA3:TWA4 UFW3:UFW4 UPS3:UPS4 UZO3:UZO4 VJK3:VJK4 VTG3:VTG4 WDC3:WDC4 WMY3:WMY4 WWU3:WWU4 AQ3:AQ4 KM3:KM4 UI3:UI4 AEE3:AEE4 AOA3:AOA4 AXW3:AXW4 BHS3:BHS4 BRO3:BRO4 CBK3:CBK4 CLG3:CLG4 CVC3:CVC4 DEY3:DEY4 DOU3:DOU4 DYQ3:DYQ4 EIM3:EIM4 ESI3:ESI4 FCE3:FCE4 FMA3:FMA4 FVW3:FVW4 GFS3:GFS4 GPO3:GPO4 GZK3:GZK4 HJG3:HJG4 HTC3:HTC4 ICY3:ICY4 IMU3:IMU4 IWQ3:IWQ4 JGM3:JGM4 JQI3:JQI4 KAE3:KAE4 KKA3:KKA4 KTW3:KTW4 LDS3:LDS4 LNO3:LNO4 LXK3:LXK4 MHG3:MHG4 MRC3:MRC4 NAY3:NAY4 NKU3:NKU4 NUQ3:NUQ4 OEM3:OEM4 OOI3:OOI4 OYE3:OYE4 PIA3:PIA4 PRW3:PRW4 QBS3:QBS4 QLO3:QLO4 QVK3:QVK4 RFG3:RFG4 RPC3:RPC4 RYY3:RYY4 SIU3:SIU4 SSQ3:SSQ4 TCM3:TCM4 TMI3:TMI4 TWE3:TWE4 UGA3:UGA4 UPW3:UPW4 UZS3:UZS4 VJO3:VJO4 VTK3:VTK4 WDG3:WDG4 WNC3:WNC4 WWY3:WWY4" xr:uid="{00000000-0002-0000-0600-000004000000}"/>
    <dataValidation allowBlank="1" showInputMessage="1" showErrorMessage="1" promptTitle="Warehouse ID" prompt="Enter the Warehouse ID matching a value used when Warehouses were setup in Order Stream._x000a__x000a_Reporting of inventory on a per warehouse basis is only necessary if you ship from multiple locations." sqref="AP720899:AP720900 KL720899:KL720900 UH720899:UH720900 AED720899:AED720900 ANZ720899:ANZ720900 AXV720899:AXV720900 BHR720899:BHR720900 BRN720899:BRN720900 CBJ720899:CBJ720900 CLF720899:CLF720900 CVB720899:CVB720900 DEX720899:DEX720900 DOT720899:DOT720900 DYP720899:DYP720900 EIL720899:EIL720900 ESH720899:ESH720900 FCD720899:FCD720900 FLZ720899:FLZ720900 FVV720899:FVV720900 GFR720899:GFR720900 GPN720899:GPN720900 GZJ720899:GZJ720900 HJF720899:HJF720900 HTB720899:HTB720900 ICX720899:ICX720900 IMT720899:IMT720900 IWP720899:IWP720900 JGL720899:JGL720900 JQH720899:JQH720900 KAD720899:KAD720900 KJZ720899:KJZ720900 KTV720899:KTV720900 LDR720899:LDR720900 LNN720899:LNN720900 LXJ720899:LXJ720900 MHF720899:MHF720900 MRB720899:MRB720900 NAX720899:NAX720900 NKT720899:NKT720900 NUP720899:NUP720900 OEL720899:OEL720900 OOH720899:OOH720900 OYD720899:OYD720900 PHZ720899:PHZ720900 PRV720899:PRV720900 QBR720899:QBR720900 QLN720899:QLN720900 QVJ720899:QVJ720900 RFF720899:RFF720900 RPB720899:RPB720900 RYX720899:RYX720900 SIT720899:SIT720900 SSP720899:SSP720900 TCL720899:TCL720900 TMH720899:TMH720900 TWD720899:TWD720900 UFZ720899:UFZ720900 UPV720899:UPV720900 UZR720899:UZR720900 VJN720899:VJN720900 VTJ720899:VTJ720900 WDF720899:WDF720900 WNB720899:WNB720900 WWX720899:WWX720900 Z65539:Z65540 JV65539:JV65540 TR65539:TR65540 ADN65539:ADN65540 ANJ65539:ANJ65540 AXF65539:AXF65540 BHB65539:BHB65540 BQX65539:BQX65540 CAT65539:CAT65540 CKP65539:CKP65540 CUL65539:CUL65540 DEH65539:DEH65540 DOD65539:DOD65540 DXZ65539:DXZ65540 EHV65539:EHV65540 ERR65539:ERR65540 FBN65539:FBN65540 FLJ65539:FLJ65540 FVF65539:FVF65540 GFB65539:GFB65540 GOX65539:GOX65540 GYT65539:GYT65540 HIP65539:HIP65540 HSL65539:HSL65540 ICH65539:ICH65540 IMD65539:IMD65540 IVZ65539:IVZ65540 JFV65539:JFV65540 JPR65539:JPR65540 JZN65539:JZN65540 KJJ65539:KJJ65540 KTF65539:KTF65540 LDB65539:LDB65540 LMX65539:LMX65540 LWT65539:LWT65540 MGP65539:MGP65540 MQL65539:MQL65540 NAH65539:NAH65540 NKD65539:NKD65540 NTZ65539:NTZ65540 ODV65539:ODV65540 ONR65539:ONR65540 OXN65539:OXN65540 PHJ65539:PHJ65540 PRF65539:PRF65540 QBB65539:QBB65540 QKX65539:QKX65540 QUT65539:QUT65540 REP65539:REP65540 ROL65539:ROL65540 RYH65539:RYH65540 SID65539:SID65540 SRZ65539:SRZ65540 TBV65539:TBV65540 TLR65539:TLR65540 TVN65539:TVN65540 UFJ65539:UFJ65540 UPF65539:UPF65540 UZB65539:UZB65540 VIX65539:VIX65540 VST65539:VST65540 WCP65539:WCP65540 WML65539:WML65540 WWH65539:WWH65540 Z131075:Z131076 JV131075:JV131076 TR131075:TR131076 ADN131075:ADN131076 ANJ131075:ANJ131076 AXF131075:AXF131076 BHB131075:BHB131076 BQX131075:BQX131076 CAT131075:CAT131076 CKP131075:CKP131076 CUL131075:CUL131076 DEH131075:DEH131076 DOD131075:DOD131076 DXZ131075:DXZ131076 EHV131075:EHV131076 ERR131075:ERR131076 FBN131075:FBN131076 FLJ131075:FLJ131076 FVF131075:FVF131076 GFB131075:GFB131076 GOX131075:GOX131076 GYT131075:GYT131076 HIP131075:HIP131076 HSL131075:HSL131076 ICH131075:ICH131076 IMD131075:IMD131076 IVZ131075:IVZ131076 JFV131075:JFV131076 JPR131075:JPR131076 JZN131075:JZN131076 KJJ131075:KJJ131076 KTF131075:KTF131076 LDB131075:LDB131076 LMX131075:LMX131076 LWT131075:LWT131076 MGP131075:MGP131076 MQL131075:MQL131076 NAH131075:NAH131076 NKD131075:NKD131076 NTZ131075:NTZ131076 ODV131075:ODV131076 ONR131075:ONR131076 OXN131075:OXN131076 PHJ131075:PHJ131076 PRF131075:PRF131076 QBB131075:QBB131076 QKX131075:QKX131076 QUT131075:QUT131076 REP131075:REP131076 ROL131075:ROL131076 RYH131075:RYH131076 SID131075:SID131076 SRZ131075:SRZ131076 TBV131075:TBV131076 TLR131075:TLR131076 TVN131075:TVN131076 UFJ131075:UFJ131076 UPF131075:UPF131076 UZB131075:UZB131076 VIX131075:VIX131076 VST131075:VST131076 WCP131075:WCP131076 WML131075:WML131076 WWH131075:WWH131076 Z196611:Z196612 JV196611:JV196612 TR196611:TR196612 ADN196611:ADN196612 ANJ196611:ANJ196612 AXF196611:AXF196612 BHB196611:BHB196612 BQX196611:BQX196612 CAT196611:CAT196612 CKP196611:CKP196612 CUL196611:CUL196612 DEH196611:DEH196612 DOD196611:DOD196612 DXZ196611:DXZ196612 EHV196611:EHV196612 ERR196611:ERR196612 FBN196611:FBN196612 FLJ196611:FLJ196612 FVF196611:FVF196612 GFB196611:GFB196612 GOX196611:GOX196612 GYT196611:GYT196612 HIP196611:HIP196612 HSL196611:HSL196612 ICH196611:ICH196612 IMD196611:IMD196612 IVZ196611:IVZ196612 JFV196611:JFV196612 JPR196611:JPR196612 JZN196611:JZN196612 KJJ196611:KJJ196612 KTF196611:KTF196612 LDB196611:LDB196612 LMX196611:LMX196612 LWT196611:LWT196612 MGP196611:MGP196612 MQL196611:MQL196612 NAH196611:NAH196612 NKD196611:NKD196612 NTZ196611:NTZ196612 ODV196611:ODV196612 ONR196611:ONR196612 OXN196611:OXN196612 PHJ196611:PHJ196612 PRF196611:PRF196612 QBB196611:QBB196612 QKX196611:QKX196612 QUT196611:QUT196612 REP196611:REP196612 ROL196611:ROL196612 RYH196611:RYH196612 SID196611:SID196612 SRZ196611:SRZ196612 TBV196611:TBV196612 TLR196611:TLR196612 TVN196611:TVN196612 UFJ196611:UFJ196612 UPF196611:UPF196612 UZB196611:UZB196612 VIX196611:VIX196612 VST196611:VST196612 WCP196611:WCP196612 WML196611:WML196612 WWH196611:WWH196612 Z262147:Z262148 JV262147:JV262148 TR262147:TR262148 ADN262147:ADN262148 ANJ262147:ANJ262148 AXF262147:AXF262148 BHB262147:BHB262148 BQX262147:BQX262148 CAT262147:CAT262148 CKP262147:CKP262148 CUL262147:CUL262148 DEH262147:DEH262148 DOD262147:DOD262148 DXZ262147:DXZ262148 EHV262147:EHV262148 ERR262147:ERR262148 FBN262147:FBN262148 FLJ262147:FLJ262148 FVF262147:FVF262148 GFB262147:GFB262148 GOX262147:GOX262148 GYT262147:GYT262148 HIP262147:HIP262148 HSL262147:HSL262148 ICH262147:ICH262148 IMD262147:IMD262148 IVZ262147:IVZ262148 JFV262147:JFV262148 JPR262147:JPR262148 JZN262147:JZN262148 KJJ262147:KJJ262148 KTF262147:KTF262148 LDB262147:LDB262148 LMX262147:LMX262148 LWT262147:LWT262148 MGP262147:MGP262148 MQL262147:MQL262148 NAH262147:NAH262148 NKD262147:NKD262148 NTZ262147:NTZ262148 ODV262147:ODV262148 ONR262147:ONR262148 OXN262147:OXN262148 PHJ262147:PHJ262148 PRF262147:PRF262148 QBB262147:QBB262148 QKX262147:QKX262148 QUT262147:QUT262148 REP262147:REP262148 ROL262147:ROL262148 RYH262147:RYH262148 SID262147:SID262148 SRZ262147:SRZ262148 TBV262147:TBV262148 TLR262147:TLR262148 TVN262147:TVN262148 UFJ262147:UFJ262148 UPF262147:UPF262148 UZB262147:UZB262148 VIX262147:VIX262148 VST262147:VST262148 WCP262147:WCP262148 WML262147:WML262148 WWH262147:WWH262148 Z327683:Z327684 JV327683:JV327684 TR327683:TR327684 ADN327683:ADN327684 ANJ327683:ANJ327684 AXF327683:AXF327684 BHB327683:BHB327684 BQX327683:BQX327684 CAT327683:CAT327684 CKP327683:CKP327684 CUL327683:CUL327684 DEH327683:DEH327684 DOD327683:DOD327684 DXZ327683:DXZ327684 EHV327683:EHV327684 ERR327683:ERR327684 FBN327683:FBN327684 FLJ327683:FLJ327684 FVF327683:FVF327684 GFB327683:GFB327684 GOX327683:GOX327684 GYT327683:GYT327684 HIP327683:HIP327684 HSL327683:HSL327684 ICH327683:ICH327684 IMD327683:IMD327684 IVZ327683:IVZ327684 JFV327683:JFV327684 JPR327683:JPR327684 JZN327683:JZN327684 KJJ327683:KJJ327684 KTF327683:KTF327684 LDB327683:LDB327684 LMX327683:LMX327684 LWT327683:LWT327684 MGP327683:MGP327684 MQL327683:MQL327684 NAH327683:NAH327684 NKD327683:NKD327684 NTZ327683:NTZ327684 ODV327683:ODV327684 ONR327683:ONR327684 OXN327683:OXN327684 PHJ327683:PHJ327684 PRF327683:PRF327684 QBB327683:QBB327684 QKX327683:QKX327684 QUT327683:QUT327684 REP327683:REP327684 ROL327683:ROL327684 RYH327683:RYH327684 SID327683:SID327684 SRZ327683:SRZ327684 TBV327683:TBV327684 TLR327683:TLR327684 TVN327683:TVN327684 UFJ327683:UFJ327684 UPF327683:UPF327684 UZB327683:UZB327684 VIX327683:VIX327684 VST327683:VST327684 WCP327683:WCP327684 WML327683:WML327684 WWH327683:WWH327684 Z393219:Z393220 JV393219:JV393220 TR393219:TR393220 ADN393219:ADN393220 ANJ393219:ANJ393220 AXF393219:AXF393220 BHB393219:BHB393220 BQX393219:BQX393220 CAT393219:CAT393220 CKP393219:CKP393220 CUL393219:CUL393220 DEH393219:DEH393220 DOD393219:DOD393220 DXZ393219:DXZ393220 EHV393219:EHV393220 ERR393219:ERR393220 FBN393219:FBN393220 FLJ393219:FLJ393220 FVF393219:FVF393220 GFB393219:GFB393220 GOX393219:GOX393220 GYT393219:GYT393220 HIP393219:HIP393220 HSL393219:HSL393220 ICH393219:ICH393220 IMD393219:IMD393220 IVZ393219:IVZ393220 JFV393219:JFV393220 JPR393219:JPR393220 JZN393219:JZN393220 KJJ393219:KJJ393220 KTF393219:KTF393220 LDB393219:LDB393220 LMX393219:LMX393220 LWT393219:LWT393220 MGP393219:MGP393220 MQL393219:MQL393220 NAH393219:NAH393220 NKD393219:NKD393220 NTZ393219:NTZ393220 ODV393219:ODV393220 ONR393219:ONR393220 OXN393219:OXN393220 PHJ393219:PHJ393220 PRF393219:PRF393220 QBB393219:QBB393220 QKX393219:QKX393220 QUT393219:QUT393220 REP393219:REP393220 ROL393219:ROL393220 RYH393219:RYH393220 SID393219:SID393220 SRZ393219:SRZ393220 TBV393219:TBV393220 TLR393219:TLR393220 TVN393219:TVN393220 UFJ393219:UFJ393220 UPF393219:UPF393220 UZB393219:UZB393220 VIX393219:VIX393220 VST393219:VST393220 WCP393219:WCP393220 WML393219:WML393220 WWH393219:WWH393220 Z458755:Z458756 JV458755:JV458756 TR458755:TR458756 ADN458755:ADN458756 ANJ458755:ANJ458756 AXF458755:AXF458756 BHB458755:BHB458756 BQX458755:BQX458756 CAT458755:CAT458756 CKP458755:CKP458756 CUL458755:CUL458756 DEH458755:DEH458756 DOD458755:DOD458756 DXZ458755:DXZ458756 EHV458755:EHV458756 ERR458755:ERR458756 FBN458755:FBN458756 FLJ458755:FLJ458756 FVF458755:FVF458756 GFB458755:GFB458756 GOX458755:GOX458756 GYT458755:GYT458756 HIP458755:HIP458756 HSL458755:HSL458756 ICH458755:ICH458756 IMD458755:IMD458756 IVZ458755:IVZ458756 JFV458755:JFV458756 JPR458755:JPR458756 JZN458755:JZN458756 KJJ458755:KJJ458756 KTF458755:KTF458756 LDB458755:LDB458756 LMX458755:LMX458756 LWT458755:LWT458756 MGP458755:MGP458756 MQL458755:MQL458756 NAH458755:NAH458756 NKD458755:NKD458756 NTZ458755:NTZ458756 ODV458755:ODV458756 ONR458755:ONR458756 OXN458755:OXN458756 PHJ458755:PHJ458756 PRF458755:PRF458756 QBB458755:QBB458756 QKX458755:QKX458756 QUT458755:QUT458756 REP458755:REP458756 ROL458755:ROL458756 RYH458755:RYH458756 SID458755:SID458756 SRZ458755:SRZ458756 TBV458755:TBV458756 TLR458755:TLR458756 TVN458755:TVN458756 UFJ458755:UFJ458756 UPF458755:UPF458756 UZB458755:UZB458756 VIX458755:VIX458756 VST458755:VST458756 WCP458755:WCP458756 WML458755:WML458756 WWH458755:WWH458756 Z524291:Z524292 JV524291:JV524292 TR524291:TR524292 ADN524291:ADN524292 ANJ524291:ANJ524292 AXF524291:AXF524292 BHB524291:BHB524292 BQX524291:BQX524292 CAT524291:CAT524292 CKP524291:CKP524292 CUL524291:CUL524292 DEH524291:DEH524292 DOD524291:DOD524292 DXZ524291:DXZ524292 EHV524291:EHV524292 ERR524291:ERR524292 FBN524291:FBN524292 FLJ524291:FLJ524292 FVF524291:FVF524292 GFB524291:GFB524292 GOX524291:GOX524292 GYT524291:GYT524292 HIP524291:HIP524292 HSL524291:HSL524292 ICH524291:ICH524292 IMD524291:IMD524292 IVZ524291:IVZ524292 JFV524291:JFV524292 JPR524291:JPR524292 JZN524291:JZN524292 KJJ524291:KJJ524292 KTF524291:KTF524292 LDB524291:LDB524292 LMX524291:LMX524292 LWT524291:LWT524292 MGP524291:MGP524292 MQL524291:MQL524292 NAH524291:NAH524292 NKD524291:NKD524292 NTZ524291:NTZ524292 ODV524291:ODV524292 ONR524291:ONR524292 OXN524291:OXN524292 PHJ524291:PHJ524292 PRF524291:PRF524292 QBB524291:QBB524292 QKX524291:QKX524292 QUT524291:QUT524292 REP524291:REP524292 ROL524291:ROL524292 RYH524291:RYH524292 SID524291:SID524292 SRZ524291:SRZ524292 TBV524291:TBV524292 TLR524291:TLR524292 TVN524291:TVN524292 UFJ524291:UFJ524292 UPF524291:UPF524292 UZB524291:UZB524292 VIX524291:VIX524292 VST524291:VST524292 WCP524291:WCP524292 WML524291:WML524292 WWH524291:WWH524292 Z589827:Z589828 JV589827:JV589828 TR589827:TR589828 ADN589827:ADN589828 ANJ589827:ANJ589828 AXF589827:AXF589828 BHB589827:BHB589828 BQX589827:BQX589828 CAT589827:CAT589828 CKP589827:CKP589828 CUL589827:CUL589828 DEH589827:DEH589828 DOD589827:DOD589828 DXZ589827:DXZ589828 EHV589827:EHV589828 ERR589827:ERR589828 FBN589827:FBN589828 FLJ589827:FLJ589828 FVF589827:FVF589828 GFB589827:GFB589828 GOX589827:GOX589828 GYT589827:GYT589828 HIP589827:HIP589828 HSL589827:HSL589828 ICH589827:ICH589828 IMD589827:IMD589828 IVZ589827:IVZ589828 JFV589827:JFV589828 JPR589827:JPR589828 JZN589827:JZN589828 KJJ589827:KJJ589828 KTF589827:KTF589828 LDB589827:LDB589828 LMX589827:LMX589828 LWT589827:LWT589828 MGP589827:MGP589828 MQL589827:MQL589828 NAH589827:NAH589828 NKD589827:NKD589828 NTZ589827:NTZ589828 ODV589827:ODV589828 ONR589827:ONR589828 OXN589827:OXN589828 PHJ589827:PHJ589828 PRF589827:PRF589828 QBB589827:QBB589828 QKX589827:QKX589828 QUT589827:QUT589828 REP589827:REP589828 ROL589827:ROL589828 RYH589827:RYH589828 SID589827:SID589828 SRZ589827:SRZ589828 TBV589827:TBV589828 TLR589827:TLR589828 TVN589827:TVN589828 UFJ589827:UFJ589828 UPF589827:UPF589828 UZB589827:UZB589828 VIX589827:VIX589828 VST589827:VST589828 WCP589827:WCP589828 WML589827:WML589828 WWH589827:WWH589828 Z655363:Z655364 JV655363:JV655364 TR655363:TR655364 ADN655363:ADN655364 ANJ655363:ANJ655364 AXF655363:AXF655364 BHB655363:BHB655364 BQX655363:BQX655364 CAT655363:CAT655364 CKP655363:CKP655364 CUL655363:CUL655364 DEH655363:DEH655364 DOD655363:DOD655364 DXZ655363:DXZ655364 EHV655363:EHV655364 ERR655363:ERR655364 FBN655363:FBN655364 FLJ655363:FLJ655364 FVF655363:FVF655364 GFB655363:GFB655364 GOX655363:GOX655364 GYT655363:GYT655364 HIP655363:HIP655364 HSL655363:HSL655364 ICH655363:ICH655364 IMD655363:IMD655364 IVZ655363:IVZ655364 JFV655363:JFV655364 JPR655363:JPR655364 JZN655363:JZN655364 KJJ655363:KJJ655364 KTF655363:KTF655364 LDB655363:LDB655364 LMX655363:LMX655364 LWT655363:LWT655364 MGP655363:MGP655364 MQL655363:MQL655364 NAH655363:NAH655364 NKD655363:NKD655364 NTZ655363:NTZ655364 ODV655363:ODV655364 ONR655363:ONR655364 OXN655363:OXN655364 PHJ655363:PHJ655364 PRF655363:PRF655364 QBB655363:QBB655364 QKX655363:QKX655364 QUT655363:QUT655364 REP655363:REP655364 ROL655363:ROL655364 RYH655363:RYH655364 SID655363:SID655364 SRZ655363:SRZ655364 TBV655363:TBV655364 TLR655363:TLR655364 TVN655363:TVN655364 UFJ655363:UFJ655364 UPF655363:UPF655364 UZB655363:UZB655364 VIX655363:VIX655364 VST655363:VST655364 WCP655363:WCP655364 WML655363:WML655364 WWH655363:WWH655364 Z720899:Z720900 JV720899:JV720900 TR720899:TR720900 ADN720899:ADN720900 ANJ720899:ANJ720900 AXF720899:AXF720900 BHB720899:BHB720900 BQX720899:BQX720900 CAT720899:CAT720900 CKP720899:CKP720900 CUL720899:CUL720900 DEH720899:DEH720900 DOD720899:DOD720900 DXZ720899:DXZ720900 EHV720899:EHV720900 ERR720899:ERR720900 FBN720899:FBN720900 FLJ720899:FLJ720900 FVF720899:FVF720900 GFB720899:GFB720900 GOX720899:GOX720900 GYT720899:GYT720900 HIP720899:HIP720900 HSL720899:HSL720900 ICH720899:ICH720900 IMD720899:IMD720900 IVZ720899:IVZ720900 JFV720899:JFV720900 JPR720899:JPR720900 JZN720899:JZN720900 KJJ720899:KJJ720900 KTF720899:KTF720900 LDB720899:LDB720900 LMX720899:LMX720900 LWT720899:LWT720900 MGP720899:MGP720900 MQL720899:MQL720900 NAH720899:NAH720900 NKD720899:NKD720900 NTZ720899:NTZ720900 ODV720899:ODV720900 ONR720899:ONR720900 OXN720899:OXN720900 PHJ720899:PHJ720900 PRF720899:PRF720900 QBB720899:QBB720900 QKX720899:QKX720900 QUT720899:QUT720900 REP720899:REP720900 ROL720899:ROL720900 RYH720899:RYH720900 SID720899:SID720900 SRZ720899:SRZ720900 TBV720899:TBV720900 TLR720899:TLR720900 TVN720899:TVN720900 UFJ720899:UFJ720900 UPF720899:UPF720900 UZB720899:UZB720900 VIX720899:VIX720900 VST720899:VST720900 WCP720899:WCP720900 WML720899:WML720900 WWH720899:WWH720900 Z786435:Z786436 JV786435:JV786436 TR786435:TR786436 ADN786435:ADN786436 ANJ786435:ANJ786436 AXF786435:AXF786436 BHB786435:BHB786436 BQX786435:BQX786436 CAT786435:CAT786436 CKP786435:CKP786436 CUL786435:CUL786436 DEH786435:DEH786436 DOD786435:DOD786436 DXZ786435:DXZ786436 EHV786435:EHV786436 ERR786435:ERR786436 FBN786435:FBN786436 FLJ786435:FLJ786436 FVF786435:FVF786436 GFB786435:GFB786436 GOX786435:GOX786436 GYT786435:GYT786436 HIP786435:HIP786436 HSL786435:HSL786436 ICH786435:ICH786436 IMD786435:IMD786436 IVZ786435:IVZ786436 JFV786435:JFV786436 JPR786435:JPR786436 JZN786435:JZN786436 KJJ786435:KJJ786436 KTF786435:KTF786436 LDB786435:LDB786436 LMX786435:LMX786436 LWT786435:LWT786436 MGP786435:MGP786436 MQL786435:MQL786436 NAH786435:NAH786436 NKD786435:NKD786436 NTZ786435:NTZ786436 ODV786435:ODV786436 ONR786435:ONR786436 OXN786435:OXN786436 PHJ786435:PHJ786436 PRF786435:PRF786436 QBB786435:QBB786436 QKX786435:QKX786436 QUT786435:QUT786436 REP786435:REP786436 ROL786435:ROL786436 RYH786435:RYH786436 SID786435:SID786436 SRZ786435:SRZ786436 TBV786435:TBV786436 TLR786435:TLR786436 TVN786435:TVN786436 UFJ786435:UFJ786436 UPF786435:UPF786436 UZB786435:UZB786436 VIX786435:VIX786436 VST786435:VST786436 WCP786435:WCP786436 WML786435:WML786436 WWH786435:WWH786436 Z851971:Z851972 JV851971:JV851972 TR851971:TR851972 ADN851971:ADN851972 ANJ851971:ANJ851972 AXF851971:AXF851972 BHB851971:BHB851972 BQX851971:BQX851972 CAT851971:CAT851972 CKP851971:CKP851972 CUL851971:CUL851972 DEH851971:DEH851972 DOD851971:DOD851972 DXZ851971:DXZ851972 EHV851971:EHV851972 ERR851971:ERR851972 FBN851971:FBN851972 FLJ851971:FLJ851972 FVF851971:FVF851972 GFB851971:GFB851972 GOX851971:GOX851972 GYT851971:GYT851972 HIP851971:HIP851972 HSL851971:HSL851972 ICH851971:ICH851972 IMD851971:IMD851972 IVZ851971:IVZ851972 JFV851971:JFV851972 JPR851971:JPR851972 JZN851971:JZN851972 KJJ851971:KJJ851972 KTF851971:KTF851972 LDB851971:LDB851972 LMX851971:LMX851972 LWT851971:LWT851972 MGP851971:MGP851972 MQL851971:MQL851972 NAH851971:NAH851972 NKD851971:NKD851972 NTZ851971:NTZ851972 ODV851971:ODV851972 ONR851971:ONR851972 OXN851971:OXN851972 PHJ851971:PHJ851972 PRF851971:PRF851972 QBB851971:QBB851972 QKX851971:QKX851972 QUT851971:QUT851972 REP851971:REP851972 ROL851971:ROL851972 RYH851971:RYH851972 SID851971:SID851972 SRZ851971:SRZ851972 TBV851971:TBV851972 TLR851971:TLR851972 TVN851971:TVN851972 UFJ851971:UFJ851972 UPF851971:UPF851972 UZB851971:UZB851972 VIX851971:VIX851972 VST851971:VST851972 WCP851971:WCP851972 WML851971:WML851972 WWH851971:WWH851972 Z917507:Z917508 JV917507:JV917508 TR917507:TR917508 ADN917507:ADN917508 ANJ917507:ANJ917508 AXF917507:AXF917508 BHB917507:BHB917508 BQX917507:BQX917508 CAT917507:CAT917508 CKP917507:CKP917508 CUL917507:CUL917508 DEH917507:DEH917508 DOD917507:DOD917508 DXZ917507:DXZ917508 EHV917507:EHV917508 ERR917507:ERR917508 FBN917507:FBN917508 FLJ917507:FLJ917508 FVF917507:FVF917508 GFB917507:GFB917508 GOX917507:GOX917508 GYT917507:GYT917508 HIP917507:HIP917508 HSL917507:HSL917508 ICH917507:ICH917508 IMD917507:IMD917508 IVZ917507:IVZ917508 JFV917507:JFV917508 JPR917507:JPR917508 JZN917507:JZN917508 KJJ917507:KJJ917508 KTF917507:KTF917508 LDB917507:LDB917508 LMX917507:LMX917508 LWT917507:LWT917508 MGP917507:MGP917508 MQL917507:MQL917508 NAH917507:NAH917508 NKD917507:NKD917508 NTZ917507:NTZ917508 ODV917507:ODV917508 ONR917507:ONR917508 OXN917507:OXN917508 PHJ917507:PHJ917508 PRF917507:PRF917508 QBB917507:QBB917508 QKX917507:QKX917508 QUT917507:QUT917508 REP917507:REP917508 ROL917507:ROL917508 RYH917507:RYH917508 SID917507:SID917508 SRZ917507:SRZ917508 TBV917507:TBV917508 TLR917507:TLR917508 TVN917507:TVN917508 UFJ917507:UFJ917508 UPF917507:UPF917508 UZB917507:UZB917508 VIX917507:VIX917508 VST917507:VST917508 WCP917507:WCP917508 WML917507:WML917508 WWH917507:WWH917508 Z983043:Z983044 JV983043:JV983044 TR983043:TR983044 ADN983043:ADN983044 ANJ983043:ANJ983044 AXF983043:AXF983044 BHB983043:BHB983044 BQX983043:BQX983044 CAT983043:CAT983044 CKP983043:CKP983044 CUL983043:CUL983044 DEH983043:DEH983044 DOD983043:DOD983044 DXZ983043:DXZ983044 EHV983043:EHV983044 ERR983043:ERR983044 FBN983043:FBN983044 FLJ983043:FLJ983044 FVF983043:FVF983044 GFB983043:GFB983044 GOX983043:GOX983044 GYT983043:GYT983044 HIP983043:HIP983044 HSL983043:HSL983044 ICH983043:ICH983044 IMD983043:IMD983044 IVZ983043:IVZ983044 JFV983043:JFV983044 JPR983043:JPR983044 JZN983043:JZN983044 KJJ983043:KJJ983044 KTF983043:KTF983044 LDB983043:LDB983044 LMX983043:LMX983044 LWT983043:LWT983044 MGP983043:MGP983044 MQL983043:MQL983044 NAH983043:NAH983044 NKD983043:NKD983044 NTZ983043:NTZ983044 ODV983043:ODV983044 ONR983043:ONR983044 OXN983043:OXN983044 PHJ983043:PHJ983044 PRF983043:PRF983044 QBB983043:QBB983044 QKX983043:QKX983044 QUT983043:QUT983044 REP983043:REP983044 ROL983043:ROL983044 RYH983043:RYH983044 SID983043:SID983044 SRZ983043:SRZ983044 TBV983043:TBV983044 TLR983043:TLR983044 TVN983043:TVN983044 UFJ983043:UFJ983044 UPF983043:UPF983044 UZB983043:UZB983044 VIX983043:VIX983044 VST983043:VST983044 WCP983043:WCP983044 WML983043:WML983044 WWH983043:WWH983044 AP786435:AP786436 KL786435:KL786436 UH786435:UH786436 AED786435:AED786436 ANZ786435:ANZ786436 AXV786435:AXV786436 BHR786435:BHR786436 BRN786435:BRN786436 CBJ786435:CBJ786436 CLF786435:CLF786436 CVB786435:CVB786436 DEX786435:DEX786436 DOT786435:DOT786436 DYP786435:DYP786436 EIL786435:EIL786436 ESH786435:ESH786436 FCD786435:FCD786436 FLZ786435:FLZ786436 FVV786435:FVV786436 GFR786435:GFR786436 GPN786435:GPN786436 GZJ786435:GZJ786436 HJF786435:HJF786436 HTB786435:HTB786436 ICX786435:ICX786436 IMT786435:IMT786436 IWP786435:IWP786436 JGL786435:JGL786436 JQH786435:JQH786436 KAD786435:KAD786436 KJZ786435:KJZ786436 KTV786435:KTV786436 LDR786435:LDR786436 LNN786435:LNN786436 LXJ786435:LXJ786436 MHF786435:MHF786436 MRB786435:MRB786436 NAX786435:NAX786436 NKT786435:NKT786436 NUP786435:NUP786436 OEL786435:OEL786436 OOH786435:OOH786436 OYD786435:OYD786436 PHZ786435:PHZ786436 PRV786435:PRV786436 QBR786435:QBR786436 QLN786435:QLN786436 QVJ786435:QVJ786436 RFF786435:RFF786436 RPB786435:RPB786436 RYX786435:RYX786436 SIT786435:SIT786436 SSP786435:SSP786436 TCL786435:TCL786436 TMH786435:TMH786436 TWD786435:TWD786436 UFZ786435:UFZ786436 UPV786435:UPV786436 UZR786435:UZR786436 VJN786435:VJN786436 VTJ786435:VTJ786436 WDF786435:WDF786436 WNB786435:WNB786436 WWX786435:WWX786436 AD65539:AD65540 JZ65539:JZ65540 TV65539:TV65540 ADR65539:ADR65540 ANN65539:ANN65540 AXJ65539:AXJ65540 BHF65539:BHF65540 BRB65539:BRB65540 CAX65539:CAX65540 CKT65539:CKT65540 CUP65539:CUP65540 DEL65539:DEL65540 DOH65539:DOH65540 DYD65539:DYD65540 EHZ65539:EHZ65540 ERV65539:ERV65540 FBR65539:FBR65540 FLN65539:FLN65540 FVJ65539:FVJ65540 GFF65539:GFF65540 GPB65539:GPB65540 GYX65539:GYX65540 HIT65539:HIT65540 HSP65539:HSP65540 ICL65539:ICL65540 IMH65539:IMH65540 IWD65539:IWD65540 JFZ65539:JFZ65540 JPV65539:JPV65540 JZR65539:JZR65540 KJN65539:KJN65540 KTJ65539:KTJ65540 LDF65539:LDF65540 LNB65539:LNB65540 LWX65539:LWX65540 MGT65539:MGT65540 MQP65539:MQP65540 NAL65539:NAL65540 NKH65539:NKH65540 NUD65539:NUD65540 ODZ65539:ODZ65540 ONV65539:ONV65540 OXR65539:OXR65540 PHN65539:PHN65540 PRJ65539:PRJ65540 QBF65539:QBF65540 QLB65539:QLB65540 QUX65539:QUX65540 RET65539:RET65540 ROP65539:ROP65540 RYL65539:RYL65540 SIH65539:SIH65540 SSD65539:SSD65540 TBZ65539:TBZ65540 TLV65539:TLV65540 TVR65539:TVR65540 UFN65539:UFN65540 UPJ65539:UPJ65540 UZF65539:UZF65540 VJB65539:VJB65540 VSX65539:VSX65540 WCT65539:WCT65540 WMP65539:WMP65540 WWL65539:WWL65540 AD131075:AD131076 JZ131075:JZ131076 TV131075:TV131076 ADR131075:ADR131076 ANN131075:ANN131076 AXJ131075:AXJ131076 BHF131075:BHF131076 BRB131075:BRB131076 CAX131075:CAX131076 CKT131075:CKT131076 CUP131075:CUP131076 DEL131075:DEL131076 DOH131075:DOH131076 DYD131075:DYD131076 EHZ131075:EHZ131076 ERV131075:ERV131076 FBR131075:FBR131076 FLN131075:FLN131076 FVJ131075:FVJ131076 GFF131075:GFF131076 GPB131075:GPB131076 GYX131075:GYX131076 HIT131075:HIT131076 HSP131075:HSP131076 ICL131075:ICL131076 IMH131075:IMH131076 IWD131075:IWD131076 JFZ131075:JFZ131076 JPV131075:JPV131076 JZR131075:JZR131076 KJN131075:KJN131076 KTJ131075:KTJ131076 LDF131075:LDF131076 LNB131075:LNB131076 LWX131075:LWX131076 MGT131075:MGT131076 MQP131075:MQP131076 NAL131075:NAL131076 NKH131075:NKH131076 NUD131075:NUD131076 ODZ131075:ODZ131076 ONV131075:ONV131076 OXR131075:OXR131076 PHN131075:PHN131076 PRJ131075:PRJ131076 QBF131075:QBF131076 QLB131075:QLB131076 QUX131075:QUX131076 RET131075:RET131076 ROP131075:ROP131076 RYL131075:RYL131076 SIH131075:SIH131076 SSD131075:SSD131076 TBZ131075:TBZ131076 TLV131075:TLV131076 TVR131075:TVR131076 UFN131075:UFN131076 UPJ131075:UPJ131076 UZF131075:UZF131076 VJB131075:VJB131076 VSX131075:VSX131076 WCT131075:WCT131076 WMP131075:WMP131076 WWL131075:WWL131076 AD196611:AD196612 JZ196611:JZ196612 TV196611:TV196612 ADR196611:ADR196612 ANN196611:ANN196612 AXJ196611:AXJ196612 BHF196611:BHF196612 BRB196611:BRB196612 CAX196611:CAX196612 CKT196611:CKT196612 CUP196611:CUP196612 DEL196611:DEL196612 DOH196611:DOH196612 DYD196611:DYD196612 EHZ196611:EHZ196612 ERV196611:ERV196612 FBR196611:FBR196612 FLN196611:FLN196612 FVJ196611:FVJ196612 GFF196611:GFF196612 GPB196611:GPB196612 GYX196611:GYX196612 HIT196611:HIT196612 HSP196611:HSP196612 ICL196611:ICL196612 IMH196611:IMH196612 IWD196611:IWD196612 JFZ196611:JFZ196612 JPV196611:JPV196612 JZR196611:JZR196612 KJN196611:KJN196612 KTJ196611:KTJ196612 LDF196611:LDF196612 LNB196611:LNB196612 LWX196611:LWX196612 MGT196611:MGT196612 MQP196611:MQP196612 NAL196611:NAL196612 NKH196611:NKH196612 NUD196611:NUD196612 ODZ196611:ODZ196612 ONV196611:ONV196612 OXR196611:OXR196612 PHN196611:PHN196612 PRJ196611:PRJ196612 QBF196611:QBF196612 QLB196611:QLB196612 QUX196611:QUX196612 RET196611:RET196612 ROP196611:ROP196612 RYL196611:RYL196612 SIH196611:SIH196612 SSD196611:SSD196612 TBZ196611:TBZ196612 TLV196611:TLV196612 TVR196611:TVR196612 UFN196611:UFN196612 UPJ196611:UPJ196612 UZF196611:UZF196612 VJB196611:VJB196612 VSX196611:VSX196612 WCT196611:WCT196612 WMP196611:WMP196612 WWL196611:WWL196612 AD262147:AD262148 JZ262147:JZ262148 TV262147:TV262148 ADR262147:ADR262148 ANN262147:ANN262148 AXJ262147:AXJ262148 BHF262147:BHF262148 BRB262147:BRB262148 CAX262147:CAX262148 CKT262147:CKT262148 CUP262147:CUP262148 DEL262147:DEL262148 DOH262147:DOH262148 DYD262147:DYD262148 EHZ262147:EHZ262148 ERV262147:ERV262148 FBR262147:FBR262148 FLN262147:FLN262148 FVJ262147:FVJ262148 GFF262147:GFF262148 GPB262147:GPB262148 GYX262147:GYX262148 HIT262147:HIT262148 HSP262147:HSP262148 ICL262147:ICL262148 IMH262147:IMH262148 IWD262147:IWD262148 JFZ262147:JFZ262148 JPV262147:JPV262148 JZR262147:JZR262148 KJN262147:KJN262148 KTJ262147:KTJ262148 LDF262147:LDF262148 LNB262147:LNB262148 LWX262147:LWX262148 MGT262147:MGT262148 MQP262147:MQP262148 NAL262147:NAL262148 NKH262147:NKH262148 NUD262147:NUD262148 ODZ262147:ODZ262148 ONV262147:ONV262148 OXR262147:OXR262148 PHN262147:PHN262148 PRJ262147:PRJ262148 QBF262147:QBF262148 QLB262147:QLB262148 QUX262147:QUX262148 RET262147:RET262148 ROP262147:ROP262148 RYL262147:RYL262148 SIH262147:SIH262148 SSD262147:SSD262148 TBZ262147:TBZ262148 TLV262147:TLV262148 TVR262147:TVR262148 UFN262147:UFN262148 UPJ262147:UPJ262148 UZF262147:UZF262148 VJB262147:VJB262148 VSX262147:VSX262148 WCT262147:WCT262148 WMP262147:WMP262148 WWL262147:WWL262148 AD327683:AD327684 JZ327683:JZ327684 TV327683:TV327684 ADR327683:ADR327684 ANN327683:ANN327684 AXJ327683:AXJ327684 BHF327683:BHF327684 BRB327683:BRB327684 CAX327683:CAX327684 CKT327683:CKT327684 CUP327683:CUP327684 DEL327683:DEL327684 DOH327683:DOH327684 DYD327683:DYD327684 EHZ327683:EHZ327684 ERV327683:ERV327684 FBR327683:FBR327684 FLN327683:FLN327684 FVJ327683:FVJ327684 GFF327683:GFF327684 GPB327683:GPB327684 GYX327683:GYX327684 HIT327683:HIT327684 HSP327683:HSP327684 ICL327683:ICL327684 IMH327683:IMH327684 IWD327683:IWD327684 JFZ327683:JFZ327684 JPV327683:JPV327684 JZR327683:JZR327684 KJN327683:KJN327684 KTJ327683:KTJ327684 LDF327683:LDF327684 LNB327683:LNB327684 LWX327683:LWX327684 MGT327683:MGT327684 MQP327683:MQP327684 NAL327683:NAL327684 NKH327683:NKH327684 NUD327683:NUD327684 ODZ327683:ODZ327684 ONV327683:ONV327684 OXR327683:OXR327684 PHN327683:PHN327684 PRJ327683:PRJ327684 QBF327683:QBF327684 QLB327683:QLB327684 QUX327683:QUX327684 RET327683:RET327684 ROP327683:ROP327684 RYL327683:RYL327684 SIH327683:SIH327684 SSD327683:SSD327684 TBZ327683:TBZ327684 TLV327683:TLV327684 TVR327683:TVR327684 UFN327683:UFN327684 UPJ327683:UPJ327684 UZF327683:UZF327684 VJB327683:VJB327684 VSX327683:VSX327684 WCT327683:WCT327684 WMP327683:WMP327684 WWL327683:WWL327684 AD393219:AD393220 JZ393219:JZ393220 TV393219:TV393220 ADR393219:ADR393220 ANN393219:ANN393220 AXJ393219:AXJ393220 BHF393219:BHF393220 BRB393219:BRB393220 CAX393219:CAX393220 CKT393219:CKT393220 CUP393219:CUP393220 DEL393219:DEL393220 DOH393219:DOH393220 DYD393219:DYD393220 EHZ393219:EHZ393220 ERV393219:ERV393220 FBR393219:FBR393220 FLN393219:FLN393220 FVJ393219:FVJ393220 GFF393219:GFF393220 GPB393219:GPB393220 GYX393219:GYX393220 HIT393219:HIT393220 HSP393219:HSP393220 ICL393219:ICL393220 IMH393219:IMH393220 IWD393219:IWD393220 JFZ393219:JFZ393220 JPV393219:JPV393220 JZR393219:JZR393220 KJN393219:KJN393220 KTJ393219:KTJ393220 LDF393219:LDF393220 LNB393219:LNB393220 LWX393219:LWX393220 MGT393219:MGT393220 MQP393219:MQP393220 NAL393219:NAL393220 NKH393219:NKH393220 NUD393219:NUD393220 ODZ393219:ODZ393220 ONV393219:ONV393220 OXR393219:OXR393220 PHN393219:PHN393220 PRJ393219:PRJ393220 QBF393219:QBF393220 QLB393219:QLB393220 QUX393219:QUX393220 RET393219:RET393220 ROP393219:ROP393220 RYL393219:RYL393220 SIH393219:SIH393220 SSD393219:SSD393220 TBZ393219:TBZ393220 TLV393219:TLV393220 TVR393219:TVR393220 UFN393219:UFN393220 UPJ393219:UPJ393220 UZF393219:UZF393220 VJB393219:VJB393220 VSX393219:VSX393220 WCT393219:WCT393220 WMP393219:WMP393220 WWL393219:WWL393220 AD458755:AD458756 JZ458755:JZ458756 TV458755:TV458756 ADR458755:ADR458756 ANN458755:ANN458756 AXJ458755:AXJ458756 BHF458755:BHF458756 BRB458755:BRB458756 CAX458755:CAX458756 CKT458755:CKT458756 CUP458755:CUP458756 DEL458755:DEL458756 DOH458755:DOH458756 DYD458755:DYD458756 EHZ458755:EHZ458756 ERV458755:ERV458756 FBR458755:FBR458756 FLN458755:FLN458756 FVJ458755:FVJ458756 GFF458755:GFF458756 GPB458755:GPB458756 GYX458755:GYX458756 HIT458755:HIT458756 HSP458755:HSP458756 ICL458755:ICL458756 IMH458755:IMH458756 IWD458755:IWD458756 JFZ458755:JFZ458756 JPV458755:JPV458756 JZR458755:JZR458756 KJN458755:KJN458756 KTJ458755:KTJ458756 LDF458755:LDF458756 LNB458755:LNB458756 LWX458755:LWX458756 MGT458755:MGT458756 MQP458755:MQP458756 NAL458755:NAL458756 NKH458755:NKH458756 NUD458755:NUD458756 ODZ458755:ODZ458756 ONV458755:ONV458756 OXR458755:OXR458756 PHN458755:PHN458756 PRJ458755:PRJ458756 QBF458755:QBF458756 QLB458755:QLB458756 QUX458755:QUX458756 RET458755:RET458756 ROP458755:ROP458756 RYL458755:RYL458756 SIH458755:SIH458756 SSD458755:SSD458756 TBZ458755:TBZ458756 TLV458755:TLV458756 TVR458755:TVR458756 UFN458755:UFN458756 UPJ458755:UPJ458756 UZF458755:UZF458756 VJB458755:VJB458756 VSX458755:VSX458756 WCT458755:WCT458756 WMP458755:WMP458756 WWL458755:WWL458756 AD524291:AD524292 JZ524291:JZ524292 TV524291:TV524292 ADR524291:ADR524292 ANN524291:ANN524292 AXJ524291:AXJ524292 BHF524291:BHF524292 BRB524291:BRB524292 CAX524291:CAX524292 CKT524291:CKT524292 CUP524291:CUP524292 DEL524291:DEL524292 DOH524291:DOH524292 DYD524291:DYD524292 EHZ524291:EHZ524292 ERV524291:ERV524292 FBR524291:FBR524292 FLN524291:FLN524292 FVJ524291:FVJ524292 GFF524291:GFF524292 GPB524291:GPB524292 GYX524291:GYX524292 HIT524291:HIT524292 HSP524291:HSP524292 ICL524291:ICL524292 IMH524291:IMH524292 IWD524291:IWD524292 JFZ524291:JFZ524292 JPV524291:JPV524292 JZR524291:JZR524292 KJN524291:KJN524292 KTJ524291:KTJ524292 LDF524291:LDF524292 LNB524291:LNB524292 LWX524291:LWX524292 MGT524291:MGT524292 MQP524291:MQP524292 NAL524291:NAL524292 NKH524291:NKH524292 NUD524291:NUD524292 ODZ524291:ODZ524292 ONV524291:ONV524292 OXR524291:OXR524292 PHN524291:PHN524292 PRJ524291:PRJ524292 QBF524291:QBF524292 QLB524291:QLB524292 QUX524291:QUX524292 RET524291:RET524292 ROP524291:ROP524292 RYL524291:RYL524292 SIH524291:SIH524292 SSD524291:SSD524292 TBZ524291:TBZ524292 TLV524291:TLV524292 TVR524291:TVR524292 UFN524291:UFN524292 UPJ524291:UPJ524292 UZF524291:UZF524292 VJB524291:VJB524292 VSX524291:VSX524292 WCT524291:WCT524292 WMP524291:WMP524292 WWL524291:WWL524292 AD589827:AD589828 JZ589827:JZ589828 TV589827:TV589828 ADR589827:ADR589828 ANN589827:ANN589828 AXJ589827:AXJ589828 BHF589827:BHF589828 BRB589827:BRB589828 CAX589827:CAX589828 CKT589827:CKT589828 CUP589827:CUP589828 DEL589827:DEL589828 DOH589827:DOH589828 DYD589827:DYD589828 EHZ589827:EHZ589828 ERV589827:ERV589828 FBR589827:FBR589828 FLN589827:FLN589828 FVJ589827:FVJ589828 GFF589827:GFF589828 GPB589827:GPB589828 GYX589827:GYX589828 HIT589827:HIT589828 HSP589827:HSP589828 ICL589827:ICL589828 IMH589827:IMH589828 IWD589827:IWD589828 JFZ589827:JFZ589828 JPV589827:JPV589828 JZR589827:JZR589828 KJN589827:KJN589828 KTJ589827:KTJ589828 LDF589827:LDF589828 LNB589827:LNB589828 LWX589827:LWX589828 MGT589827:MGT589828 MQP589827:MQP589828 NAL589827:NAL589828 NKH589827:NKH589828 NUD589827:NUD589828 ODZ589827:ODZ589828 ONV589827:ONV589828 OXR589827:OXR589828 PHN589827:PHN589828 PRJ589827:PRJ589828 QBF589827:QBF589828 QLB589827:QLB589828 QUX589827:QUX589828 RET589827:RET589828 ROP589827:ROP589828 RYL589827:RYL589828 SIH589827:SIH589828 SSD589827:SSD589828 TBZ589827:TBZ589828 TLV589827:TLV589828 TVR589827:TVR589828 UFN589827:UFN589828 UPJ589827:UPJ589828 UZF589827:UZF589828 VJB589827:VJB589828 VSX589827:VSX589828 WCT589827:WCT589828 WMP589827:WMP589828 WWL589827:WWL589828 AD655363:AD655364 JZ655363:JZ655364 TV655363:TV655364 ADR655363:ADR655364 ANN655363:ANN655364 AXJ655363:AXJ655364 BHF655363:BHF655364 BRB655363:BRB655364 CAX655363:CAX655364 CKT655363:CKT655364 CUP655363:CUP655364 DEL655363:DEL655364 DOH655363:DOH655364 DYD655363:DYD655364 EHZ655363:EHZ655364 ERV655363:ERV655364 FBR655363:FBR655364 FLN655363:FLN655364 FVJ655363:FVJ655364 GFF655363:GFF655364 GPB655363:GPB655364 GYX655363:GYX655364 HIT655363:HIT655364 HSP655363:HSP655364 ICL655363:ICL655364 IMH655363:IMH655364 IWD655363:IWD655364 JFZ655363:JFZ655364 JPV655363:JPV655364 JZR655363:JZR655364 KJN655363:KJN655364 KTJ655363:KTJ655364 LDF655363:LDF655364 LNB655363:LNB655364 LWX655363:LWX655364 MGT655363:MGT655364 MQP655363:MQP655364 NAL655363:NAL655364 NKH655363:NKH655364 NUD655363:NUD655364 ODZ655363:ODZ655364 ONV655363:ONV655364 OXR655363:OXR655364 PHN655363:PHN655364 PRJ655363:PRJ655364 QBF655363:QBF655364 QLB655363:QLB655364 QUX655363:QUX655364 RET655363:RET655364 ROP655363:ROP655364 RYL655363:RYL655364 SIH655363:SIH655364 SSD655363:SSD655364 TBZ655363:TBZ655364 TLV655363:TLV655364 TVR655363:TVR655364 UFN655363:UFN655364 UPJ655363:UPJ655364 UZF655363:UZF655364 VJB655363:VJB655364 VSX655363:VSX655364 WCT655363:WCT655364 WMP655363:WMP655364 WWL655363:WWL655364 AD720899:AD720900 JZ720899:JZ720900 TV720899:TV720900 ADR720899:ADR720900 ANN720899:ANN720900 AXJ720899:AXJ720900 BHF720899:BHF720900 BRB720899:BRB720900 CAX720899:CAX720900 CKT720899:CKT720900 CUP720899:CUP720900 DEL720899:DEL720900 DOH720899:DOH720900 DYD720899:DYD720900 EHZ720899:EHZ720900 ERV720899:ERV720900 FBR720899:FBR720900 FLN720899:FLN720900 FVJ720899:FVJ720900 GFF720899:GFF720900 GPB720899:GPB720900 GYX720899:GYX720900 HIT720899:HIT720900 HSP720899:HSP720900 ICL720899:ICL720900 IMH720899:IMH720900 IWD720899:IWD720900 JFZ720899:JFZ720900 JPV720899:JPV720900 JZR720899:JZR720900 KJN720899:KJN720900 KTJ720899:KTJ720900 LDF720899:LDF720900 LNB720899:LNB720900 LWX720899:LWX720900 MGT720899:MGT720900 MQP720899:MQP720900 NAL720899:NAL720900 NKH720899:NKH720900 NUD720899:NUD720900 ODZ720899:ODZ720900 ONV720899:ONV720900 OXR720899:OXR720900 PHN720899:PHN720900 PRJ720899:PRJ720900 QBF720899:QBF720900 QLB720899:QLB720900 QUX720899:QUX720900 RET720899:RET720900 ROP720899:ROP720900 RYL720899:RYL720900 SIH720899:SIH720900 SSD720899:SSD720900 TBZ720899:TBZ720900 TLV720899:TLV720900 TVR720899:TVR720900 UFN720899:UFN720900 UPJ720899:UPJ720900 UZF720899:UZF720900 VJB720899:VJB720900 VSX720899:VSX720900 WCT720899:WCT720900 WMP720899:WMP720900 WWL720899:WWL720900 AD786435:AD786436 JZ786435:JZ786436 TV786435:TV786436 ADR786435:ADR786436 ANN786435:ANN786436 AXJ786435:AXJ786436 BHF786435:BHF786436 BRB786435:BRB786436 CAX786435:CAX786436 CKT786435:CKT786436 CUP786435:CUP786436 DEL786435:DEL786436 DOH786435:DOH786436 DYD786435:DYD786436 EHZ786435:EHZ786436 ERV786435:ERV786436 FBR786435:FBR786436 FLN786435:FLN786436 FVJ786435:FVJ786436 GFF786435:GFF786436 GPB786435:GPB786436 GYX786435:GYX786436 HIT786435:HIT786436 HSP786435:HSP786436 ICL786435:ICL786436 IMH786435:IMH786436 IWD786435:IWD786436 JFZ786435:JFZ786436 JPV786435:JPV786436 JZR786435:JZR786436 KJN786435:KJN786436 KTJ786435:KTJ786436 LDF786435:LDF786436 LNB786435:LNB786436 LWX786435:LWX786436 MGT786435:MGT786436 MQP786435:MQP786436 NAL786435:NAL786436 NKH786435:NKH786436 NUD786435:NUD786436 ODZ786435:ODZ786436 ONV786435:ONV786436 OXR786435:OXR786436 PHN786435:PHN786436 PRJ786435:PRJ786436 QBF786435:QBF786436 QLB786435:QLB786436 QUX786435:QUX786436 RET786435:RET786436 ROP786435:ROP786436 RYL786435:RYL786436 SIH786435:SIH786436 SSD786435:SSD786436 TBZ786435:TBZ786436 TLV786435:TLV786436 TVR786435:TVR786436 UFN786435:UFN786436 UPJ786435:UPJ786436 UZF786435:UZF786436 VJB786435:VJB786436 VSX786435:VSX786436 WCT786435:WCT786436 WMP786435:WMP786436 WWL786435:WWL786436 AD851971:AD851972 JZ851971:JZ851972 TV851971:TV851972 ADR851971:ADR851972 ANN851971:ANN851972 AXJ851971:AXJ851972 BHF851971:BHF851972 BRB851971:BRB851972 CAX851971:CAX851972 CKT851971:CKT851972 CUP851971:CUP851972 DEL851971:DEL851972 DOH851971:DOH851972 DYD851971:DYD851972 EHZ851971:EHZ851972 ERV851971:ERV851972 FBR851971:FBR851972 FLN851971:FLN851972 FVJ851971:FVJ851972 GFF851971:GFF851972 GPB851971:GPB851972 GYX851971:GYX851972 HIT851971:HIT851972 HSP851971:HSP851972 ICL851971:ICL851972 IMH851971:IMH851972 IWD851971:IWD851972 JFZ851971:JFZ851972 JPV851971:JPV851972 JZR851971:JZR851972 KJN851971:KJN851972 KTJ851971:KTJ851972 LDF851971:LDF851972 LNB851971:LNB851972 LWX851971:LWX851972 MGT851971:MGT851972 MQP851971:MQP851972 NAL851971:NAL851972 NKH851971:NKH851972 NUD851971:NUD851972 ODZ851971:ODZ851972 ONV851971:ONV851972 OXR851971:OXR851972 PHN851971:PHN851972 PRJ851971:PRJ851972 QBF851971:QBF851972 QLB851971:QLB851972 QUX851971:QUX851972 RET851971:RET851972 ROP851971:ROP851972 RYL851971:RYL851972 SIH851971:SIH851972 SSD851971:SSD851972 TBZ851971:TBZ851972 TLV851971:TLV851972 TVR851971:TVR851972 UFN851971:UFN851972 UPJ851971:UPJ851972 UZF851971:UZF851972 VJB851971:VJB851972 VSX851971:VSX851972 WCT851971:WCT851972 WMP851971:WMP851972 WWL851971:WWL851972 AD917507:AD917508 JZ917507:JZ917508 TV917507:TV917508 ADR917507:ADR917508 ANN917507:ANN917508 AXJ917507:AXJ917508 BHF917507:BHF917508 BRB917507:BRB917508 CAX917507:CAX917508 CKT917507:CKT917508 CUP917507:CUP917508 DEL917507:DEL917508 DOH917507:DOH917508 DYD917507:DYD917508 EHZ917507:EHZ917508 ERV917507:ERV917508 FBR917507:FBR917508 FLN917507:FLN917508 FVJ917507:FVJ917508 GFF917507:GFF917508 GPB917507:GPB917508 GYX917507:GYX917508 HIT917507:HIT917508 HSP917507:HSP917508 ICL917507:ICL917508 IMH917507:IMH917508 IWD917507:IWD917508 JFZ917507:JFZ917508 JPV917507:JPV917508 JZR917507:JZR917508 KJN917507:KJN917508 KTJ917507:KTJ917508 LDF917507:LDF917508 LNB917507:LNB917508 LWX917507:LWX917508 MGT917507:MGT917508 MQP917507:MQP917508 NAL917507:NAL917508 NKH917507:NKH917508 NUD917507:NUD917508 ODZ917507:ODZ917508 ONV917507:ONV917508 OXR917507:OXR917508 PHN917507:PHN917508 PRJ917507:PRJ917508 QBF917507:QBF917508 QLB917507:QLB917508 QUX917507:QUX917508 RET917507:RET917508 ROP917507:ROP917508 RYL917507:RYL917508 SIH917507:SIH917508 SSD917507:SSD917508 TBZ917507:TBZ917508 TLV917507:TLV917508 TVR917507:TVR917508 UFN917507:UFN917508 UPJ917507:UPJ917508 UZF917507:UZF917508 VJB917507:VJB917508 VSX917507:VSX917508 WCT917507:WCT917508 WMP917507:WMP917508 WWL917507:WWL917508 AD983043:AD983044 JZ983043:JZ983044 TV983043:TV983044 ADR983043:ADR983044 ANN983043:ANN983044 AXJ983043:AXJ983044 BHF983043:BHF983044 BRB983043:BRB983044 CAX983043:CAX983044 CKT983043:CKT983044 CUP983043:CUP983044 DEL983043:DEL983044 DOH983043:DOH983044 DYD983043:DYD983044 EHZ983043:EHZ983044 ERV983043:ERV983044 FBR983043:FBR983044 FLN983043:FLN983044 FVJ983043:FVJ983044 GFF983043:GFF983044 GPB983043:GPB983044 GYX983043:GYX983044 HIT983043:HIT983044 HSP983043:HSP983044 ICL983043:ICL983044 IMH983043:IMH983044 IWD983043:IWD983044 JFZ983043:JFZ983044 JPV983043:JPV983044 JZR983043:JZR983044 KJN983043:KJN983044 KTJ983043:KTJ983044 LDF983043:LDF983044 LNB983043:LNB983044 LWX983043:LWX983044 MGT983043:MGT983044 MQP983043:MQP983044 NAL983043:NAL983044 NKH983043:NKH983044 NUD983043:NUD983044 ODZ983043:ODZ983044 ONV983043:ONV983044 OXR983043:OXR983044 PHN983043:PHN983044 PRJ983043:PRJ983044 QBF983043:QBF983044 QLB983043:QLB983044 QUX983043:QUX983044 RET983043:RET983044 ROP983043:ROP983044 RYL983043:RYL983044 SIH983043:SIH983044 SSD983043:SSD983044 TBZ983043:TBZ983044 TLV983043:TLV983044 TVR983043:TVR983044 UFN983043:UFN983044 UPJ983043:UPJ983044 UZF983043:UZF983044 VJB983043:VJB983044 VSX983043:VSX983044 WCT983043:WCT983044 WMP983043:WMP983044 WWL983043:WWL983044 AP851971:AP851972 KL851971:KL851972 UH851971:UH851972 AED851971:AED851972 ANZ851971:ANZ851972 AXV851971:AXV851972 BHR851971:BHR851972 BRN851971:BRN851972 CBJ851971:CBJ851972 CLF851971:CLF851972 CVB851971:CVB851972 DEX851971:DEX851972 DOT851971:DOT851972 DYP851971:DYP851972 EIL851971:EIL851972 ESH851971:ESH851972 FCD851971:FCD851972 FLZ851971:FLZ851972 FVV851971:FVV851972 GFR851971:GFR851972 GPN851971:GPN851972 GZJ851971:GZJ851972 HJF851971:HJF851972 HTB851971:HTB851972 ICX851971:ICX851972 IMT851971:IMT851972 IWP851971:IWP851972 JGL851971:JGL851972 JQH851971:JQH851972 KAD851971:KAD851972 KJZ851971:KJZ851972 KTV851971:KTV851972 LDR851971:LDR851972 LNN851971:LNN851972 LXJ851971:LXJ851972 MHF851971:MHF851972 MRB851971:MRB851972 NAX851971:NAX851972 NKT851971:NKT851972 NUP851971:NUP851972 OEL851971:OEL851972 OOH851971:OOH851972 OYD851971:OYD851972 PHZ851971:PHZ851972 PRV851971:PRV851972 QBR851971:QBR851972 QLN851971:QLN851972 QVJ851971:QVJ851972 RFF851971:RFF851972 RPB851971:RPB851972 RYX851971:RYX851972 SIT851971:SIT851972 SSP851971:SSP851972 TCL851971:TCL851972 TMH851971:TMH851972 TWD851971:TWD851972 UFZ851971:UFZ851972 UPV851971:UPV851972 UZR851971:UZR851972 VJN851971:VJN851972 VTJ851971:VTJ851972 WDF851971:WDF851972 WNB851971:WNB851972 WWX851971:WWX851972 AH65539:AH65540 KD65539:KD65540 TZ65539:TZ65540 ADV65539:ADV65540 ANR65539:ANR65540 AXN65539:AXN65540 BHJ65539:BHJ65540 BRF65539:BRF65540 CBB65539:CBB65540 CKX65539:CKX65540 CUT65539:CUT65540 DEP65539:DEP65540 DOL65539:DOL65540 DYH65539:DYH65540 EID65539:EID65540 ERZ65539:ERZ65540 FBV65539:FBV65540 FLR65539:FLR65540 FVN65539:FVN65540 GFJ65539:GFJ65540 GPF65539:GPF65540 GZB65539:GZB65540 HIX65539:HIX65540 HST65539:HST65540 ICP65539:ICP65540 IML65539:IML65540 IWH65539:IWH65540 JGD65539:JGD65540 JPZ65539:JPZ65540 JZV65539:JZV65540 KJR65539:KJR65540 KTN65539:KTN65540 LDJ65539:LDJ65540 LNF65539:LNF65540 LXB65539:LXB65540 MGX65539:MGX65540 MQT65539:MQT65540 NAP65539:NAP65540 NKL65539:NKL65540 NUH65539:NUH65540 OED65539:OED65540 ONZ65539:ONZ65540 OXV65539:OXV65540 PHR65539:PHR65540 PRN65539:PRN65540 QBJ65539:QBJ65540 QLF65539:QLF65540 QVB65539:QVB65540 REX65539:REX65540 ROT65539:ROT65540 RYP65539:RYP65540 SIL65539:SIL65540 SSH65539:SSH65540 TCD65539:TCD65540 TLZ65539:TLZ65540 TVV65539:TVV65540 UFR65539:UFR65540 UPN65539:UPN65540 UZJ65539:UZJ65540 VJF65539:VJF65540 VTB65539:VTB65540 WCX65539:WCX65540 WMT65539:WMT65540 WWP65539:WWP65540 AH131075:AH131076 KD131075:KD131076 TZ131075:TZ131076 ADV131075:ADV131076 ANR131075:ANR131076 AXN131075:AXN131076 BHJ131075:BHJ131076 BRF131075:BRF131076 CBB131075:CBB131076 CKX131075:CKX131076 CUT131075:CUT131076 DEP131075:DEP131076 DOL131075:DOL131076 DYH131075:DYH131076 EID131075:EID131076 ERZ131075:ERZ131076 FBV131075:FBV131076 FLR131075:FLR131076 FVN131075:FVN131076 GFJ131075:GFJ131076 GPF131075:GPF131076 GZB131075:GZB131076 HIX131075:HIX131076 HST131075:HST131076 ICP131075:ICP131076 IML131075:IML131076 IWH131075:IWH131076 JGD131075:JGD131076 JPZ131075:JPZ131076 JZV131075:JZV131076 KJR131075:KJR131076 KTN131075:KTN131076 LDJ131075:LDJ131076 LNF131075:LNF131076 LXB131075:LXB131076 MGX131075:MGX131076 MQT131075:MQT131076 NAP131075:NAP131076 NKL131075:NKL131076 NUH131075:NUH131076 OED131075:OED131076 ONZ131075:ONZ131076 OXV131075:OXV131076 PHR131075:PHR131076 PRN131075:PRN131076 QBJ131075:QBJ131076 QLF131075:QLF131076 QVB131075:QVB131076 REX131075:REX131076 ROT131075:ROT131076 RYP131075:RYP131076 SIL131075:SIL131076 SSH131075:SSH131076 TCD131075:TCD131076 TLZ131075:TLZ131076 TVV131075:TVV131076 UFR131075:UFR131076 UPN131075:UPN131076 UZJ131075:UZJ131076 VJF131075:VJF131076 VTB131075:VTB131076 WCX131075:WCX131076 WMT131075:WMT131076 WWP131075:WWP131076 AH196611:AH196612 KD196611:KD196612 TZ196611:TZ196612 ADV196611:ADV196612 ANR196611:ANR196612 AXN196611:AXN196612 BHJ196611:BHJ196612 BRF196611:BRF196612 CBB196611:CBB196612 CKX196611:CKX196612 CUT196611:CUT196612 DEP196611:DEP196612 DOL196611:DOL196612 DYH196611:DYH196612 EID196611:EID196612 ERZ196611:ERZ196612 FBV196611:FBV196612 FLR196611:FLR196612 FVN196611:FVN196612 GFJ196611:GFJ196612 GPF196611:GPF196612 GZB196611:GZB196612 HIX196611:HIX196612 HST196611:HST196612 ICP196611:ICP196612 IML196611:IML196612 IWH196611:IWH196612 JGD196611:JGD196612 JPZ196611:JPZ196612 JZV196611:JZV196612 KJR196611:KJR196612 KTN196611:KTN196612 LDJ196611:LDJ196612 LNF196611:LNF196612 LXB196611:LXB196612 MGX196611:MGX196612 MQT196611:MQT196612 NAP196611:NAP196612 NKL196611:NKL196612 NUH196611:NUH196612 OED196611:OED196612 ONZ196611:ONZ196612 OXV196611:OXV196612 PHR196611:PHR196612 PRN196611:PRN196612 QBJ196611:QBJ196612 QLF196611:QLF196612 QVB196611:QVB196612 REX196611:REX196612 ROT196611:ROT196612 RYP196611:RYP196612 SIL196611:SIL196612 SSH196611:SSH196612 TCD196611:TCD196612 TLZ196611:TLZ196612 TVV196611:TVV196612 UFR196611:UFR196612 UPN196611:UPN196612 UZJ196611:UZJ196612 VJF196611:VJF196612 VTB196611:VTB196612 WCX196611:WCX196612 WMT196611:WMT196612 WWP196611:WWP196612 AH262147:AH262148 KD262147:KD262148 TZ262147:TZ262148 ADV262147:ADV262148 ANR262147:ANR262148 AXN262147:AXN262148 BHJ262147:BHJ262148 BRF262147:BRF262148 CBB262147:CBB262148 CKX262147:CKX262148 CUT262147:CUT262148 DEP262147:DEP262148 DOL262147:DOL262148 DYH262147:DYH262148 EID262147:EID262148 ERZ262147:ERZ262148 FBV262147:FBV262148 FLR262147:FLR262148 FVN262147:FVN262148 GFJ262147:GFJ262148 GPF262147:GPF262148 GZB262147:GZB262148 HIX262147:HIX262148 HST262147:HST262148 ICP262147:ICP262148 IML262147:IML262148 IWH262147:IWH262148 JGD262147:JGD262148 JPZ262147:JPZ262148 JZV262147:JZV262148 KJR262147:KJR262148 KTN262147:KTN262148 LDJ262147:LDJ262148 LNF262147:LNF262148 LXB262147:LXB262148 MGX262147:MGX262148 MQT262147:MQT262148 NAP262147:NAP262148 NKL262147:NKL262148 NUH262147:NUH262148 OED262147:OED262148 ONZ262147:ONZ262148 OXV262147:OXV262148 PHR262147:PHR262148 PRN262147:PRN262148 QBJ262147:QBJ262148 QLF262147:QLF262148 QVB262147:QVB262148 REX262147:REX262148 ROT262147:ROT262148 RYP262147:RYP262148 SIL262147:SIL262148 SSH262147:SSH262148 TCD262147:TCD262148 TLZ262147:TLZ262148 TVV262147:TVV262148 UFR262147:UFR262148 UPN262147:UPN262148 UZJ262147:UZJ262148 VJF262147:VJF262148 VTB262147:VTB262148 WCX262147:WCX262148 WMT262147:WMT262148 WWP262147:WWP262148 AH327683:AH327684 KD327683:KD327684 TZ327683:TZ327684 ADV327683:ADV327684 ANR327683:ANR327684 AXN327683:AXN327684 BHJ327683:BHJ327684 BRF327683:BRF327684 CBB327683:CBB327684 CKX327683:CKX327684 CUT327683:CUT327684 DEP327683:DEP327684 DOL327683:DOL327684 DYH327683:DYH327684 EID327683:EID327684 ERZ327683:ERZ327684 FBV327683:FBV327684 FLR327683:FLR327684 FVN327683:FVN327684 GFJ327683:GFJ327684 GPF327683:GPF327684 GZB327683:GZB327684 HIX327683:HIX327684 HST327683:HST327684 ICP327683:ICP327684 IML327683:IML327684 IWH327683:IWH327684 JGD327683:JGD327684 JPZ327683:JPZ327684 JZV327683:JZV327684 KJR327683:KJR327684 KTN327683:KTN327684 LDJ327683:LDJ327684 LNF327683:LNF327684 LXB327683:LXB327684 MGX327683:MGX327684 MQT327683:MQT327684 NAP327683:NAP327684 NKL327683:NKL327684 NUH327683:NUH327684 OED327683:OED327684 ONZ327683:ONZ327684 OXV327683:OXV327684 PHR327683:PHR327684 PRN327683:PRN327684 QBJ327683:QBJ327684 QLF327683:QLF327684 QVB327683:QVB327684 REX327683:REX327684 ROT327683:ROT327684 RYP327683:RYP327684 SIL327683:SIL327684 SSH327683:SSH327684 TCD327683:TCD327684 TLZ327683:TLZ327684 TVV327683:TVV327684 UFR327683:UFR327684 UPN327683:UPN327684 UZJ327683:UZJ327684 VJF327683:VJF327684 VTB327683:VTB327684 WCX327683:WCX327684 WMT327683:WMT327684 WWP327683:WWP327684 AH393219:AH393220 KD393219:KD393220 TZ393219:TZ393220 ADV393219:ADV393220 ANR393219:ANR393220 AXN393219:AXN393220 BHJ393219:BHJ393220 BRF393219:BRF393220 CBB393219:CBB393220 CKX393219:CKX393220 CUT393219:CUT393220 DEP393219:DEP393220 DOL393219:DOL393220 DYH393219:DYH393220 EID393219:EID393220 ERZ393219:ERZ393220 FBV393219:FBV393220 FLR393219:FLR393220 FVN393219:FVN393220 GFJ393219:GFJ393220 GPF393219:GPF393220 GZB393219:GZB393220 HIX393219:HIX393220 HST393219:HST393220 ICP393219:ICP393220 IML393219:IML393220 IWH393219:IWH393220 JGD393219:JGD393220 JPZ393219:JPZ393220 JZV393219:JZV393220 KJR393219:KJR393220 KTN393219:KTN393220 LDJ393219:LDJ393220 LNF393219:LNF393220 LXB393219:LXB393220 MGX393219:MGX393220 MQT393219:MQT393220 NAP393219:NAP393220 NKL393219:NKL393220 NUH393219:NUH393220 OED393219:OED393220 ONZ393219:ONZ393220 OXV393219:OXV393220 PHR393219:PHR393220 PRN393219:PRN393220 QBJ393219:QBJ393220 QLF393219:QLF393220 QVB393219:QVB393220 REX393219:REX393220 ROT393219:ROT393220 RYP393219:RYP393220 SIL393219:SIL393220 SSH393219:SSH393220 TCD393219:TCD393220 TLZ393219:TLZ393220 TVV393219:TVV393220 UFR393219:UFR393220 UPN393219:UPN393220 UZJ393219:UZJ393220 VJF393219:VJF393220 VTB393219:VTB393220 WCX393219:WCX393220 WMT393219:WMT393220 WWP393219:WWP393220 AH458755:AH458756 KD458755:KD458756 TZ458755:TZ458756 ADV458755:ADV458756 ANR458755:ANR458756 AXN458755:AXN458756 BHJ458755:BHJ458756 BRF458755:BRF458756 CBB458755:CBB458756 CKX458755:CKX458756 CUT458755:CUT458756 DEP458755:DEP458756 DOL458755:DOL458756 DYH458755:DYH458756 EID458755:EID458756 ERZ458755:ERZ458756 FBV458755:FBV458756 FLR458755:FLR458756 FVN458755:FVN458756 GFJ458755:GFJ458756 GPF458755:GPF458756 GZB458755:GZB458756 HIX458755:HIX458756 HST458755:HST458756 ICP458755:ICP458756 IML458755:IML458756 IWH458755:IWH458756 JGD458755:JGD458756 JPZ458755:JPZ458756 JZV458755:JZV458756 KJR458755:KJR458756 KTN458755:KTN458756 LDJ458755:LDJ458756 LNF458755:LNF458756 LXB458755:LXB458756 MGX458755:MGX458756 MQT458755:MQT458756 NAP458755:NAP458756 NKL458755:NKL458756 NUH458755:NUH458756 OED458755:OED458756 ONZ458755:ONZ458756 OXV458755:OXV458756 PHR458755:PHR458756 PRN458755:PRN458756 QBJ458755:QBJ458756 QLF458755:QLF458756 QVB458755:QVB458756 REX458755:REX458756 ROT458755:ROT458756 RYP458755:RYP458756 SIL458755:SIL458756 SSH458755:SSH458756 TCD458755:TCD458756 TLZ458755:TLZ458756 TVV458755:TVV458756 UFR458755:UFR458756 UPN458755:UPN458756 UZJ458755:UZJ458756 VJF458755:VJF458756 VTB458755:VTB458756 WCX458755:WCX458756 WMT458755:WMT458756 WWP458755:WWP458756 AH524291:AH524292 KD524291:KD524292 TZ524291:TZ524292 ADV524291:ADV524292 ANR524291:ANR524292 AXN524291:AXN524292 BHJ524291:BHJ524292 BRF524291:BRF524292 CBB524291:CBB524292 CKX524291:CKX524292 CUT524291:CUT524292 DEP524291:DEP524292 DOL524291:DOL524292 DYH524291:DYH524292 EID524291:EID524292 ERZ524291:ERZ524292 FBV524291:FBV524292 FLR524291:FLR524292 FVN524291:FVN524292 GFJ524291:GFJ524292 GPF524291:GPF524292 GZB524291:GZB524292 HIX524291:HIX524292 HST524291:HST524292 ICP524291:ICP524292 IML524291:IML524292 IWH524291:IWH524292 JGD524291:JGD524292 JPZ524291:JPZ524292 JZV524291:JZV524292 KJR524291:KJR524292 KTN524291:KTN524292 LDJ524291:LDJ524292 LNF524291:LNF524292 LXB524291:LXB524292 MGX524291:MGX524292 MQT524291:MQT524292 NAP524291:NAP524292 NKL524291:NKL524292 NUH524291:NUH524292 OED524291:OED524292 ONZ524291:ONZ524292 OXV524291:OXV524292 PHR524291:PHR524292 PRN524291:PRN524292 QBJ524291:QBJ524292 QLF524291:QLF524292 QVB524291:QVB524292 REX524291:REX524292 ROT524291:ROT524292 RYP524291:RYP524292 SIL524291:SIL524292 SSH524291:SSH524292 TCD524291:TCD524292 TLZ524291:TLZ524292 TVV524291:TVV524292 UFR524291:UFR524292 UPN524291:UPN524292 UZJ524291:UZJ524292 VJF524291:VJF524292 VTB524291:VTB524292 WCX524291:WCX524292 WMT524291:WMT524292 WWP524291:WWP524292 AH589827:AH589828 KD589827:KD589828 TZ589827:TZ589828 ADV589827:ADV589828 ANR589827:ANR589828 AXN589827:AXN589828 BHJ589827:BHJ589828 BRF589827:BRF589828 CBB589827:CBB589828 CKX589827:CKX589828 CUT589827:CUT589828 DEP589827:DEP589828 DOL589827:DOL589828 DYH589827:DYH589828 EID589827:EID589828 ERZ589827:ERZ589828 FBV589827:FBV589828 FLR589827:FLR589828 FVN589827:FVN589828 GFJ589827:GFJ589828 GPF589827:GPF589828 GZB589827:GZB589828 HIX589827:HIX589828 HST589827:HST589828 ICP589827:ICP589828 IML589827:IML589828 IWH589827:IWH589828 JGD589827:JGD589828 JPZ589827:JPZ589828 JZV589827:JZV589828 KJR589827:KJR589828 KTN589827:KTN589828 LDJ589827:LDJ589828 LNF589827:LNF589828 LXB589827:LXB589828 MGX589827:MGX589828 MQT589827:MQT589828 NAP589827:NAP589828 NKL589827:NKL589828 NUH589827:NUH589828 OED589827:OED589828 ONZ589827:ONZ589828 OXV589827:OXV589828 PHR589827:PHR589828 PRN589827:PRN589828 QBJ589827:QBJ589828 QLF589827:QLF589828 QVB589827:QVB589828 REX589827:REX589828 ROT589827:ROT589828 RYP589827:RYP589828 SIL589827:SIL589828 SSH589827:SSH589828 TCD589827:TCD589828 TLZ589827:TLZ589828 TVV589827:TVV589828 UFR589827:UFR589828 UPN589827:UPN589828 UZJ589827:UZJ589828 VJF589827:VJF589828 VTB589827:VTB589828 WCX589827:WCX589828 WMT589827:WMT589828 WWP589827:WWP589828 AH655363:AH655364 KD655363:KD655364 TZ655363:TZ655364 ADV655363:ADV655364 ANR655363:ANR655364 AXN655363:AXN655364 BHJ655363:BHJ655364 BRF655363:BRF655364 CBB655363:CBB655364 CKX655363:CKX655364 CUT655363:CUT655364 DEP655363:DEP655364 DOL655363:DOL655364 DYH655363:DYH655364 EID655363:EID655364 ERZ655363:ERZ655364 FBV655363:FBV655364 FLR655363:FLR655364 FVN655363:FVN655364 GFJ655363:GFJ655364 GPF655363:GPF655364 GZB655363:GZB655364 HIX655363:HIX655364 HST655363:HST655364 ICP655363:ICP655364 IML655363:IML655364 IWH655363:IWH655364 JGD655363:JGD655364 JPZ655363:JPZ655364 JZV655363:JZV655364 KJR655363:KJR655364 KTN655363:KTN655364 LDJ655363:LDJ655364 LNF655363:LNF655364 LXB655363:LXB655364 MGX655363:MGX655364 MQT655363:MQT655364 NAP655363:NAP655364 NKL655363:NKL655364 NUH655363:NUH655364 OED655363:OED655364 ONZ655363:ONZ655364 OXV655363:OXV655364 PHR655363:PHR655364 PRN655363:PRN655364 QBJ655363:QBJ655364 QLF655363:QLF655364 QVB655363:QVB655364 REX655363:REX655364 ROT655363:ROT655364 RYP655363:RYP655364 SIL655363:SIL655364 SSH655363:SSH655364 TCD655363:TCD655364 TLZ655363:TLZ655364 TVV655363:TVV655364 UFR655363:UFR655364 UPN655363:UPN655364 UZJ655363:UZJ655364 VJF655363:VJF655364 VTB655363:VTB655364 WCX655363:WCX655364 WMT655363:WMT655364 WWP655363:WWP655364 AH720899:AH720900 KD720899:KD720900 TZ720899:TZ720900 ADV720899:ADV720900 ANR720899:ANR720900 AXN720899:AXN720900 BHJ720899:BHJ720900 BRF720899:BRF720900 CBB720899:CBB720900 CKX720899:CKX720900 CUT720899:CUT720900 DEP720899:DEP720900 DOL720899:DOL720900 DYH720899:DYH720900 EID720899:EID720900 ERZ720899:ERZ720900 FBV720899:FBV720900 FLR720899:FLR720900 FVN720899:FVN720900 GFJ720899:GFJ720900 GPF720899:GPF720900 GZB720899:GZB720900 HIX720899:HIX720900 HST720899:HST720900 ICP720899:ICP720900 IML720899:IML720900 IWH720899:IWH720900 JGD720899:JGD720900 JPZ720899:JPZ720900 JZV720899:JZV720900 KJR720899:KJR720900 KTN720899:KTN720900 LDJ720899:LDJ720900 LNF720899:LNF720900 LXB720899:LXB720900 MGX720899:MGX720900 MQT720899:MQT720900 NAP720899:NAP720900 NKL720899:NKL720900 NUH720899:NUH720900 OED720899:OED720900 ONZ720899:ONZ720900 OXV720899:OXV720900 PHR720899:PHR720900 PRN720899:PRN720900 QBJ720899:QBJ720900 QLF720899:QLF720900 QVB720899:QVB720900 REX720899:REX720900 ROT720899:ROT720900 RYP720899:RYP720900 SIL720899:SIL720900 SSH720899:SSH720900 TCD720899:TCD720900 TLZ720899:TLZ720900 TVV720899:TVV720900 UFR720899:UFR720900 UPN720899:UPN720900 UZJ720899:UZJ720900 VJF720899:VJF720900 VTB720899:VTB720900 WCX720899:WCX720900 WMT720899:WMT720900 WWP720899:WWP720900 AH786435:AH786436 KD786435:KD786436 TZ786435:TZ786436 ADV786435:ADV786436 ANR786435:ANR786436 AXN786435:AXN786436 BHJ786435:BHJ786436 BRF786435:BRF786436 CBB786435:CBB786436 CKX786435:CKX786436 CUT786435:CUT786436 DEP786435:DEP786436 DOL786435:DOL786436 DYH786435:DYH786436 EID786435:EID786436 ERZ786435:ERZ786436 FBV786435:FBV786436 FLR786435:FLR786436 FVN786435:FVN786436 GFJ786435:GFJ786436 GPF786435:GPF786436 GZB786435:GZB786436 HIX786435:HIX786436 HST786435:HST786436 ICP786435:ICP786436 IML786435:IML786436 IWH786435:IWH786436 JGD786435:JGD786436 JPZ786435:JPZ786436 JZV786435:JZV786436 KJR786435:KJR786436 KTN786435:KTN786436 LDJ786435:LDJ786436 LNF786435:LNF786436 LXB786435:LXB786436 MGX786435:MGX786436 MQT786435:MQT786436 NAP786435:NAP786436 NKL786435:NKL786436 NUH786435:NUH786436 OED786435:OED786436 ONZ786435:ONZ786436 OXV786435:OXV786436 PHR786435:PHR786436 PRN786435:PRN786436 QBJ786435:QBJ786436 QLF786435:QLF786436 QVB786435:QVB786436 REX786435:REX786436 ROT786435:ROT786436 RYP786435:RYP786436 SIL786435:SIL786436 SSH786435:SSH786436 TCD786435:TCD786436 TLZ786435:TLZ786436 TVV786435:TVV786436 UFR786435:UFR786436 UPN786435:UPN786436 UZJ786435:UZJ786436 VJF786435:VJF786436 VTB786435:VTB786436 WCX786435:WCX786436 WMT786435:WMT786436 WWP786435:WWP786436 AH851971:AH851972 KD851971:KD851972 TZ851971:TZ851972 ADV851971:ADV851972 ANR851971:ANR851972 AXN851971:AXN851972 BHJ851971:BHJ851972 BRF851971:BRF851972 CBB851971:CBB851972 CKX851971:CKX851972 CUT851971:CUT851972 DEP851971:DEP851972 DOL851971:DOL851972 DYH851971:DYH851972 EID851971:EID851972 ERZ851971:ERZ851972 FBV851971:FBV851972 FLR851971:FLR851972 FVN851971:FVN851972 GFJ851971:GFJ851972 GPF851971:GPF851972 GZB851971:GZB851972 HIX851971:HIX851972 HST851971:HST851972 ICP851971:ICP851972 IML851971:IML851972 IWH851971:IWH851972 JGD851971:JGD851972 JPZ851971:JPZ851972 JZV851971:JZV851972 KJR851971:KJR851972 KTN851971:KTN851972 LDJ851971:LDJ851972 LNF851971:LNF851972 LXB851971:LXB851972 MGX851971:MGX851972 MQT851971:MQT851972 NAP851971:NAP851972 NKL851971:NKL851972 NUH851971:NUH851972 OED851971:OED851972 ONZ851971:ONZ851972 OXV851971:OXV851972 PHR851971:PHR851972 PRN851971:PRN851972 QBJ851971:QBJ851972 QLF851971:QLF851972 QVB851971:QVB851972 REX851971:REX851972 ROT851971:ROT851972 RYP851971:RYP851972 SIL851971:SIL851972 SSH851971:SSH851972 TCD851971:TCD851972 TLZ851971:TLZ851972 TVV851971:TVV851972 UFR851971:UFR851972 UPN851971:UPN851972 UZJ851971:UZJ851972 VJF851971:VJF851972 VTB851971:VTB851972 WCX851971:WCX851972 WMT851971:WMT851972 WWP851971:WWP851972 AH917507:AH917508 KD917507:KD917508 TZ917507:TZ917508 ADV917507:ADV917508 ANR917507:ANR917508 AXN917507:AXN917508 BHJ917507:BHJ917508 BRF917507:BRF917508 CBB917507:CBB917508 CKX917507:CKX917508 CUT917507:CUT917508 DEP917507:DEP917508 DOL917507:DOL917508 DYH917507:DYH917508 EID917507:EID917508 ERZ917507:ERZ917508 FBV917507:FBV917508 FLR917507:FLR917508 FVN917507:FVN917508 GFJ917507:GFJ917508 GPF917507:GPF917508 GZB917507:GZB917508 HIX917507:HIX917508 HST917507:HST917508 ICP917507:ICP917508 IML917507:IML917508 IWH917507:IWH917508 JGD917507:JGD917508 JPZ917507:JPZ917508 JZV917507:JZV917508 KJR917507:KJR917508 KTN917507:KTN917508 LDJ917507:LDJ917508 LNF917507:LNF917508 LXB917507:LXB917508 MGX917507:MGX917508 MQT917507:MQT917508 NAP917507:NAP917508 NKL917507:NKL917508 NUH917507:NUH917508 OED917507:OED917508 ONZ917507:ONZ917508 OXV917507:OXV917508 PHR917507:PHR917508 PRN917507:PRN917508 QBJ917507:QBJ917508 QLF917507:QLF917508 QVB917507:QVB917508 REX917507:REX917508 ROT917507:ROT917508 RYP917507:RYP917508 SIL917507:SIL917508 SSH917507:SSH917508 TCD917507:TCD917508 TLZ917507:TLZ917508 TVV917507:TVV917508 UFR917507:UFR917508 UPN917507:UPN917508 UZJ917507:UZJ917508 VJF917507:VJF917508 VTB917507:VTB917508 WCX917507:WCX917508 WMT917507:WMT917508 WWP917507:WWP917508 AH983043:AH983044 KD983043:KD983044 TZ983043:TZ983044 ADV983043:ADV983044 ANR983043:ANR983044 AXN983043:AXN983044 BHJ983043:BHJ983044 BRF983043:BRF983044 CBB983043:CBB983044 CKX983043:CKX983044 CUT983043:CUT983044 DEP983043:DEP983044 DOL983043:DOL983044 DYH983043:DYH983044 EID983043:EID983044 ERZ983043:ERZ983044 FBV983043:FBV983044 FLR983043:FLR983044 FVN983043:FVN983044 GFJ983043:GFJ983044 GPF983043:GPF983044 GZB983043:GZB983044 HIX983043:HIX983044 HST983043:HST983044 ICP983043:ICP983044 IML983043:IML983044 IWH983043:IWH983044 JGD983043:JGD983044 JPZ983043:JPZ983044 JZV983043:JZV983044 KJR983043:KJR983044 KTN983043:KTN983044 LDJ983043:LDJ983044 LNF983043:LNF983044 LXB983043:LXB983044 MGX983043:MGX983044 MQT983043:MQT983044 NAP983043:NAP983044 NKL983043:NKL983044 NUH983043:NUH983044 OED983043:OED983044 ONZ983043:ONZ983044 OXV983043:OXV983044 PHR983043:PHR983044 PRN983043:PRN983044 QBJ983043:QBJ983044 QLF983043:QLF983044 QVB983043:QVB983044 REX983043:REX983044 ROT983043:ROT983044 RYP983043:RYP983044 SIL983043:SIL983044 SSH983043:SSH983044 TCD983043:TCD983044 TLZ983043:TLZ983044 TVV983043:TVV983044 UFR983043:UFR983044 UPN983043:UPN983044 UZJ983043:UZJ983044 VJF983043:VJF983044 VTB983043:VTB983044 WCX983043:WCX983044 WMT983043:WMT983044 WWP983043:WWP983044 AP917507:AP917508 KL917507:KL917508 UH917507:UH917508 AED917507:AED917508 ANZ917507:ANZ917508 AXV917507:AXV917508 BHR917507:BHR917508 BRN917507:BRN917508 CBJ917507:CBJ917508 CLF917507:CLF917508 CVB917507:CVB917508 DEX917507:DEX917508 DOT917507:DOT917508 DYP917507:DYP917508 EIL917507:EIL917508 ESH917507:ESH917508 FCD917507:FCD917508 FLZ917507:FLZ917508 FVV917507:FVV917508 GFR917507:GFR917508 GPN917507:GPN917508 GZJ917507:GZJ917508 HJF917507:HJF917508 HTB917507:HTB917508 ICX917507:ICX917508 IMT917507:IMT917508 IWP917507:IWP917508 JGL917507:JGL917508 JQH917507:JQH917508 KAD917507:KAD917508 KJZ917507:KJZ917508 KTV917507:KTV917508 LDR917507:LDR917508 LNN917507:LNN917508 LXJ917507:LXJ917508 MHF917507:MHF917508 MRB917507:MRB917508 NAX917507:NAX917508 NKT917507:NKT917508 NUP917507:NUP917508 OEL917507:OEL917508 OOH917507:OOH917508 OYD917507:OYD917508 PHZ917507:PHZ917508 PRV917507:PRV917508 QBR917507:QBR917508 QLN917507:QLN917508 QVJ917507:QVJ917508 RFF917507:RFF917508 RPB917507:RPB917508 RYX917507:RYX917508 SIT917507:SIT917508 SSP917507:SSP917508 TCL917507:TCL917508 TMH917507:TMH917508 TWD917507:TWD917508 UFZ917507:UFZ917508 UPV917507:UPV917508 UZR917507:UZR917508 VJN917507:VJN917508 VTJ917507:VTJ917508 WDF917507:WDF917508 WNB917507:WNB917508 WWX917507:WWX917508 AL65539:AL65540 KH65539:KH65540 UD65539:UD65540 ADZ65539:ADZ65540 ANV65539:ANV65540 AXR65539:AXR65540 BHN65539:BHN65540 BRJ65539:BRJ65540 CBF65539:CBF65540 CLB65539:CLB65540 CUX65539:CUX65540 DET65539:DET65540 DOP65539:DOP65540 DYL65539:DYL65540 EIH65539:EIH65540 ESD65539:ESD65540 FBZ65539:FBZ65540 FLV65539:FLV65540 FVR65539:FVR65540 GFN65539:GFN65540 GPJ65539:GPJ65540 GZF65539:GZF65540 HJB65539:HJB65540 HSX65539:HSX65540 ICT65539:ICT65540 IMP65539:IMP65540 IWL65539:IWL65540 JGH65539:JGH65540 JQD65539:JQD65540 JZZ65539:JZZ65540 KJV65539:KJV65540 KTR65539:KTR65540 LDN65539:LDN65540 LNJ65539:LNJ65540 LXF65539:LXF65540 MHB65539:MHB65540 MQX65539:MQX65540 NAT65539:NAT65540 NKP65539:NKP65540 NUL65539:NUL65540 OEH65539:OEH65540 OOD65539:OOD65540 OXZ65539:OXZ65540 PHV65539:PHV65540 PRR65539:PRR65540 QBN65539:QBN65540 QLJ65539:QLJ65540 QVF65539:QVF65540 RFB65539:RFB65540 ROX65539:ROX65540 RYT65539:RYT65540 SIP65539:SIP65540 SSL65539:SSL65540 TCH65539:TCH65540 TMD65539:TMD65540 TVZ65539:TVZ65540 UFV65539:UFV65540 UPR65539:UPR65540 UZN65539:UZN65540 VJJ65539:VJJ65540 VTF65539:VTF65540 WDB65539:WDB65540 WMX65539:WMX65540 WWT65539:WWT65540 AL131075:AL131076 KH131075:KH131076 UD131075:UD131076 ADZ131075:ADZ131076 ANV131075:ANV131076 AXR131075:AXR131076 BHN131075:BHN131076 BRJ131075:BRJ131076 CBF131075:CBF131076 CLB131075:CLB131076 CUX131075:CUX131076 DET131075:DET131076 DOP131075:DOP131076 DYL131075:DYL131076 EIH131075:EIH131076 ESD131075:ESD131076 FBZ131075:FBZ131076 FLV131075:FLV131076 FVR131075:FVR131076 GFN131075:GFN131076 GPJ131075:GPJ131076 GZF131075:GZF131076 HJB131075:HJB131076 HSX131075:HSX131076 ICT131075:ICT131076 IMP131075:IMP131076 IWL131075:IWL131076 JGH131075:JGH131076 JQD131075:JQD131076 JZZ131075:JZZ131076 KJV131075:KJV131076 KTR131075:KTR131076 LDN131075:LDN131076 LNJ131075:LNJ131076 LXF131075:LXF131076 MHB131075:MHB131076 MQX131075:MQX131076 NAT131075:NAT131076 NKP131075:NKP131076 NUL131075:NUL131076 OEH131075:OEH131076 OOD131075:OOD131076 OXZ131075:OXZ131076 PHV131075:PHV131076 PRR131075:PRR131076 QBN131075:QBN131076 QLJ131075:QLJ131076 QVF131075:QVF131076 RFB131075:RFB131076 ROX131075:ROX131076 RYT131075:RYT131076 SIP131075:SIP131076 SSL131075:SSL131076 TCH131075:TCH131076 TMD131075:TMD131076 TVZ131075:TVZ131076 UFV131075:UFV131076 UPR131075:UPR131076 UZN131075:UZN131076 VJJ131075:VJJ131076 VTF131075:VTF131076 WDB131075:WDB131076 WMX131075:WMX131076 WWT131075:WWT131076 AL196611:AL196612 KH196611:KH196612 UD196611:UD196612 ADZ196611:ADZ196612 ANV196611:ANV196612 AXR196611:AXR196612 BHN196611:BHN196612 BRJ196611:BRJ196612 CBF196611:CBF196612 CLB196611:CLB196612 CUX196611:CUX196612 DET196611:DET196612 DOP196611:DOP196612 DYL196611:DYL196612 EIH196611:EIH196612 ESD196611:ESD196612 FBZ196611:FBZ196612 FLV196611:FLV196612 FVR196611:FVR196612 GFN196611:GFN196612 GPJ196611:GPJ196612 GZF196611:GZF196612 HJB196611:HJB196612 HSX196611:HSX196612 ICT196611:ICT196612 IMP196611:IMP196612 IWL196611:IWL196612 JGH196611:JGH196612 JQD196611:JQD196612 JZZ196611:JZZ196612 KJV196611:KJV196612 KTR196611:KTR196612 LDN196611:LDN196612 LNJ196611:LNJ196612 LXF196611:LXF196612 MHB196611:MHB196612 MQX196611:MQX196612 NAT196611:NAT196612 NKP196611:NKP196612 NUL196611:NUL196612 OEH196611:OEH196612 OOD196611:OOD196612 OXZ196611:OXZ196612 PHV196611:PHV196612 PRR196611:PRR196612 QBN196611:QBN196612 QLJ196611:QLJ196612 QVF196611:QVF196612 RFB196611:RFB196612 ROX196611:ROX196612 RYT196611:RYT196612 SIP196611:SIP196612 SSL196611:SSL196612 TCH196611:TCH196612 TMD196611:TMD196612 TVZ196611:TVZ196612 UFV196611:UFV196612 UPR196611:UPR196612 UZN196611:UZN196612 VJJ196611:VJJ196612 VTF196611:VTF196612 WDB196611:WDB196612 WMX196611:WMX196612 WWT196611:WWT196612 AL262147:AL262148 KH262147:KH262148 UD262147:UD262148 ADZ262147:ADZ262148 ANV262147:ANV262148 AXR262147:AXR262148 BHN262147:BHN262148 BRJ262147:BRJ262148 CBF262147:CBF262148 CLB262147:CLB262148 CUX262147:CUX262148 DET262147:DET262148 DOP262147:DOP262148 DYL262147:DYL262148 EIH262147:EIH262148 ESD262147:ESD262148 FBZ262147:FBZ262148 FLV262147:FLV262148 FVR262147:FVR262148 GFN262147:GFN262148 GPJ262147:GPJ262148 GZF262147:GZF262148 HJB262147:HJB262148 HSX262147:HSX262148 ICT262147:ICT262148 IMP262147:IMP262148 IWL262147:IWL262148 JGH262147:JGH262148 JQD262147:JQD262148 JZZ262147:JZZ262148 KJV262147:KJV262148 KTR262147:KTR262148 LDN262147:LDN262148 LNJ262147:LNJ262148 LXF262147:LXF262148 MHB262147:MHB262148 MQX262147:MQX262148 NAT262147:NAT262148 NKP262147:NKP262148 NUL262147:NUL262148 OEH262147:OEH262148 OOD262147:OOD262148 OXZ262147:OXZ262148 PHV262147:PHV262148 PRR262147:PRR262148 QBN262147:QBN262148 QLJ262147:QLJ262148 QVF262147:QVF262148 RFB262147:RFB262148 ROX262147:ROX262148 RYT262147:RYT262148 SIP262147:SIP262148 SSL262147:SSL262148 TCH262147:TCH262148 TMD262147:TMD262148 TVZ262147:TVZ262148 UFV262147:UFV262148 UPR262147:UPR262148 UZN262147:UZN262148 VJJ262147:VJJ262148 VTF262147:VTF262148 WDB262147:WDB262148 WMX262147:WMX262148 WWT262147:WWT262148 AL327683:AL327684 KH327683:KH327684 UD327683:UD327684 ADZ327683:ADZ327684 ANV327683:ANV327684 AXR327683:AXR327684 BHN327683:BHN327684 BRJ327683:BRJ327684 CBF327683:CBF327684 CLB327683:CLB327684 CUX327683:CUX327684 DET327683:DET327684 DOP327683:DOP327684 DYL327683:DYL327684 EIH327683:EIH327684 ESD327683:ESD327684 FBZ327683:FBZ327684 FLV327683:FLV327684 FVR327683:FVR327684 GFN327683:GFN327684 GPJ327683:GPJ327684 GZF327683:GZF327684 HJB327683:HJB327684 HSX327683:HSX327684 ICT327683:ICT327684 IMP327683:IMP327684 IWL327683:IWL327684 JGH327683:JGH327684 JQD327683:JQD327684 JZZ327683:JZZ327684 KJV327683:KJV327684 KTR327683:KTR327684 LDN327683:LDN327684 LNJ327683:LNJ327684 LXF327683:LXF327684 MHB327683:MHB327684 MQX327683:MQX327684 NAT327683:NAT327684 NKP327683:NKP327684 NUL327683:NUL327684 OEH327683:OEH327684 OOD327683:OOD327684 OXZ327683:OXZ327684 PHV327683:PHV327684 PRR327683:PRR327684 QBN327683:QBN327684 QLJ327683:QLJ327684 QVF327683:QVF327684 RFB327683:RFB327684 ROX327683:ROX327684 RYT327683:RYT327684 SIP327683:SIP327684 SSL327683:SSL327684 TCH327683:TCH327684 TMD327683:TMD327684 TVZ327683:TVZ327684 UFV327683:UFV327684 UPR327683:UPR327684 UZN327683:UZN327684 VJJ327683:VJJ327684 VTF327683:VTF327684 WDB327683:WDB327684 WMX327683:WMX327684 WWT327683:WWT327684 AL393219:AL393220 KH393219:KH393220 UD393219:UD393220 ADZ393219:ADZ393220 ANV393219:ANV393220 AXR393219:AXR393220 BHN393219:BHN393220 BRJ393219:BRJ393220 CBF393219:CBF393220 CLB393219:CLB393220 CUX393219:CUX393220 DET393219:DET393220 DOP393219:DOP393220 DYL393219:DYL393220 EIH393219:EIH393220 ESD393219:ESD393220 FBZ393219:FBZ393220 FLV393219:FLV393220 FVR393219:FVR393220 GFN393219:GFN393220 GPJ393219:GPJ393220 GZF393219:GZF393220 HJB393219:HJB393220 HSX393219:HSX393220 ICT393219:ICT393220 IMP393219:IMP393220 IWL393219:IWL393220 JGH393219:JGH393220 JQD393219:JQD393220 JZZ393219:JZZ393220 KJV393219:KJV393220 KTR393219:KTR393220 LDN393219:LDN393220 LNJ393219:LNJ393220 LXF393219:LXF393220 MHB393219:MHB393220 MQX393219:MQX393220 NAT393219:NAT393220 NKP393219:NKP393220 NUL393219:NUL393220 OEH393219:OEH393220 OOD393219:OOD393220 OXZ393219:OXZ393220 PHV393219:PHV393220 PRR393219:PRR393220 QBN393219:QBN393220 QLJ393219:QLJ393220 QVF393219:QVF393220 RFB393219:RFB393220 ROX393219:ROX393220 RYT393219:RYT393220 SIP393219:SIP393220 SSL393219:SSL393220 TCH393219:TCH393220 TMD393219:TMD393220 TVZ393219:TVZ393220 UFV393219:UFV393220 UPR393219:UPR393220 UZN393219:UZN393220 VJJ393219:VJJ393220 VTF393219:VTF393220 WDB393219:WDB393220 WMX393219:WMX393220 WWT393219:WWT393220 AL458755:AL458756 KH458755:KH458756 UD458755:UD458756 ADZ458755:ADZ458756 ANV458755:ANV458756 AXR458755:AXR458756 BHN458755:BHN458756 BRJ458755:BRJ458756 CBF458755:CBF458756 CLB458755:CLB458756 CUX458755:CUX458756 DET458755:DET458756 DOP458755:DOP458756 DYL458755:DYL458756 EIH458755:EIH458756 ESD458755:ESD458756 FBZ458755:FBZ458756 FLV458755:FLV458756 FVR458755:FVR458756 GFN458755:GFN458756 GPJ458755:GPJ458756 GZF458755:GZF458756 HJB458755:HJB458756 HSX458755:HSX458756 ICT458755:ICT458756 IMP458755:IMP458756 IWL458755:IWL458756 JGH458755:JGH458756 JQD458755:JQD458756 JZZ458755:JZZ458756 KJV458755:KJV458756 KTR458755:KTR458756 LDN458755:LDN458756 LNJ458755:LNJ458756 LXF458755:LXF458756 MHB458755:MHB458756 MQX458755:MQX458756 NAT458755:NAT458756 NKP458755:NKP458756 NUL458755:NUL458756 OEH458755:OEH458756 OOD458755:OOD458756 OXZ458755:OXZ458756 PHV458755:PHV458756 PRR458755:PRR458756 QBN458755:QBN458756 QLJ458755:QLJ458756 QVF458755:QVF458756 RFB458755:RFB458756 ROX458755:ROX458756 RYT458755:RYT458756 SIP458755:SIP458756 SSL458755:SSL458756 TCH458755:TCH458756 TMD458755:TMD458756 TVZ458755:TVZ458756 UFV458755:UFV458756 UPR458755:UPR458756 UZN458755:UZN458756 VJJ458755:VJJ458756 VTF458755:VTF458756 WDB458755:WDB458756 WMX458755:WMX458756 WWT458755:WWT458756 AL524291:AL524292 KH524291:KH524292 UD524291:UD524292 ADZ524291:ADZ524292 ANV524291:ANV524292 AXR524291:AXR524292 BHN524291:BHN524292 BRJ524291:BRJ524292 CBF524291:CBF524292 CLB524291:CLB524292 CUX524291:CUX524292 DET524291:DET524292 DOP524291:DOP524292 DYL524291:DYL524292 EIH524291:EIH524292 ESD524291:ESD524292 FBZ524291:FBZ524292 FLV524291:FLV524292 FVR524291:FVR524292 GFN524291:GFN524292 GPJ524291:GPJ524292 GZF524291:GZF524292 HJB524291:HJB524292 HSX524291:HSX524292 ICT524291:ICT524292 IMP524291:IMP524292 IWL524291:IWL524292 JGH524291:JGH524292 JQD524291:JQD524292 JZZ524291:JZZ524292 KJV524291:KJV524292 KTR524291:KTR524292 LDN524291:LDN524292 LNJ524291:LNJ524292 LXF524291:LXF524292 MHB524291:MHB524292 MQX524291:MQX524292 NAT524291:NAT524292 NKP524291:NKP524292 NUL524291:NUL524292 OEH524291:OEH524292 OOD524291:OOD524292 OXZ524291:OXZ524292 PHV524291:PHV524292 PRR524291:PRR524292 QBN524291:QBN524292 QLJ524291:QLJ524292 QVF524291:QVF524292 RFB524291:RFB524292 ROX524291:ROX524292 RYT524291:RYT524292 SIP524291:SIP524292 SSL524291:SSL524292 TCH524291:TCH524292 TMD524291:TMD524292 TVZ524291:TVZ524292 UFV524291:UFV524292 UPR524291:UPR524292 UZN524291:UZN524292 VJJ524291:VJJ524292 VTF524291:VTF524292 WDB524291:WDB524292 WMX524291:WMX524292 WWT524291:WWT524292 AL589827:AL589828 KH589827:KH589828 UD589827:UD589828 ADZ589827:ADZ589828 ANV589827:ANV589828 AXR589827:AXR589828 BHN589827:BHN589828 BRJ589827:BRJ589828 CBF589827:CBF589828 CLB589827:CLB589828 CUX589827:CUX589828 DET589827:DET589828 DOP589827:DOP589828 DYL589827:DYL589828 EIH589827:EIH589828 ESD589827:ESD589828 FBZ589827:FBZ589828 FLV589827:FLV589828 FVR589827:FVR589828 GFN589827:GFN589828 GPJ589827:GPJ589828 GZF589827:GZF589828 HJB589827:HJB589828 HSX589827:HSX589828 ICT589827:ICT589828 IMP589827:IMP589828 IWL589827:IWL589828 JGH589827:JGH589828 JQD589827:JQD589828 JZZ589827:JZZ589828 KJV589827:KJV589828 KTR589827:KTR589828 LDN589827:LDN589828 LNJ589827:LNJ589828 LXF589827:LXF589828 MHB589827:MHB589828 MQX589827:MQX589828 NAT589827:NAT589828 NKP589827:NKP589828 NUL589827:NUL589828 OEH589827:OEH589828 OOD589827:OOD589828 OXZ589827:OXZ589828 PHV589827:PHV589828 PRR589827:PRR589828 QBN589827:QBN589828 QLJ589827:QLJ589828 QVF589827:QVF589828 RFB589827:RFB589828 ROX589827:ROX589828 RYT589827:RYT589828 SIP589827:SIP589828 SSL589827:SSL589828 TCH589827:TCH589828 TMD589827:TMD589828 TVZ589827:TVZ589828 UFV589827:UFV589828 UPR589827:UPR589828 UZN589827:UZN589828 VJJ589827:VJJ589828 VTF589827:VTF589828 WDB589827:WDB589828 WMX589827:WMX589828 WWT589827:WWT589828 AL655363:AL655364 KH655363:KH655364 UD655363:UD655364 ADZ655363:ADZ655364 ANV655363:ANV655364 AXR655363:AXR655364 BHN655363:BHN655364 BRJ655363:BRJ655364 CBF655363:CBF655364 CLB655363:CLB655364 CUX655363:CUX655364 DET655363:DET655364 DOP655363:DOP655364 DYL655363:DYL655364 EIH655363:EIH655364 ESD655363:ESD655364 FBZ655363:FBZ655364 FLV655363:FLV655364 FVR655363:FVR655364 GFN655363:GFN655364 GPJ655363:GPJ655364 GZF655363:GZF655364 HJB655363:HJB655364 HSX655363:HSX655364 ICT655363:ICT655364 IMP655363:IMP655364 IWL655363:IWL655364 JGH655363:JGH655364 JQD655363:JQD655364 JZZ655363:JZZ655364 KJV655363:KJV655364 KTR655363:KTR655364 LDN655363:LDN655364 LNJ655363:LNJ655364 LXF655363:LXF655364 MHB655363:MHB655364 MQX655363:MQX655364 NAT655363:NAT655364 NKP655363:NKP655364 NUL655363:NUL655364 OEH655363:OEH655364 OOD655363:OOD655364 OXZ655363:OXZ655364 PHV655363:PHV655364 PRR655363:PRR655364 QBN655363:QBN655364 QLJ655363:QLJ655364 QVF655363:QVF655364 RFB655363:RFB655364 ROX655363:ROX655364 RYT655363:RYT655364 SIP655363:SIP655364 SSL655363:SSL655364 TCH655363:TCH655364 TMD655363:TMD655364 TVZ655363:TVZ655364 UFV655363:UFV655364 UPR655363:UPR655364 UZN655363:UZN655364 VJJ655363:VJJ655364 VTF655363:VTF655364 WDB655363:WDB655364 WMX655363:WMX655364 WWT655363:WWT655364 AL720899:AL720900 KH720899:KH720900 UD720899:UD720900 ADZ720899:ADZ720900 ANV720899:ANV720900 AXR720899:AXR720900 BHN720899:BHN720900 BRJ720899:BRJ720900 CBF720899:CBF720900 CLB720899:CLB720900 CUX720899:CUX720900 DET720899:DET720900 DOP720899:DOP720900 DYL720899:DYL720900 EIH720899:EIH720900 ESD720899:ESD720900 FBZ720899:FBZ720900 FLV720899:FLV720900 FVR720899:FVR720900 GFN720899:GFN720900 GPJ720899:GPJ720900 GZF720899:GZF720900 HJB720899:HJB720900 HSX720899:HSX720900 ICT720899:ICT720900 IMP720899:IMP720900 IWL720899:IWL720900 JGH720899:JGH720900 JQD720899:JQD720900 JZZ720899:JZZ720900 KJV720899:KJV720900 KTR720899:KTR720900 LDN720899:LDN720900 LNJ720899:LNJ720900 LXF720899:LXF720900 MHB720899:MHB720900 MQX720899:MQX720900 NAT720899:NAT720900 NKP720899:NKP720900 NUL720899:NUL720900 OEH720899:OEH720900 OOD720899:OOD720900 OXZ720899:OXZ720900 PHV720899:PHV720900 PRR720899:PRR720900 QBN720899:QBN720900 QLJ720899:QLJ720900 QVF720899:QVF720900 RFB720899:RFB720900 ROX720899:ROX720900 RYT720899:RYT720900 SIP720899:SIP720900 SSL720899:SSL720900 TCH720899:TCH720900 TMD720899:TMD720900 TVZ720899:TVZ720900 UFV720899:UFV720900 UPR720899:UPR720900 UZN720899:UZN720900 VJJ720899:VJJ720900 VTF720899:VTF720900 WDB720899:WDB720900 WMX720899:WMX720900 WWT720899:WWT720900 AL786435:AL786436 KH786435:KH786436 UD786435:UD786436 ADZ786435:ADZ786436 ANV786435:ANV786436 AXR786435:AXR786436 BHN786435:BHN786436 BRJ786435:BRJ786436 CBF786435:CBF786436 CLB786435:CLB786436 CUX786435:CUX786436 DET786435:DET786436 DOP786435:DOP786436 DYL786435:DYL786436 EIH786435:EIH786436 ESD786435:ESD786436 FBZ786435:FBZ786436 FLV786435:FLV786436 FVR786435:FVR786436 GFN786435:GFN786436 GPJ786435:GPJ786436 GZF786435:GZF786436 HJB786435:HJB786436 HSX786435:HSX786436 ICT786435:ICT786436 IMP786435:IMP786436 IWL786435:IWL786436 JGH786435:JGH786436 JQD786435:JQD786436 JZZ786435:JZZ786436 KJV786435:KJV786436 KTR786435:KTR786436 LDN786435:LDN786436 LNJ786435:LNJ786436 LXF786435:LXF786436 MHB786435:MHB786436 MQX786435:MQX786436 NAT786435:NAT786436 NKP786435:NKP786436 NUL786435:NUL786436 OEH786435:OEH786436 OOD786435:OOD786436 OXZ786435:OXZ786436 PHV786435:PHV786436 PRR786435:PRR786436 QBN786435:QBN786436 QLJ786435:QLJ786436 QVF786435:QVF786436 RFB786435:RFB786436 ROX786435:ROX786436 RYT786435:RYT786436 SIP786435:SIP786436 SSL786435:SSL786436 TCH786435:TCH786436 TMD786435:TMD786436 TVZ786435:TVZ786436 UFV786435:UFV786436 UPR786435:UPR786436 UZN786435:UZN786436 VJJ786435:VJJ786436 VTF786435:VTF786436 WDB786435:WDB786436 WMX786435:WMX786436 WWT786435:WWT786436 AL851971:AL851972 KH851971:KH851972 UD851971:UD851972 ADZ851971:ADZ851972 ANV851971:ANV851972 AXR851971:AXR851972 BHN851971:BHN851972 BRJ851971:BRJ851972 CBF851971:CBF851972 CLB851971:CLB851972 CUX851971:CUX851972 DET851971:DET851972 DOP851971:DOP851972 DYL851971:DYL851972 EIH851971:EIH851972 ESD851971:ESD851972 FBZ851971:FBZ851972 FLV851971:FLV851972 FVR851971:FVR851972 GFN851971:GFN851972 GPJ851971:GPJ851972 GZF851971:GZF851972 HJB851971:HJB851972 HSX851971:HSX851972 ICT851971:ICT851972 IMP851971:IMP851972 IWL851971:IWL851972 JGH851971:JGH851972 JQD851971:JQD851972 JZZ851971:JZZ851972 KJV851971:KJV851972 KTR851971:KTR851972 LDN851971:LDN851972 LNJ851971:LNJ851972 LXF851971:LXF851972 MHB851971:MHB851972 MQX851971:MQX851972 NAT851971:NAT851972 NKP851971:NKP851972 NUL851971:NUL851972 OEH851971:OEH851972 OOD851971:OOD851972 OXZ851971:OXZ851972 PHV851971:PHV851972 PRR851971:PRR851972 QBN851971:QBN851972 QLJ851971:QLJ851972 QVF851971:QVF851972 RFB851971:RFB851972 ROX851971:ROX851972 RYT851971:RYT851972 SIP851971:SIP851972 SSL851971:SSL851972 TCH851971:TCH851972 TMD851971:TMD851972 TVZ851971:TVZ851972 UFV851971:UFV851972 UPR851971:UPR851972 UZN851971:UZN851972 VJJ851971:VJJ851972 VTF851971:VTF851972 WDB851971:WDB851972 WMX851971:WMX851972 WWT851971:WWT851972 AL917507:AL917508 KH917507:KH917508 UD917507:UD917508 ADZ917507:ADZ917508 ANV917507:ANV917508 AXR917507:AXR917508 BHN917507:BHN917508 BRJ917507:BRJ917508 CBF917507:CBF917508 CLB917507:CLB917508 CUX917507:CUX917508 DET917507:DET917508 DOP917507:DOP917508 DYL917507:DYL917508 EIH917507:EIH917508 ESD917507:ESD917508 FBZ917507:FBZ917508 FLV917507:FLV917508 FVR917507:FVR917508 GFN917507:GFN917508 GPJ917507:GPJ917508 GZF917507:GZF917508 HJB917507:HJB917508 HSX917507:HSX917508 ICT917507:ICT917508 IMP917507:IMP917508 IWL917507:IWL917508 JGH917507:JGH917508 JQD917507:JQD917508 JZZ917507:JZZ917508 KJV917507:KJV917508 KTR917507:KTR917508 LDN917507:LDN917508 LNJ917507:LNJ917508 LXF917507:LXF917508 MHB917507:MHB917508 MQX917507:MQX917508 NAT917507:NAT917508 NKP917507:NKP917508 NUL917507:NUL917508 OEH917507:OEH917508 OOD917507:OOD917508 OXZ917507:OXZ917508 PHV917507:PHV917508 PRR917507:PRR917508 QBN917507:QBN917508 QLJ917507:QLJ917508 QVF917507:QVF917508 RFB917507:RFB917508 ROX917507:ROX917508 RYT917507:RYT917508 SIP917507:SIP917508 SSL917507:SSL917508 TCH917507:TCH917508 TMD917507:TMD917508 TVZ917507:TVZ917508 UFV917507:UFV917508 UPR917507:UPR917508 UZN917507:UZN917508 VJJ917507:VJJ917508 VTF917507:VTF917508 WDB917507:WDB917508 WMX917507:WMX917508 WWT917507:WWT917508 AL983043:AL983044 KH983043:KH983044 UD983043:UD983044 ADZ983043:ADZ983044 ANV983043:ANV983044 AXR983043:AXR983044 BHN983043:BHN983044 BRJ983043:BRJ983044 CBF983043:CBF983044 CLB983043:CLB983044 CUX983043:CUX983044 DET983043:DET983044 DOP983043:DOP983044 DYL983043:DYL983044 EIH983043:EIH983044 ESD983043:ESD983044 FBZ983043:FBZ983044 FLV983043:FLV983044 FVR983043:FVR983044 GFN983043:GFN983044 GPJ983043:GPJ983044 GZF983043:GZF983044 HJB983043:HJB983044 HSX983043:HSX983044 ICT983043:ICT983044 IMP983043:IMP983044 IWL983043:IWL983044 JGH983043:JGH983044 JQD983043:JQD983044 JZZ983043:JZZ983044 KJV983043:KJV983044 KTR983043:KTR983044 LDN983043:LDN983044 LNJ983043:LNJ983044 LXF983043:LXF983044 MHB983043:MHB983044 MQX983043:MQX983044 NAT983043:NAT983044 NKP983043:NKP983044 NUL983043:NUL983044 OEH983043:OEH983044 OOD983043:OOD983044 OXZ983043:OXZ983044 PHV983043:PHV983044 PRR983043:PRR983044 QBN983043:QBN983044 QLJ983043:QLJ983044 QVF983043:QVF983044 RFB983043:RFB983044 ROX983043:ROX983044 RYT983043:RYT983044 SIP983043:SIP983044 SSL983043:SSL983044 TCH983043:TCH983044 TMD983043:TMD983044 TVZ983043:TVZ983044 UFV983043:UFV983044 UPR983043:UPR983044 UZN983043:UZN983044 VJJ983043:VJJ983044 VTF983043:VTF983044 WDB983043:WDB983044 WMX983043:WMX983044 WWT983043:WWT983044 AP983043:AP983044 KL983043:KL983044 UH983043:UH983044 AED983043:AED983044 ANZ983043:ANZ983044 AXV983043:AXV983044 BHR983043:BHR983044 BRN983043:BRN983044 CBJ983043:CBJ983044 CLF983043:CLF983044 CVB983043:CVB983044 DEX983043:DEX983044 DOT983043:DOT983044 DYP983043:DYP983044 EIL983043:EIL983044 ESH983043:ESH983044 FCD983043:FCD983044 FLZ983043:FLZ983044 FVV983043:FVV983044 GFR983043:GFR983044 GPN983043:GPN983044 GZJ983043:GZJ983044 HJF983043:HJF983044 HTB983043:HTB983044 ICX983043:ICX983044 IMT983043:IMT983044 IWP983043:IWP983044 JGL983043:JGL983044 JQH983043:JQH983044 KAD983043:KAD983044 KJZ983043:KJZ983044 KTV983043:KTV983044 LDR983043:LDR983044 LNN983043:LNN983044 LXJ983043:LXJ983044 MHF983043:MHF983044 MRB983043:MRB983044 NAX983043:NAX983044 NKT983043:NKT983044 NUP983043:NUP983044 OEL983043:OEL983044 OOH983043:OOH983044 OYD983043:OYD983044 PHZ983043:PHZ983044 PRV983043:PRV983044 QBR983043:QBR983044 QLN983043:QLN983044 QVJ983043:QVJ983044 RFF983043:RFF983044 RPB983043:RPB983044 RYX983043:RYX983044 SIT983043:SIT983044 SSP983043:SSP983044 TCL983043:TCL983044 TMH983043:TMH983044 TWD983043:TWD983044 UFZ983043:UFZ983044 UPV983043:UPV983044 UZR983043:UZR983044 VJN983043:VJN983044 VTJ983043:VTJ983044 WDF983043:WDF983044 WNB983043:WNB983044 WWX983043:WWX983044 AP65539:AP65540 KL65539:KL65540 UH65539:UH65540 AED65539:AED65540 ANZ65539:ANZ65540 AXV65539:AXV65540 BHR65539:BHR65540 BRN65539:BRN65540 CBJ65539:CBJ65540 CLF65539:CLF65540 CVB65539:CVB65540 DEX65539:DEX65540 DOT65539:DOT65540 DYP65539:DYP65540 EIL65539:EIL65540 ESH65539:ESH65540 FCD65539:FCD65540 FLZ65539:FLZ65540 FVV65539:FVV65540 GFR65539:GFR65540 GPN65539:GPN65540 GZJ65539:GZJ65540 HJF65539:HJF65540 HTB65539:HTB65540 ICX65539:ICX65540 IMT65539:IMT65540 IWP65539:IWP65540 JGL65539:JGL65540 JQH65539:JQH65540 KAD65539:KAD65540 KJZ65539:KJZ65540 KTV65539:KTV65540 LDR65539:LDR65540 LNN65539:LNN65540 LXJ65539:LXJ65540 MHF65539:MHF65540 MRB65539:MRB65540 NAX65539:NAX65540 NKT65539:NKT65540 NUP65539:NUP65540 OEL65539:OEL65540 OOH65539:OOH65540 OYD65539:OYD65540 PHZ65539:PHZ65540 PRV65539:PRV65540 QBR65539:QBR65540 QLN65539:QLN65540 QVJ65539:QVJ65540 RFF65539:RFF65540 RPB65539:RPB65540 RYX65539:RYX65540 SIT65539:SIT65540 SSP65539:SSP65540 TCL65539:TCL65540 TMH65539:TMH65540 TWD65539:TWD65540 UFZ65539:UFZ65540 UPV65539:UPV65540 UZR65539:UZR65540 VJN65539:VJN65540 VTJ65539:VTJ65540 WDF65539:WDF65540 WNB65539:WNB65540 WWX65539:WWX65540 AP131075:AP131076 KL131075:KL131076 UH131075:UH131076 AED131075:AED131076 ANZ131075:ANZ131076 AXV131075:AXV131076 BHR131075:BHR131076 BRN131075:BRN131076 CBJ131075:CBJ131076 CLF131075:CLF131076 CVB131075:CVB131076 DEX131075:DEX131076 DOT131075:DOT131076 DYP131075:DYP131076 EIL131075:EIL131076 ESH131075:ESH131076 FCD131075:FCD131076 FLZ131075:FLZ131076 FVV131075:FVV131076 GFR131075:GFR131076 GPN131075:GPN131076 GZJ131075:GZJ131076 HJF131075:HJF131076 HTB131075:HTB131076 ICX131075:ICX131076 IMT131075:IMT131076 IWP131075:IWP131076 JGL131075:JGL131076 JQH131075:JQH131076 KAD131075:KAD131076 KJZ131075:KJZ131076 KTV131075:KTV131076 LDR131075:LDR131076 LNN131075:LNN131076 LXJ131075:LXJ131076 MHF131075:MHF131076 MRB131075:MRB131076 NAX131075:NAX131076 NKT131075:NKT131076 NUP131075:NUP131076 OEL131075:OEL131076 OOH131075:OOH131076 OYD131075:OYD131076 PHZ131075:PHZ131076 PRV131075:PRV131076 QBR131075:QBR131076 QLN131075:QLN131076 QVJ131075:QVJ131076 RFF131075:RFF131076 RPB131075:RPB131076 RYX131075:RYX131076 SIT131075:SIT131076 SSP131075:SSP131076 TCL131075:TCL131076 TMH131075:TMH131076 TWD131075:TWD131076 UFZ131075:UFZ131076 UPV131075:UPV131076 UZR131075:UZR131076 VJN131075:VJN131076 VTJ131075:VTJ131076 WDF131075:WDF131076 WNB131075:WNB131076 WWX131075:WWX131076 AP196611:AP196612 KL196611:KL196612 UH196611:UH196612 AED196611:AED196612 ANZ196611:ANZ196612 AXV196611:AXV196612 BHR196611:BHR196612 BRN196611:BRN196612 CBJ196611:CBJ196612 CLF196611:CLF196612 CVB196611:CVB196612 DEX196611:DEX196612 DOT196611:DOT196612 DYP196611:DYP196612 EIL196611:EIL196612 ESH196611:ESH196612 FCD196611:FCD196612 FLZ196611:FLZ196612 FVV196611:FVV196612 GFR196611:GFR196612 GPN196611:GPN196612 GZJ196611:GZJ196612 HJF196611:HJF196612 HTB196611:HTB196612 ICX196611:ICX196612 IMT196611:IMT196612 IWP196611:IWP196612 JGL196611:JGL196612 JQH196611:JQH196612 KAD196611:KAD196612 KJZ196611:KJZ196612 KTV196611:KTV196612 LDR196611:LDR196612 LNN196611:LNN196612 LXJ196611:LXJ196612 MHF196611:MHF196612 MRB196611:MRB196612 NAX196611:NAX196612 NKT196611:NKT196612 NUP196611:NUP196612 OEL196611:OEL196612 OOH196611:OOH196612 OYD196611:OYD196612 PHZ196611:PHZ196612 PRV196611:PRV196612 QBR196611:QBR196612 QLN196611:QLN196612 QVJ196611:QVJ196612 RFF196611:RFF196612 RPB196611:RPB196612 RYX196611:RYX196612 SIT196611:SIT196612 SSP196611:SSP196612 TCL196611:TCL196612 TMH196611:TMH196612 TWD196611:TWD196612 UFZ196611:UFZ196612 UPV196611:UPV196612 UZR196611:UZR196612 VJN196611:VJN196612 VTJ196611:VTJ196612 WDF196611:WDF196612 WNB196611:WNB196612 WWX196611:WWX196612 AP262147:AP262148 KL262147:KL262148 UH262147:UH262148 AED262147:AED262148 ANZ262147:ANZ262148 AXV262147:AXV262148 BHR262147:BHR262148 BRN262147:BRN262148 CBJ262147:CBJ262148 CLF262147:CLF262148 CVB262147:CVB262148 DEX262147:DEX262148 DOT262147:DOT262148 DYP262147:DYP262148 EIL262147:EIL262148 ESH262147:ESH262148 FCD262147:FCD262148 FLZ262147:FLZ262148 FVV262147:FVV262148 GFR262147:GFR262148 GPN262147:GPN262148 GZJ262147:GZJ262148 HJF262147:HJF262148 HTB262147:HTB262148 ICX262147:ICX262148 IMT262147:IMT262148 IWP262147:IWP262148 JGL262147:JGL262148 JQH262147:JQH262148 KAD262147:KAD262148 KJZ262147:KJZ262148 KTV262147:KTV262148 LDR262147:LDR262148 LNN262147:LNN262148 LXJ262147:LXJ262148 MHF262147:MHF262148 MRB262147:MRB262148 NAX262147:NAX262148 NKT262147:NKT262148 NUP262147:NUP262148 OEL262147:OEL262148 OOH262147:OOH262148 OYD262147:OYD262148 PHZ262147:PHZ262148 PRV262147:PRV262148 QBR262147:QBR262148 QLN262147:QLN262148 QVJ262147:QVJ262148 RFF262147:RFF262148 RPB262147:RPB262148 RYX262147:RYX262148 SIT262147:SIT262148 SSP262147:SSP262148 TCL262147:TCL262148 TMH262147:TMH262148 TWD262147:TWD262148 UFZ262147:UFZ262148 UPV262147:UPV262148 UZR262147:UZR262148 VJN262147:VJN262148 VTJ262147:VTJ262148 WDF262147:WDF262148 WNB262147:WNB262148 WWX262147:WWX262148 AP327683:AP327684 KL327683:KL327684 UH327683:UH327684 AED327683:AED327684 ANZ327683:ANZ327684 AXV327683:AXV327684 BHR327683:BHR327684 BRN327683:BRN327684 CBJ327683:CBJ327684 CLF327683:CLF327684 CVB327683:CVB327684 DEX327683:DEX327684 DOT327683:DOT327684 DYP327683:DYP327684 EIL327683:EIL327684 ESH327683:ESH327684 FCD327683:FCD327684 FLZ327683:FLZ327684 FVV327683:FVV327684 GFR327683:GFR327684 GPN327683:GPN327684 GZJ327683:GZJ327684 HJF327683:HJF327684 HTB327683:HTB327684 ICX327683:ICX327684 IMT327683:IMT327684 IWP327683:IWP327684 JGL327683:JGL327684 JQH327683:JQH327684 KAD327683:KAD327684 KJZ327683:KJZ327684 KTV327683:KTV327684 LDR327683:LDR327684 LNN327683:LNN327684 LXJ327683:LXJ327684 MHF327683:MHF327684 MRB327683:MRB327684 NAX327683:NAX327684 NKT327683:NKT327684 NUP327683:NUP327684 OEL327683:OEL327684 OOH327683:OOH327684 OYD327683:OYD327684 PHZ327683:PHZ327684 PRV327683:PRV327684 QBR327683:QBR327684 QLN327683:QLN327684 QVJ327683:QVJ327684 RFF327683:RFF327684 RPB327683:RPB327684 RYX327683:RYX327684 SIT327683:SIT327684 SSP327683:SSP327684 TCL327683:TCL327684 TMH327683:TMH327684 TWD327683:TWD327684 UFZ327683:UFZ327684 UPV327683:UPV327684 UZR327683:UZR327684 VJN327683:VJN327684 VTJ327683:VTJ327684 WDF327683:WDF327684 WNB327683:WNB327684 WWX327683:WWX327684 AP393219:AP393220 KL393219:KL393220 UH393219:UH393220 AED393219:AED393220 ANZ393219:ANZ393220 AXV393219:AXV393220 BHR393219:BHR393220 BRN393219:BRN393220 CBJ393219:CBJ393220 CLF393219:CLF393220 CVB393219:CVB393220 DEX393219:DEX393220 DOT393219:DOT393220 DYP393219:DYP393220 EIL393219:EIL393220 ESH393219:ESH393220 FCD393219:FCD393220 FLZ393219:FLZ393220 FVV393219:FVV393220 GFR393219:GFR393220 GPN393219:GPN393220 GZJ393219:GZJ393220 HJF393219:HJF393220 HTB393219:HTB393220 ICX393219:ICX393220 IMT393219:IMT393220 IWP393219:IWP393220 JGL393219:JGL393220 JQH393219:JQH393220 KAD393219:KAD393220 KJZ393219:KJZ393220 KTV393219:KTV393220 LDR393219:LDR393220 LNN393219:LNN393220 LXJ393219:LXJ393220 MHF393219:MHF393220 MRB393219:MRB393220 NAX393219:NAX393220 NKT393219:NKT393220 NUP393219:NUP393220 OEL393219:OEL393220 OOH393219:OOH393220 OYD393219:OYD393220 PHZ393219:PHZ393220 PRV393219:PRV393220 QBR393219:QBR393220 QLN393219:QLN393220 QVJ393219:QVJ393220 RFF393219:RFF393220 RPB393219:RPB393220 RYX393219:RYX393220 SIT393219:SIT393220 SSP393219:SSP393220 TCL393219:TCL393220 TMH393219:TMH393220 TWD393219:TWD393220 UFZ393219:UFZ393220 UPV393219:UPV393220 UZR393219:UZR393220 VJN393219:VJN393220 VTJ393219:VTJ393220 WDF393219:WDF393220 WNB393219:WNB393220 WWX393219:WWX393220 AP458755:AP458756 KL458755:KL458756 UH458755:UH458756 AED458755:AED458756 ANZ458755:ANZ458756 AXV458755:AXV458756 BHR458755:BHR458756 BRN458755:BRN458756 CBJ458755:CBJ458756 CLF458755:CLF458756 CVB458755:CVB458756 DEX458755:DEX458756 DOT458755:DOT458756 DYP458755:DYP458756 EIL458755:EIL458756 ESH458755:ESH458756 FCD458755:FCD458756 FLZ458755:FLZ458756 FVV458755:FVV458756 GFR458755:GFR458756 GPN458755:GPN458756 GZJ458755:GZJ458756 HJF458755:HJF458756 HTB458755:HTB458756 ICX458755:ICX458756 IMT458755:IMT458756 IWP458755:IWP458756 JGL458755:JGL458756 JQH458755:JQH458756 KAD458755:KAD458756 KJZ458755:KJZ458756 KTV458755:KTV458756 LDR458755:LDR458756 LNN458755:LNN458756 LXJ458755:LXJ458756 MHF458755:MHF458756 MRB458755:MRB458756 NAX458755:NAX458756 NKT458755:NKT458756 NUP458755:NUP458756 OEL458755:OEL458756 OOH458755:OOH458756 OYD458755:OYD458756 PHZ458755:PHZ458756 PRV458755:PRV458756 QBR458755:QBR458756 QLN458755:QLN458756 QVJ458755:QVJ458756 RFF458755:RFF458756 RPB458755:RPB458756 RYX458755:RYX458756 SIT458755:SIT458756 SSP458755:SSP458756 TCL458755:TCL458756 TMH458755:TMH458756 TWD458755:TWD458756 UFZ458755:UFZ458756 UPV458755:UPV458756 UZR458755:UZR458756 VJN458755:VJN458756 VTJ458755:VTJ458756 WDF458755:WDF458756 WNB458755:WNB458756 WWX458755:WWX458756 AP524291:AP524292 KL524291:KL524292 UH524291:UH524292 AED524291:AED524292 ANZ524291:ANZ524292 AXV524291:AXV524292 BHR524291:BHR524292 BRN524291:BRN524292 CBJ524291:CBJ524292 CLF524291:CLF524292 CVB524291:CVB524292 DEX524291:DEX524292 DOT524291:DOT524292 DYP524291:DYP524292 EIL524291:EIL524292 ESH524291:ESH524292 FCD524291:FCD524292 FLZ524291:FLZ524292 FVV524291:FVV524292 GFR524291:GFR524292 GPN524291:GPN524292 GZJ524291:GZJ524292 HJF524291:HJF524292 HTB524291:HTB524292 ICX524291:ICX524292 IMT524291:IMT524292 IWP524291:IWP524292 JGL524291:JGL524292 JQH524291:JQH524292 KAD524291:KAD524292 KJZ524291:KJZ524292 KTV524291:KTV524292 LDR524291:LDR524292 LNN524291:LNN524292 LXJ524291:LXJ524292 MHF524291:MHF524292 MRB524291:MRB524292 NAX524291:NAX524292 NKT524291:NKT524292 NUP524291:NUP524292 OEL524291:OEL524292 OOH524291:OOH524292 OYD524291:OYD524292 PHZ524291:PHZ524292 PRV524291:PRV524292 QBR524291:QBR524292 QLN524291:QLN524292 QVJ524291:QVJ524292 RFF524291:RFF524292 RPB524291:RPB524292 RYX524291:RYX524292 SIT524291:SIT524292 SSP524291:SSP524292 TCL524291:TCL524292 TMH524291:TMH524292 TWD524291:TWD524292 UFZ524291:UFZ524292 UPV524291:UPV524292 UZR524291:UZR524292 VJN524291:VJN524292 VTJ524291:VTJ524292 WDF524291:WDF524292 WNB524291:WNB524292 WWX524291:WWX524292 AP589827:AP589828 KL589827:KL589828 UH589827:UH589828 AED589827:AED589828 ANZ589827:ANZ589828 AXV589827:AXV589828 BHR589827:BHR589828 BRN589827:BRN589828 CBJ589827:CBJ589828 CLF589827:CLF589828 CVB589827:CVB589828 DEX589827:DEX589828 DOT589827:DOT589828 DYP589827:DYP589828 EIL589827:EIL589828 ESH589827:ESH589828 FCD589827:FCD589828 FLZ589827:FLZ589828 FVV589827:FVV589828 GFR589827:GFR589828 GPN589827:GPN589828 GZJ589827:GZJ589828 HJF589827:HJF589828 HTB589827:HTB589828 ICX589827:ICX589828 IMT589827:IMT589828 IWP589827:IWP589828 JGL589827:JGL589828 JQH589827:JQH589828 KAD589827:KAD589828 KJZ589827:KJZ589828 KTV589827:KTV589828 LDR589827:LDR589828 LNN589827:LNN589828 LXJ589827:LXJ589828 MHF589827:MHF589828 MRB589827:MRB589828 NAX589827:NAX589828 NKT589827:NKT589828 NUP589827:NUP589828 OEL589827:OEL589828 OOH589827:OOH589828 OYD589827:OYD589828 PHZ589827:PHZ589828 PRV589827:PRV589828 QBR589827:QBR589828 QLN589827:QLN589828 QVJ589827:QVJ589828 RFF589827:RFF589828 RPB589827:RPB589828 RYX589827:RYX589828 SIT589827:SIT589828 SSP589827:SSP589828 TCL589827:TCL589828 TMH589827:TMH589828 TWD589827:TWD589828 UFZ589827:UFZ589828 UPV589827:UPV589828 UZR589827:UZR589828 VJN589827:VJN589828 VTJ589827:VTJ589828 WDF589827:WDF589828 WNB589827:WNB589828 WWX589827:WWX589828 AP655363:AP655364 KL655363:KL655364 UH655363:UH655364 AED655363:AED655364 ANZ655363:ANZ655364 AXV655363:AXV655364 BHR655363:BHR655364 BRN655363:BRN655364 CBJ655363:CBJ655364 CLF655363:CLF655364 CVB655363:CVB655364 DEX655363:DEX655364 DOT655363:DOT655364 DYP655363:DYP655364 EIL655363:EIL655364 ESH655363:ESH655364 FCD655363:FCD655364 FLZ655363:FLZ655364 FVV655363:FVV655364 GFR655363:GFR655364 GPN655363:GPN655364 GZJ655363:GZJ655364 HJF655363:HJF655364 HTB655363:HTB655364 ICX655363:ICX655364 IMT655363:IMT655364 IWP655363:IWP655364 JGL655363:JGL655364 JQH655363:JQH655364 KAD655363:KAD655364 KJZ655363:KJZ655364 KTV655363:KTV655364 LDR655363:LDR655364 LNN655363:LNN655364 LXJ655363:LXJ655364 MHF655363:MHF655364 MRB655363:MRB655364 NAX655363:NAX655364 NKT655363:NKT655364 NUP655363:NUP655364 OEL655363:OEL655364 OOH655363:OOH655364 OYD655363:OYD655364 PHZ655363:PHZ655364 PRV655363:PRV655364 QBR655363:QBR655364 QLN655363:QLN655364 QVJ655363:QVJ655364 RFF655363:RFF655364 RPB655363:RPB655364 RYX655363:RYX655364 SIT655363:SIT655364 SSP655363:SSP655364 TCL655363:TCL655364 TMH655363:TMH655364 TWD655363:TWD655364 UFZ655363:UFZ655364 UPV655363:UPV655364 UZR655363:UZR655364 VJN655363:VJN655364 VTJ655363:VTJ655364 WDF655363:WDF655364 WNB655363:WNB655364 WWX655363:WWX655364 Z3:Z4 JV3:JV4 TR3:TR4 ADN3:ADN4 ANJ3:ANJ4 AXF3:AXF4 BHB3:BHB4 BQX3:BQX4 CAT3:CAT4 CKP3:CKP4 CUL3:CUL4 DEH3:DEH4 DOD3:DOD4 DXZ3:DXZ4 EHV3:EHV4 ERR3:ERR4 FBN3:FBN4 FLJ3:FLJ4 FVF3:FVF4 GFB3:GFB4 GOX3:GOX4 GYT3:GYT4 HIP3:HIP4 HSL3:HSL4 ICH3:ICH4 IMD3:IMD4 IVZ3:IVZ4 JFV3:JFV4 JPR3:JPR4 JZN3:JZN4 KJJ3:KJJ4 KTF3:KTF4 LDB3:LDB4 LMX3:LMX4 LWT3:LWT4 MGP3:MGP4 MQL3:MQL4 NAH3:NAH4 NKD3:NKD4 NTZ3:NTZ4 ODV3:ODV4 ONR3:ONR4 OXN3:OXN4 PHJ3:PHJ4 PRF3:PRF4 QBB3:QBB4 QKX3:QKX4 QUT3:QUT4 REP3:REP4 ROL3:ROL4 RYH3:RYH4 SID3:SID4 SRZ3:SRZ4 TBV3:TBV4 TLR3:TLR4 TVN3:TVN4 UFJ3:UFJ4 UPF3:UPF4 UZB3:UZB4 VIX3:VIX4 VST3:VST4 WCP3:WCP4 WML3:WML4 WWH3:WWH4 AD3:AD4 JZ3:JZ4 TV3:TV4 ADR3:ADR4 ANN3:ANN4 AXJ3:AXJ4 BHF3:BHF4 BRB3:BRB4 CAX3:CAX4 CKT3:CKT4 CUP3:CUP4 DEL3:DEL4 DOH3:DOH4 DYD3:DYD4 EHZ3:EHZ4 ERV3:ERV4 FBR3:FBR4 FLN3:FLN4 FVJ3:FVJ4 GFF3:GFF4 GPB3:GPB4 GYX3:GYX4 HIT3:HIT4 HSP3:HSP4 ICL3:ICL4 IMH3:IMH4 IWD3:IWD4 JFZ3:JFZ4 JPV3:JPV4 JZR3:JZR4 KJN3:KJN4 KTJ3:KTJ4 LDF3:LDF4 LNB3:LNB4 LWX3:LWX4 MGT3:MGT4 MQP3:MQP4 NAL3:NAL4 NKH3:NKH4 NUD3:NUD4 ODZ3:ODZ4 ONV3:ONV4 OXR3:OXR4 PHN3:PHN4 PRJ3:PRJ4 QBF3:QBF4 QLB3:QLB4 QUX3:QUX4 RET3:RET4 ROP3:ROP4 RYL3:RYL4 SIH3:SIH4 SSD3:SSD4 TBZ3:TBZ4 TLV3:TLV4 TVR3:TVR4 UFN3:UFN4 UPJ3:UPJ4 UZF3:UZF4 VJB3:VJB4 VSX3:VSX4 WCT3:WCT4 WMP3:WMP4 WWL3:WWL4 AH3:AH4 KD3:KD4 TZ3:TZ4 ADV3:ADV4 ANR3:ANR4 AXN3:AXN4 BHJ3:BHJ4 BRF3:BRF4 CBB3:CBB4 CKX3:CKX4 CUT3:CUT4 DEP3:DEP4 DOL3:DOL4 DYH3:DYH4 EID3:EID4 ERZ3:ERZ4 FBV3:FBV4 FLR3:FLR4 FVN3:FVN4 GFJ3:GFJ4 GPF3:GPF4 GZB3:GZB4 HIX3:HIX4 HST3:HST4 ICP3:ICP4 IML3:IML4 IWH3:IWH4 JGD3:JGD4 JPZ3:JPZ4 JZV3:JZV4 KJR3:KJR4 KTN3:KTN4 LDJ3:LDJ4 LNF3:LNF4 LXB3:LXB4 MGX3:MGX4 MQT3:MQT4 NAP3:NAP4 NKL3:NKL4 NUH3:NUH4 OED3:OED4 ONZ3:ONZ4 OXV3:OXV4 PHR3:PHR4 PRN3:PRN4 QBJ3:QBJ4 QLF3:QLF4 QVB3:QVB4 REX3:REX4 ROT3:ROT4 RYP3:RYP4 SIL3:SIL4 SSH3:SSH4 TCD3:TCD4 TLZ3:TLZ4 TVV3:TVV4 UFR3:UFR4 UPN3:UPN4 UZJ3:UZJ4 VJF3:VJF4 VTB3:VTB4 WCX3:WCX4 WMT3:WMT4 WWP3:WWP4 AL3:AL4 KH3:KH4 UD3:UD4 ADZ3:ADZ4 ANV3:ANV4 AXR3:AXR4 BHN3:BHN4 BRJ3:BRJ4 CBF3:CBF4 CLB3:CLB4 CUX3:CUX4 DET3:DET4 DOP3:DOP4 DYL3:DYL4 EIH3:EIH4 ESD3:ESD4 FBZ3:FBZ4 FLV3:FLV4 FVR3:FVR4 GFN3:GFN4 GPJ3:GPJ4 GZF3:GZF4 HJB3:HJB4 HSX3:HSX4 ICT3:ICT4 IMP3:IMP4 IWL3:IWL4 JGH3:JGH4 JQD3:JQD4 JZZ3:JZZ4 KJV3:KJV4 KTR3:KTR4 LDN3:LDN4 LNJ3:LNJ4 LXF3:LXF4 MHB3:MHB4 MQX3:MQX4 NAT3:NAT4 NKP3:NKP4 NUL3:NUL4 OEH3:OEH4 OOD3:OOD4 OXZ3:OXZ4 PHV3:PHV4 PRR3:PRR4 QBN3:QBN4 QLJ3:QLJ4 QVF3:QVF4 RFB3:RFB4 ROX3:ROX4 RYT3:RYT4 SIP3:SIP4 SSL3:SSL4 TCH3:TCH4 TMD3:TMD4 TVZ3:TVZ4 UFV3:UFV4 UPR3:UPR4 UZN3:UZN4 VJJ3:VJJ4 VTF3:VTF4 WDB3:WDB4 WMX3:WMX4 WWT3:WWT4 AP3:AP4 KL3:KL4 UH3:UH4 AED3:AED4 ANZ3:ANZ4 AXV3:AXV4 BHR3:BHR4 BRN3:BRN4 CBJ3:CBJ4 CLF3:CLF4 CVB3:CVB4 DEX3:DEX4 DOT3:DOT4 DYP3:DYP4 EIL3:EIL4 ESH3:ESH4 FCD3:FCD4 FLZ3:FLZ4 FVV3:FVV4 GFR3:GFR4 GPN3:GPN4 GZJ3:GZJ4 HJF3:HJF4 HTB3:HTB4 ICX3:ICX4 IMT3:IMT4 IWP3:IWP4 JGL3:JGL4 JQH3:JQH4 KAD3:KAD4 KJZ3:KJZ4 KTV3:KTV4 LDR3:LDR4 LNN3:LNN4 LXJ3:LXJ4 MHF3:MHF4 MRB3:MRB4 NAX3:NAX4 NKT3:NKT4 NUP3:NUP4 OEL3:OEL4 OOH3:OOH4 OYD3:OYD4 PHZ3:PHZ4 PRV3:PRV4 QBR3:QBR4 QLN3:QLN4 QVJ3:QVJ4 RFF3:RFF4 RPB3:RPB4 RYX3:RYX4 SIT3:SIT4 SSP3:SSP4 TCL3:TCL4 TMH3:TMH4 TWD3:TWD4 UFZ3:UFZ4 UPV3:UPV4 UZR3:UZR4 VJN3:VJN4 VTJ3:VTJ4 WDF3:WDF4 WNB3:WNB4 WWX3:WWX4" xr:uid="{00000000-0002-0000-0600-000005000000}"/>
    <dataValidation allowBlank="1" showInputMessage="1" showErrorMessage="1" promptTitle="UPC" prompt="Enter the item UPC here." sqref="Y983043:Y983265 JU983043:JU983265 TQ983043:TQ983265 ADM983043:ADM983265 ANI983043:ANI983265 AXE983043:AXE983265 BHA983043:BHA983265 BQW983043:BQW983265 CAS983043:CAS983265 CKO983043:CKO983265 CUK983043:CUK983265 DEG983043:DEG983265 DOC983043:DOC983265 DXY983043:DXY983265 EHU983043:EHU983265 ERQ983043:ERQ983265 FBM983043:FBM983265 FLI983043:FLI983265 FVE983043:FVE983265 GFA983043:GFA983265 GOW983043:GOW983265 GYS983043:GYS983265 HIO983043:HIO983265 HSK983043:HSK983265 ICG983043:ICG983265 IMC983043:IMC983265 IVY983043:IVY983265 JFU983043:JFU983265 JPQ983043:JPQ983265 JZM983043:JZM983265 KJI983043:KJI983265 KTE983043:KTE983265 LDA983043:LDA983265 LMW983043:LMW983265 LWS983043:LWS983265 MGO983043:MGO983265 MQK983043:MQK983265 NAG983043:NAG983265 NKC983043:NKC983265 NTY983043:NTY983265 ODU983043:ODU983265 ONQ983043:ONQ983265 OXM983043:OXM983265 PHI983043:PHI983265 PRE983043:PRE983265 QBA983043:QBA983265 QKW983043:QKW983265 QUS983043:QUS983265 REO983043:REO983265 ROK983043:ROK983265 RYG983043:RYG983265 SIC983043:SIC983265 SRY983043:SRY983265 TBU983043:TBU983265 TLQ983043:TLQ983265 TVM983043:TVM983265 UFI983043:UFI983265 UPE983043:UPE983265 UZA983043:UZA983265 VIW983043:VIW983265 VSS983043:VSS983265 WCO983043:WCO983265 WMK983043:WMK983265 WWG983043:WWG983265 Y65539:Y65761 JU65539:JU65761 TQ65539:TQ65761 ADM65539:ADM65761 ANI65539:ANI65761 AXE65539:AXE65761 BHA65539:BHA65761 BQW65539:BQW65761 CAS65539:CAS65761 CKO65539:CKO65761 CUK65539:CUK65761 DEG65539:DEG65761 DOC65539:DOC65761 DXY65539:DXY65761 EHU65539:EHU65761 ERQ65539:ERQ65761 FBM65539:FBM65761 FLI65539:FLI65761 FVE65539:FVE65761 GFA65539:GFA65761 GOW65539:GOW65761 GYS65539:GYS65761 HIO65539:HIO65761 HSK65539:HSK65761 ICG65539:ICG65761 IMC65539:IMC65761 IVY65539:IVY65761 JFU65539:JFU65761 JPQ65539:JPQ65761 JZM65539:JZM65761 KJI65539:KJI65761 KTE65539:KTE65761 LDA65539:LDA65761 LMW65539:LMW65761 LWS65539:LWS65761 MGO65539:MGO65761 MQK65539:MQK65761 NAG65539:NAG65761 NKC65539:NKC65761 NTY65539:NTY65761 ODU65539:ODU65761 ONQ65539:ONQ65761 OXM65539:OXM65761 PHI65539:PHI65761 PRE65539:PRE65761 QBA65539:QBA65761 QKW65539:QKW65761 QUS65539:QUS65761 REO65539:REO65761 ROK65539:ROK65761 RYG65539:RYG65761 SIC65539:SIC65761 SRY65539:SRY65761 TBU65539:TBU65761 TLQ65539:TLQ65761 TVM65539:TVM65761 UFI65539:UFI65761 UPE65539:UPE65761 UZA65539:UZA65761 VIW65539:VIW65761 VSS65539:VSS65761 WCO65539:WCO65761 WMK65539:WMK65761 WWG65539:WWG65761 Y131075:Y131297 JU131075:JU131297 TQ131075:TQ131297 ADM131075:ADM131297 ANI131075:ANI131297 AXE131075:AXE131297 BHA131075:BHA131297 BQW131075:BQW131297 CAS131075:CAS131297 CKO131075:CKO131297 CUK131075:CUK131297 DEG131075:DEG131297 DOC131075:DOC131297 DXY131075:DXY131297 EHU131075:EHU131297 ERQ131075:ERQ131297 FBM131075:FBM131297 FLI131075:FLI131297 FVE131075:FVE131297 GFA131075:GFA131297 GOW131075:GOW131297 GYS131075:GYS131297 HIO131075:HIO131297 HSK131075:HSK131297 ICG131075:ICG131297 IMC131075:IMC131297 IVY131075:IVY131297 JFU131075:JFU131297 JPQ131075:JPQ131297 JZM131075:JZM131297 KJI131075:KJI131297 KTE131075:KTE131297 LDA131075:LDA131297 LMW131075:LMW131297 LWS131075:LWS131297 MGO131075:MGO131297 MQK131075:MQK131297 NAG131075:NAG131297 NKC131075:NKC131297 NTY131075:NTY131297 ODU131075:ODU131297 ONQ131075:ONQ131297 OXM131075:OXM131297 PHI131075:PHI131297 PRE131075:PRE131297 QBA131075:QBA131297 QKW131075:QKW131297 QUS131075:QUS131297 REO131075:REO131297 ROK131075:ROK131297 RYG131075:RYG131297 SIC131075:SIC131297 SRY131075:SRY131297 TBU131075:TBU131297 TLQ131075:TLQ131297 TVM131075:TVM131297 UFI131075:UFI131297 UPE131075:UPE131297 UZA131075:UZA131297 VIW131075:VIW131297 VSS131075:VSS131297 WCO131075:WCO131297 WMK131075:WMK131297 WWG131075:WWG131297 Y196611:Y196833 JU196611:JU196833 TQ196611:TQ196833 ADM196611:ADM196833 ANI196611:ANI196833 AXE196611:AXE196833 BHA196611:BHA196833 BQW196611:BQW196833 CAS196611:CAS196833 CKO196611:CKO196833 CUK196611:CUK196833 DEG196611:DEG196833 DOC196611:DOC196833 DXY196611:DXY196833 EHU196611:EHU196833 ERQ196611:ERQ196833 FBM196611:FBM196833 FLI196611:FLI196833 FVE196611:FVE196833 GFA196611:GFA196833 GOW196611:GOW196833 GYS196611:GYS196833 HIO196611:HIO196833 HSK196611:HSK196833 ICG196611:ICG196833 IMC196611:IMC196833 IVY196611:IVY196833 JFU196611:JFU196833 JPQ196611:JPQ196833 JZM196611:JZM196833 KJI196611:KJI196833 KTE196611:KTE196833 LDA196611:LDA196833 LMW196611:LMW196833 LWS196611:LWS196833 MGO196611:MGO196833 MQK196611:MQK196833 NAG196611:NAG196833 NKC196611:NKC196833 NTY196611:NTY196833 ODU196611:ODU196833 ONQ196611:ONQ196833 OXM196611:OXM196833 PHI196611:PHI196833 PRE196611:PRE196833 QBA196611:QBA196833 QKW196611:QKW196833 QUS196611:QUS196833 REO196611:REO196833 ROK196611:ROK196833 RYG196611:RYG196833 SIC196611:SIC196833 SRY196611:SRY196833 TBU196611:TBU196833 TLQ196611:TLQ196833 TVM196611:TVM196833 UFI196611:UFI196833 UPE196611:UPE196833 UZA196611:UZA196833 VIW196611:VIW196833 VSS196611:VSS196833 WCO196611:WCO196833 WMK196611:WMK196833 WWG196611:WWG196833 Y262147:Y262369 JU262147:JU262369 TQ262147:TQ262369 ADM262147:ADM262369 ANI262147:ANI262369 AXE262147:AXE262369 BHA262147:BHA262369 BQW262147:BQW262369 CAS262147:CAS262369 CKO262147:CKO262369 CUK262147:CUK262369 DEG262147:DEG262369 DOC262147:DOC262369 DXY262147:DXY262369 EHU262147:EHU262369 ERQ262147:ERQ262369 FBM262147:FBM262369 FLI262147:FLI262369 FVE262147:FVE262369 GFA262147:GFA262369 GOW262147:GOW262369 GYS262147:GYS262369 HIO262147:HIO262369 HSK262147:HSK262369 ICG262147:ICG262369 IMC262147:IMC262369 IVY262147:IVY262369 JFU262147:JFU262369 JPQ262147:JPQ262369 JZM262147:JZM262369 KJI262147:KJI262369 KTE262147:KTE262369 LDA262147:LDA262369 LMW262147:LMW262369 LWS262147:LWS262369 MGO262147:MGO262369 MQK262147:MQK262369 NAG262147:NAG262369 NKC262147:NKC262369 NTY262147:NTY262369 ODU262147:ODU262369 ONQ262147:ONQ262369 OXM262147:OXM262369 PHI262147:PHI262369 PRE262147:PRE262369 QBA262147:QBA262369 QKW262147:QKW262369 QUS262147:QUS262369 REO262147:REO262369 ROK262147:ROK262369 RYG262147:RYG262369 SIC262147:SIC262369 SRY262147:SRY262369 TBU262147:TBU262369 TLQ262147:TLQ262369 TVM262147:TVM262369 UFI262147:UFI262369 UPE262147:UPE262369 UZA262147:UZA262369 VIW262147:VIW262369 VSS262147:VSS262369 WCO262147:WCO262369 WMK262147:WMK262369 WWG262147:WWG262369 Y327683:Y327905 JU327683:JU327905 TQ327683:TQ327905 ADM327683:ADM327905 ANI327683:ANI327905 AXE327683:AXE327905 BHA327683:BHA327905 BQW327683:BQW327905 CAS327683:CAS327905 CKO327683:CKO327905 CUK327683:CUK327905 DEG327683:DEG327905 DOC327683:DOC327905 DXY327683:DXY327905 EHU327683:EHU327905 ERQ327683:ERQ327905 FBM327683:FBM327905 FLI327683:FLI327905 FVE327683:FVE327905 GFA327683:GFA327905 GOW327683:GOW327905 GYS327683:GYS327905 HIO327683:HIO327905 HSK327683:HSK327905 ICG327683:ICG327905 IMC327683:IMC327905 IVY327683:IVY327905 JFU327683:JFU327905 JPQ327683:JPQ327905 JZM327683:JZM327905 KJI327683:KJI327905 KTE327683:KTE327905 LDA327683:LDA327905 LMW327683:LMW327905 LWS327683:LWS327905 MGO327683:MGO327905 MQK327683:MQK327905 NAG327683:NAG327905 NKC327683:NKC327905 NTY327683:NTY327905 ODU327683:ODU327905 ONQ327683:ONQ327905 OXM327683:OXM327905 PHI327683:PHI327905 PRE327683:PRE327905 QBA327683:QBA327905 QKW327683:QKW327905 QUS327683:QUS327905 REO327683:REO327905 ROK327683:ROK327905 RYG327683:RYG327905 SIC327683:SIC327905 SRY327683:SRY327905 TBU327683:TBU327905 TLQ327683:TLQ327905 TVM327683:TVM327905 UFI327683:UFI327905 UPE327683:UPE327905 UZA327683:UZA327905 VIW327683:VIW327905 VSS327683:VSS327905 WCO327683:WCO327905 WMK327683:WMK327905 WWG327683:WWG327905 Y393219:Y393441 JU393219:JU393441 TQ393219:TQ393441 ADM393219:ADM393441 ANI393219:ANI393441 AXE393219:AXE393441 BHA393219:BHA393441 BQW393219:BQW393441 CAS393219:CAS393441 CKO393219:CKO393441 CUK393219:CUK393441 DEG393219:DEG393441 DOC393219:DOC393441 DXY393219:DXY393441 EHU393219:EHU393441 ERQ393219:ERQ393441 FBM393219:FBM393441 FLI393219:FLI393441 FVE393219:FVE393441 GFA393219:GFA393441 GOW393219:GOW393441 GYS393219:GYS393441 HIO393219:HIO393441 HSK393219:HSK393441 ICG393219:ICG393441 IMC393219:IMC393441 IVY393219:IVY393441 JFU393219:JFU393441 JPQ393219:JPQ393441 JZM393219:JZM393441 KJI393219:KJI393441 KTE393219:KTE393441 LDA393219:LDA393441 LMW393219:LMW393441 LWS393219:LWS393441 MGO393219:MGO393441 MQK393219:MQK393441 NAG393219:NAG393441 NKC393219:NKC393441 NTY393219:NTY393441 ODU393219:ODU393441 ONQ393219:ONQ393441 OXM393219:OXM393441 PHI393219:PHI393441 PRE393219:PRE393441 QBA393219:QBA393441 QKW393219:QKW393441 QUS393219:QUS393441 REO393219:REO393441 ROK393219:ROK393441 RYG393219:RYG393441 SIC393219:SIC393441 SRY393219:SRY393441 TBU393219:TBU393441 TLQ393219:TLQ393441 TVM393219:TVM393441 UFI393219:UFI393441 UPE393219:UPE393441 UZA393219:UZA393441 VIW393219:VIW393441 VSS393219:VSS393441 WCO393219:WCO393441 WMK393219:WMK393441 WWG393219:WWG393441 Y458755:Y458977 JU458755:JU458977 TQ458755:TQ458977 ADM458755:ADM458977 ANI458755:ANI458977 AXE458755:AXE458977 BHA458755:BHA458977 BQW458755:BQW458977 CAS458755:CAS458977 CKO458755:CKO458977 CUK458755:CUK458977 DEG458755:DEG458977 DOC458755:DOC458977 DXY458755:DXY458977 EHU458755:EHU458977 ERQ458755:ERQ458977 FBM458755:FBM458977 FLI458755:FLI458977 FVE458755:FVE458977 GFA458755:GFA458977 GOW458755:GOW458977 GYS458755:GYS458977 HIO458755:HIO458977 HSK458755:HSK458977 ICG458755:ICG458977 IMC458755:IMC458977 IVY458755:IVY458977 JFU458755:JFU458977 JPQ458755:JPQ458977 JZM458755:JZM458977 KJI458755:KJI458977 KTE458755:KTE458977 LDA458755:LDA458977 LMW458755:LMW458977 LWS458755:LWS458977 MGO458755:MGO458977 MQK458755:MQK458977 NAG458755:NAG458977 NKC458755:NKC458977 NTY458755:NTY458977 ODU458755:ODU458977 ONQ458755:ONQ458977 OXM458755:OXM458977 PHI458755:PHI458977 PRE458755:PRE458977 QBA458755:QBA458977 QKW458755:QKW458977 QUS458755:QUS458977 REO458755:REO458977 ROK458755:ROK458977 RYG458755:RYG458977 SIC458755:SIC458977 SRY458755:SRY458977 TBU458755:TBU458977 TLQ458755:TLQ458977 TVM458755:TVM458977 UFI458755:UFI458977 UPE458755:UPE458977 UZA458755:UZA458977 VIW458755:VIW458977 VSS458755:VSS458977 WCO458755:WCO458977 WMK458755:WMK458977 WWG458755:WWG458977 Y524291:Y524513 JU524291:JU524513 TQ524291:TQ524513 ADM524291:ADM524513 ANI524291:ANI524513 AXE524291:AXE524513 BHA524291:BHA524513 BQW524291:BQW524513 CAS524291:CAS524513 CKO524291:CKO524513 CUK524291:CUK524513 DEG524291:DEG524513 DOC524291:DOC524513 DXY524291:DXY524513 EHU524291:EHU524513 ERQ524291:ERQ524513 FBM524291:FBM524513 FLI524291:FLI524513 FVE524291:FVE524513 GFA524291:GFA524513 GOW524291:GOW524513 GYS524291:GYS524513 HIO524291:HIO524513 HSK524291:HSK524513 ICG524291:ICG524513 IMC524291:IMC524513 IVY524291:IVY524513 JFU524291:JFU524513 JPQ524291:JPQ524513 JZM524291:JZM524513 KJI524291:KJI524513 KTE524291:KTE524513 LDA524291:LDA524513 LMW524291:LMW524513 LWS524291:LWS524513 MGO524291:MGO524513 MQK524291:MQK524513 NAG524291:NAG524513 NKC524291:NKC524513 NTY524291:NTY524513 ODU524291:ODU524513 ONQ524291:ONQ524513 OXM524291:OXM524513 PHI524291:PHI524513 PRE524291:PRE524513 QBA524291:QBA524513 QKW524291:QKW524513 QUS524291:QUS524513 REO524291:REO524513 ROK524291:ROK524513 RYG524291:RYG524513 SIC524291:SIC524513 SRY524291:SRY524513 TBU524291:TBU524513 TLQ524291:TLQ524513 TVM524291:TVM524513 UFI524291:UFI524513 UPE524291:UPE524513 UZA524291:UZA524513 VIW524291:VIW524513 VSS524291:VSS524513 WCO524291:WCO524513 WMK524291:WMK524513 WWG524291:WWG524513 Y589827:Y590049 JU589827:JU590049 TQ589827:TQ590049 ADM589827:ADM590049 ANI589827:ANI590049 AXE589827:AXE590049 BHA589827:BHA590049 BQW589827:BQW590049 CAS589827:CAS590049 CKO589827:CKO590049 CUK589827:CUK590049 DEG589827:DEG590049 DOC589827:DOC590049 DXY589827:DXY590049 EHU589827:EHU590049 ERQ589827:ERQ590049 FBM589827:FBM590049 FLI589827:FLI590049 FVE589827:FVE590049 GFA589827:GFA590049 GOW589827:GOW590049 GYS589827:GYS590049 HIO589827:HIO590049 HSK589827:HSK590049 ICG589827:ICG590049 IMC589827:IMC590049 IVY589827:IVY590049 JFU589827:JFU590049 JPQ589827:JPQ590049 JZM589827:JZM590049 KJI589827:KJI590049 KTE589827:KTE590049 LDA589827:LDA590049 LMW589827:LMW590049 LWS589827:LWS590049 MGO589827:MGO590049 MQK589827:MQK590049 NAG589827:NAG590049 NKC589827:NKC590049 NTY589827:NTY590049 ODU589827:ODU590049 ONQ589827:ONQ590049 OXM589827:OXM590049 PHI589827:PHI590049 PRE589827:PRE590049 QBA589827:QBA590049 QKW589827:QKW590049 QUS589827:QUS590049 REO589827:REO590049 ROK589827:ROK590049 RYG589827:RYG590049 SIC589827:SIC590049 SRY589827:SRY590049 TBU589827:TBU590049 TLQ589827:TLQ590049 TVM589827:TVM590049 UFI589827:UFI590049 UPE589827:UPE590049 UZA589827:UZA590049 VIW589827:VIW590049 VSS589827:VSS590049 WCO589827:WCO590049 WMK589827:WMK590049 WWG589827:WWG590049 Y655363:Y655585 JU655363:JU655585 TQ655363:TQ655585 ADM655363:ADM655585 ANI655363:ANI655585 AXE655363:AXE655585 BHA655363:BHA655585 BQW655363:BQW655585 CAS655363:CAS655585 CKO655363:CKO655585 CUK655363:CUK655585 DEG655363:DEG655585 DOC655363:DOC655585 DXY655363:DXY655585 EHU655363:EHU655585 ERQ655363:ERQ655585 FBM655363:FBM655585 FLI655363:FLI655585 FVE655363:FVE655585 GFA655363:GFA655585 GOW655363:GOW655585 GYS655363:GYS655585 HIO655363:HIO655585 HSK655363:HSK655585 ICG655363:ICG655585 IMC655363:IMC655585 IVY655363:IVY655585 JFU655363:JFU655585 JPQ655363:JPQ655585 JZM655363:JZM655585 KJI655363:KJI655585 KTE655363:KTE655585 LDA655363:LDA655585 LMW655363:LMW655585 LWS655363:LWS655585 MGO655363:MGO655585 MQK655363:MQK655585 NAG655363:NAG655585 NKC655363:NKC655585 NTY655363:NTY655585 ODU655363:ODU655585 ONQ655363:ONQ655585 OXM655363:OXM655585 PHI655363:PHI655585 PRE655363:PRE655585 QBA655363:QBA655585 QKW655363:QKW655585 QUS655363:QUS655585 REO655363:REO655585 ROK655363:ROK655585 RYG655363:RYG655585 SIC655363:SIC655585 SRY655363:SRY655585 TBU655363:TBU655585 TLQ655363:TLQ655585 TVM655363:TVM655585 UFI655363:UFI655585 UPE655363:UPE655585 UZA655363:UZA655585 VIW655363:VIW655585 VSS655363:VSS655585 WCO655363:WCO655585 WMK655363:WMK655585 WWG655363:WWG655585 Y720899:Y721121 JU720899:JU721121 TQ720899:TQ721121 ADM720899:ADM721121 ANI720899:ANI721121 AXE720899:AXE721121 BHA720899:BHA721121 BQW720899:BQW721121 CAS720899:CAS721121 CKO720899:CKO721121 CUK720899:CUK721121 DEG720899:DEG721121 DOC720899:DOC721121 DXY720899:DXY721121 EHU720899:EHU721121 ERQ720899:ERQ721121 FBM720899:FBM721121 FLI720899:FLI721121 FVE720899:FVE721121 GFA720899:GFA721121 GOW720899:GOW721121 GYS720899:GYS721121 HIO720899:HIO721121 HSK720899:HSK721121 ICG720899:ICG721121 IMC720899:IMC721121 IVY720899:IVY721121 JFU720899:JFU721121 JPQ720899:JPQ721121 JZM720899:JZM721121 KJI720899:KJI721121 KTE720899:KTE721121 LDA720899:LDA721121 LMW720899:LMW721121 LWS720899:LWS721121 MGO720899:MGO721121 MQK720899:MQK721121 NAG720899:NAG721121 NKC720899:NKC721121 NTY720899:NTY721121 ODU720899:ODU721121 ONQ720899:ONQ721121 OXM720899:OXM721121 PHI720899:PHI721121 PRE720899:PRE721121 QBA720899:QBA721121 QKW720899:QKW721121 QUS720899:QUS721121 REO720899:REO721121 ROK720899:ROK721121 RYG720899:RYG721121 SIC720899:SIC721121 SRY720899:SRY721121 TBU720899:TBU721121 TLQ720899:TLQ721121 TVM720899:TVM721121 UFI720899:UFI721121 UPE720899:UPE721121 UZA720899:UZA721121 VIW720899:VIW721121 VSS720899:VSS721121 WCO720899:WCO721121 WMK720899:WMK721121 WWG720899:WWG721121 Y786435:Y786657 JU786435:JU786657 TQ786435:TQ786657 ADM786435:ADM786657 ANI786435:ANI786657 AXE786435:AXE786657 BHA786435:BHA786657 BQW786435:BQW786657 CAS786435:CAS786657 CKO786435:CKO786657 CUK786435:CUK786657 DEG786435:DEG786657 DOC786435:DOC786657 DXY786435:DXY786657 EHU786435:EHU786657 ERQ786435:ERQ786657 FBM786435:FBM786657 FLI786435:FLI786657 FVE786435:FVE786657 GFA786435:GFA786657 GOW786435:GOW786657 GYS786435:GYS786657 HIO786435:HIO786657 HSK786435:HSK786657 ICG786435:ICG786657 IMC786435:IMC786657 IVY786435:IVY786657 JFU786435:JFU786657 JPQ786435:JPQ786657 JZM786435:JZM786657 KJI786435:KJI786657 KTE786435:KTE786657 LDA786435:LDA786657 LMW786435:LMW786657 LWS786435:LWS786657 MGO786435:MGO786657 MQK786435:MQK786657 NAG786435:NAG786657 NKC786435:NKC786657 NTY786435:NTY786657 ODU786435:ODU786657 ONQ786435:ONQ786657 OXM786435:OXM786657 PHI786435:PHI786657 PRE786435:PRE786657 QBA786435:QBA786657 QKW786435:QKW786657 QUS786435:QUS786657 REO786435:REO786657 ROK786435:ROK786657 RYG786435:RYG786657 SIC786435:SIC786657 SRY786435:SRY786657 TBU786435:TBU786657 TLQ786435:TLQ786657 TVM786435:TVM786657 UFI786435:UFI786657 UPE786435:UPE786657 UZA786435:UZA786657 VIW786435:VIW786657 VSS786435:VSS786657 WCO786435:WCO786657 WMK786435:WMK786657 WWG786435:WWG786657 Y851971:Y852193 JU851971:JU852193 TQ851971:TQ852193 ADM851971:ADM852193 ANI851971:ANI852193 AXE851971:AXE852193 BHA851971:BHA852193 BQW851971:BQW852193 CAS851971:CAS852193 CKO851971:CKO852193 CUK851971:CUK852193 DEG851971:DEG852193 DOC851971:DOC852193 DXY851971:DXY852193 EHU851971:EHU852193 ERQ851971:ERQ852193 FBM851971:FBM852193 FLI851971:FLI852193 FVE851971:FVE852193 GFA851971:GFA852193 GOW851971:GOW852193 GYS851971:GYS852193 HIO851971:HIO852193 HSK851971:HSK852193 ICG851971:ICG852193 IMC851971:IMC852193 IVY851971:IVY852193 JFU851971:JFU852193 JPQ851971:JPQ852193 JZM851971:JZM852193 KJI851971:KJI852193 KTE851971:KTE852193 LDA851971:LDA852193 LMW851971:LMW852193 LWS851971:LWS852193 MGO851971:MGO852193 MQK851971:MQK852193 NAG851971:NAG852193 NKC851971:NKC852193 NTY851971:NTY852193 ODU851971:ODU852193 ONQ851971:ONQ852193 OXM851971:OXM852193 PHI851971:PHI852193 PRE851971:PRE852193 QBA851971:QBA852193 QKW851971:QKW852193 QUS851971:QUS852193 REO851971:REO852193 ROK851971:ROK852193 RYG851971:RYG852193 SIC851971:SIC852193 SRY851971:SRY852193 TBU851971:TBU852193 TLQ851971:TLQ852193 TVM851971:TVM852193 UFI851971:UFI852193 UPE851971:UPE852193 UZA851971:UZA852193 VIW851971:VIW852193 VSS851971:VSS852193 WCO851971:WCO852193 WMK851971:WMK852193 WWG851971:WWG852193 Y917507:Y917729 JU917507:JU917729 TQ917507:TQ917729 ADM917507:ADM917729 ANI917507:ANI917729 AXE917507:AXE917729 BHA917507:BHA917729 BQW917507:BQW917729 CAS917507:CAS917729 CKO917507:CKO917729 CUK917507:CUK917729 DEG917507:DEG917729 DOC917507:DOC917729 DXY917507:DXY917729 EHU917507:EHU917729 ERQ917507:ERQ917729 FBM917507:FBM917729 FLI917507:FLI917729 FVE917507:FVE917729 GFA917507:GFA917729 GOW917507:GOW917729 GYS917507:GYS917729 HIO917507:HIO917729 HSK917507:HSK917729 ICG917507:ICG917729 IMC917507:IMC917729 IVY917507:IVY917729 JFU917507:JFU917729 JPQ917507:JPQ917729 JZM917507:JZM917729 KJI917507:KJI917729 KTE917507:KTE917729 LDA917507:LDA917729 LMW917507:LMW917729 LWS917507:LWS917729 MGO917507:MGO917729 MQK917507:MQK917729 NAG917507:NAG917729 NKC917507:NKC917729 NTY917507:NTY917729 ODU917507:ODU917729 ONQ917507:ONQ917729 OXM917507:OXM917729 PHI917507:PHI917729 PRE917507:PRE917729 QBA917507:QBA917729 QKW917507:QKW917729 QUS917507:QUS917729 REO917507:REO917729 ROK917507:ROK917729 RYG917507:RYG917729 SIC917507:SIC917729 SRY917507:SRY917729 TBU917507:TBU917729 TLQ917507:TLQ917729 TVM917507:TVM917729 UFI917507:UFI917729 UPE917507:UPE917729 UZA917507:UZA917729 VIW917507:VIW917729 VSS917507:VSS917729 WCO917507:WCO917729 WMK917507:WMK917729 WWG917507:WWG917729 Y3:Y225 JU3:JU225 TQ3:TQ225 ADM3:ADM225 ANI3:ANI225 AXE3:AXE225 BHA3:BHA225 BQW3:BQW225 CAS3:CAS225 CKO3:CKO225 CUK3:CUK225 DEG3:DEG225 DOC3:DOC225 DXY3:DXY225 EHU3:EHU225 ERQ3:ERQ225 FBM3:FBM225 FLI3:FLI225 FVE3:FVE225 GFA3:GFA225 GOW3:GOW225 GYS3:GYS225 HIO3:HIO225 HSK3:HSK225 ICG3:ICG225 IMC3:IMC225 IVY3:IVY225 JFU3:JFU225 JPQ3:JPQ225 JZM3:JZM225 KJI3:KJI225 KTE3:KTE225 LDA3:LDA225 LMW3:LMW225 LWS3:LWS225 MGO3:MGO225 MQK3:MQK225 NAG3:NAG225 NKC3:NKC225 NTY3:NTY225 ODU3:ODU225 ONQ3:ONQ225 OXM3:OXM225 PHI3:PHI225 PRE3:PRE225 QBA3:QBA225 QKW3:QKW225 QUS3:QUS225 REO3:REO225 ROK3:ROK225 RYG3:RYG225 SIC3:SIC225 SRY3:SRY225 TBU3:TBU225 TLQ3:TLQ225 TVM3:TVM225 UFI3:UFI225 UPE3:UPE225 UZA3:UZA225 VIW3:VIW225 VSS3:VSS225 WCO3:WCO225 WMK3:WMK225 WWG3:WWG225" xr:uid="{00000000-0002-0000-0600-000006000000}"/>
    <dataValidation allowBlank="1" showInputMessage="1" showErrorMessage="1" promptTitle="Merchant SKU" prompt="Enter the SKU identifier supplied by your Merchant partner.  While not always required, it's generally best practice to provide this on all items." sqref="W983043:W983044 JS983043:JS983044 TO983043:TO983044 ADK983043:ADK983044 ANG983043:ANG983044 AXC983043:AXC983044 BGY983043:BGY983044 BQU983043:BQU983044 CAQ983043:CAQ983044 CKM983043:CKM983044 CUI983043:CUI983044 DEE983043:DEE983044 DOA983043:DOA983044 DXW983043:DXW983044 EHS983043:EHS983044 ERO983043:ERO983044 FBK983043:FBK983044 FLG983043:FLG983044 FVC983043:FVC983044 GEY983043:GEY983044 GOU983043:GOU983044 GYQ983043:GYQ983044 HIM983043:HIM983044 HSI983043:HSI983044 ICE983043:ICE983044 IMA983043:IMA983044 IVW983043:IVW983044 JFS983043:JFS983044 JPO983043:JPO983044 JZK983043:JZK983044 KJG983043:KJG983044 KTC983043:KTC983044 LCY983043:LCY983044 LMU983043:LMU983044 LWQ983043:LWQ983044 MGM983043:MGM983044 MQI983043:MQI983044 NAE983043:NAE983044 NKA983043:NKA983044 NTW983043:NTW983044 ODS983043:ODS983044 ONO983043:ONO983044 OXK983043:OXK983044 PHG983043:PHG983044 PRC983043:PRC983044 QAY983043:QAY983044 QKU983043:QKU983044 QUQ983043:QUQ983044 REM983043:REM983044 ROI983043:ROI983044 RYE983043:RYE983044 SIA983043:SIA983044 SRW983043:SRW983044 TBS983043:TBS983044 TLO983043:TLO983044 TVK983043:TVK983044 UFG983043:UFG983044 UPC983043:UPC983044 UYY983043:UYY983044 VIU983043:VIU983044 VSQ983043:VSQ983044 WCM983043:WCM983044 WMI983043:WMI983044 WWE983043:WWE983044 W65539:W65540 JS65539:JS65540 TO65539:TO65540 ADK65539:ADK65540 ANG65539:ANG65540 AXC65539:AXC65540 BGY65539:BGY65540 BQU65539:BQU65540 CAQ65539:CAQ65540 CKM65539:CKM65540 CUI65539:CUI65540 DEE65539:DEE65540 DOA65539:DOA65540 DXW65539:DXW65540 EHS65539:EHS65540 ERO65539:ERO65540 FBK65539:FBK65540 FLG65539:FLG65540 FVC65539:FVC65540 GEY65539:GEY65540 GOU65539:GOU65540 GYQ65539:GYQ65540 HIM65539:HIM65540 HSI65539:HSI65540 ICE65539:ICE65540 IMA65539:IMA65540 IVW65539:IVW65540 JFS65539:JFS65540 JPO65539:JPO65540 JZK65539:JZK65540 KJG65539:KJG65540 KTC65539:KTC65540 LCY65539:LCY65540 LMU65539:LMU65540 LWQ65539:LWQ65540 MGM65539:MGM65540 MQI65539:MQI65540 NAE65539:NAE65540 NKA65539:NKA65540 NTW65539:NTW65540 ODS65539:ODS65540 ONO65539:ONO65540 OXK65539:OXK65540 PHG65539:PHG65540 PRC65539:PRC65540 QAY65539:QAY65540 QKU65539:QKU65540 QUQ65539:QUQ65540 REM65539:REM65540 ROI65539:ROI65540 RYE65539:RYE65540 SIA65539:SIA65540 SRW65539:SRW65540 TBS65539:TBS65540 TLO65539:TLO65540 TVK65539:TVK65540 UFG65539:UFG65540 UPC65539:UPC65540 UYY65539:UYY65540 VIU65539:VIU65540 VSQ65539:VSQ65540 WCM65539:WCM65540 WMI65539:WMI65540 WWE65539:WWE65540 W131075:W131076 JS131075:JS131076 TO131075:TO131076 ADK131075:ADK131076 ANG131075:ANG131076 AXC131075:AXC131076 BGY131075:BGY131076 BQU131075:BQU131076 CAQ131075:CAQ131076 CKM131075:CKM131076 CUI131075:CUI131076 DEE131075:DEE131076 DOA131075:DOA131076 DXW131075:DXW131076 EHS131075:EHS131076 ERO131075:ERO131076 FBK131075:FBK131076 FLG131075:FLG131076 FVC131075:FVC131076 GEY131075:GEY131076 GOU131075:GOU131076 GYQ131075:GYQ131076 HIM131075:HIM131076 HSI131075:HSI131076 ICE131075:ICE131076 IMA131075:IMA131076 IVW131075:IVW131076 JFS131075:JFS131076 JPO131075:JPO131076 JZK131075:JZK131076 KJG131075:KJG131076 KTC131075:KTC131076 LCY131075:LCY131076 LMU131075:LMU131076 LWQ131075:LWQ131076 MGM131075:MGM131076 MQI131075:MQI131076 NAE131075:NAE131076 NKA131075:NKA131076 NTW131075:NTW131076 ODS131075:ODS131076 ONO131075:ONO131076 OXK131075:OXK131076 PHG131075:PHG131076 PRC131075:PRC131076 QAY131075:QAY131076 QKU131075:QKU131076 QUQ131075:QUQ131076 REM131075:REM131076 ROI131075:ROI131076 RYE131075:RYE131076 SIA131075:SIA131076 SRW131075:SRW131076 TBS131075:TBS131076 TLO131075:TLO131076 TVK131075:TVK131076 UFG131075:UFG131076 UPC131075:UPC131076 UYY131075:UYY131076 VIU131075:VIU131076 VSQ131075:VSQ131076 WCM131075:WCM131076 WMI131075:WMI131076 WWE131075:WWE131076 W196611:W196612 JS196611:JS196612 TO196611:TO196612 ADK196611:ADK196612 ANG196611:ANG196612 AXC196611:AXC196612 BGY196611:BGY196612 BQU196611:BQU196612 CAQ196611:CAQ196612 CKM196611:CKM196612 CUI196611:CUI196612 DEE196611:DEE196612 DOA196611:DOA196612 DXW196611:DXW196612 EHS196611:EHS196612 ERO196611:ERO196612 FBK196611:FBK196612 FLG196611:FLG196612 FVC196611:FVC196612 GEY196611:GEY196612 GOU196611:GOU196612 GYQ196611:GYQ196612 HIM196611:HIM196612 HSI196611:HSI196612 ICE196611:ICE196612 IMA196611:IMA196612 IVW196611:IVW196612 JFS196611:JFS196612 JPO196611:JPO196612 JZK196611:JZK196612 KJG196611:KJG196612 KTC196611:KTC196612 LCY196611:LCY196612 LMU196611:LMU196612 LWQ196611:LWQ196612 MGM196611:MGM196612 MQI196611:MQI196612 NAE196611:NAE196612 NKA196611:NKA196612 NTW196611:NTW196612 ODS196611:ODS196612 ONO196611:ONO196612 OXK196611:OXK196612 PHG196611:PHG196612 PRC196611:PRC196612 QAY196611:QAY196612 QKU196611:QKU196612 QUQ196611:QUQ196612 REM196611:REM196612 ROI196611:ROI196612 RYE196611:RYE196612 SIA196611:SIA196612 SRW196611:SRW196612 TBS196611:TBS196612 TLO196611:TLO196612 TVK196611:TVK196612 UFG196611:UFG196612 UPC196611:UPC196612 UYY196611:UYY196612 VIU196611:VIU196612 VSQ196611:VSQ196612 WCM196611:WCM196612 WMI196611:WMI196612 WWE196611:WWE196612 W262147:W262148 JS262147:JS262148 TO262147:TO262148 ADK262147:ADK262148 ANG262147:ANG262148 AXC262147:AXC262148 BGY262147:BGY262148 BQU262147:BQU262148 CAQ262147:CAQ262148 CKM262147:CKM262148 CUI262147:CUI262148 DEE262147:DEE262148 DOA262147:DOA262148 DXW262147:DXW262148 EHS262147:EHS262148 ERO262147:ERO262148 FBK262147:FBK262148 FLG262147:FLG262148 FVC262147:FVC262148 GEY262147:GEY262148 GOU262147:GOU262148 GYQ262147:GYQ262148 HIM262147:HIM262148 HSI262147:HSI262148 ICE262147:ICE262148 IMA262147:IMA262148 IVW262147:IVW262148 JFS262147:JFS262148 JPO262147:JPO262148 JZK262147:JZK262148 KJG262147:KJG262148 KTC262147:KTC262148 LCY262147:LCY262148 LMU262147:LMU262148 LWQ262147:LWQ262148 MGM262147:MGM262148 MQI262147:MQI262148 NAE262147:NAE262148 NKA262147:NKA262148 NTW262147:NTW262148 ODS262147:ODS262148 ONO262147:ONO262148 OXK262147:OXK262148 PHG262147:PHG262148 PRC262147:PRC262148 QAY262147:QAY262148 QKU262147:QKU262148 QUQ262147:QUQ262148 REM262147:REM262148 ROI262147:ROI262148 RYE262147:RYE262148 SIA262147:SIA262148 SRW262147:SRW262148 TBS262147:TBS262148 TLO262147:TLO262148 TVK262147:TVK262148 UFG262147:UFG262148 UPC262147:UPC262148 UYY262147:UYY262148 VIU262147:VIU262148 VSQ262147:VSQ262148 WCM262147:WCM262148 WMI262147:WMI262148 WWE262147:WWE262148 W327683:W327684 JS327683:JS327684 TO327683:TO327684 ADK327683:ADK327684 ANG327683:ANG327684 AXC327683:AXC327684 BGY327683:BGY327684 BQU327683:BQU327684 CAQ327683:CAQ327684 CKM327683:CKM327684 CUI327683:CUI327684 DEE327683:DEE327684 DOA327683:DOA327684 DXW327683:DXW327684 EHS327683:EHS327684 ERO327683:ERO327684 FBK327683:FBK327684 FLG327683:FLG327684 FVC327683:FVC327684 GEY327683:GEY327684 GOU327683:GOU327684 GYQ327683:GYQ327684 HIM327683:HIM327684 HSI327683:HSI327684 ICE327683:ICE327684 IMA327683:IMA327684 IVW327683:IVW327684 JFS327683:JFS327684 JPO327683:JPO327684 JZK327683:JZK327684 KJG327683:KJG327684 KTC327683:KTC327684 LCY327683:LCY327684 LMU327683:LMU327684 LWQ327683:LWQ327684 MGM327683:MGM327684 MQI327683:MQI327684 NAE327683:NAE327684 NKA327683:NKA327684 NTW327683:NTW327684 ODS327683:ODS327684 ONO327683:ONO327684 OXK327683:OXK327684 PHG327683:PHG327684 PRC327683:PRC327684 QAY327683:QAY327684 QKU327683:QKU327684 QUQ327683:QUQ327684 REM327683:REM327684 ROI327683:ROI327684 RYE327683:RYE327684 SIA327683:SIA327684 SRW327683:SRW327684 TBS327683:TBS327684 TLO327683:TLO327684 TVK327683:TVK327684 UFG327683:UFG327684 UPC327683:UPC327684 UYY327683:UYY327684 VIU327683:VIU327684 VSQ327683:VSQ327684 WCM327683:WCM327684 WMI327683:WMI327684 WWE327683:WWE327684 W393219:W393220 JS393219:JS393220 TO393219:TO393220 ADK393219:ADK393220 ANG393219:ANG393220 AXC393219:AXC393220 BGY393219:BGY393220 BQU393219:BQU393220 CAQ393219:CAQ393220 CKM393219:CKM393220 CUI393219:CUI393220 DEE393219:DEE393220 DOA393219:DOA393220 DXW393219:DXW393220 EHS393219:EHS393220 ERO393219:ERO393220 FBK393219:FBK393220 FLG393219:FLG393220 FVC393219:FVC393220 GEY393219:GEY393220 GOU393219:GOU393220 GYQ393219:GYQ393220 HIM393219:HIM393220 HSI393219:HSI393220 ICE393219:ICE393220 IMA393219:IMA393220 IVW393219:IVW393220 JFS393219:JFS393220 JPO393219:JPO393220 JZK393219:JZK393220 KJG393219:KJG393220 KTC393219:KTC393220 LCY393219:LCY393220 LMU393219:LMU393220 LWQ393219:LWQ393220 MGM393219:MGM393220 MQI393219:MQI393220 NAE393219:NAE393220 NKA393219:NKA393220 NTW393219:NTW393220 ODS393219:ODS393220 ONO393219:ONO393220 OXK393219:OXK393220 PHG393219:PHG393220 PRC393219:PRC393220 QAY393219:QAY393220 QKU393219:QKU393220 QUQ393219:QUQ393220 REM393219:REM393220 ROI393219:ROI393220 RYE393219:RYE393220 SIA393219:SIA393220 SRW393219:SRW393220 TBS393219:TBS393220 TLO393219:TLO393220 TVK393219:TVK393220 UFG393219:UFG393220 UPC393219:UPC393220 UYY393219:UYY393220 VIU393219:VIU393220 VSQ393219:VSQ393220 WCM393219:WCM393220 WMI393219:WMI393220 WWE393219:WWE393220 W458755:W458756 JS458755:JS458756 TO458755:TO458756 ADK458755:ADK458756 ANG458755:ANG458756 AXC458755:AXC458756 BGY458755:BGY458756 BQU458755:BQU458756 CAQ458755:CAQ458756 CKM458755:CKM458756 CUI458755:CUI458756 DEE458755:DEE458756 DOA458755:DOA458756 DXW458755:DXW458756 EHS458755:EHS458756 ERO458755:ERO458756 FBK458755:FBK458756 FLG458755:FLG458756 FVC458755:FVC458756 GEY458755:GEY458756 GOU458755:GOU458756 GYQ458755:GYQ458756 HIM458755:HIM458756 HSI458755:HSI458756 ICE458755:ICE458756 IMA458755:IMA458756 IVW458755:IVW458756 JFS458755:JFS458756 JPO458755:JPO458756 JZK458755:JZK458756 KJG458755:KJG458756 KTC458755:KTC458756 LCY458755:LCY458756 LMU458755:LMU458756 LWQ458755:LWQ458756 MGM458755:MGM458756 MQI458755:MQI458756 NAE458755:NAE458756 NKA458755:NKA458756 NTW458755:NTW458756 ODS458755:ODS458756 ONO458755:ONO458756 OXK458755:OXK458756 PHG458755:PHG458756 PRC458755:PRC458756 QAY458755:QAY458756 QKU458755:QKU458756 QUQ458755:QUQ458756 REM458755:REM458756 ROI458755:ROI458756 RYE458755:RYE458756 SIA458755:SIA458756 SRW458755:SRW458756 TBS458755:TBS458756 TLO458755:TLO458756 TVK458755:TVK458756 UFG458755:UFG458756 UPC458755:UPC458756 UYY458755:UYY458756 VIU458755:VIU458756 VSQ458755:VSQ458756 WCM458755:WCM458756 WMI458755:WMI458756 WWE458755:WWE458756 W524291:W524292 JS524291:JS524292 TO524291:TO524292 ADK524291:ADK524292 ANG524291:ANG524292 AXC524291:AXC524292 BGY524291:BGY524292 BQU524291:BQU524292 CAQ524291:CAQ524292 CKM524291:CKM524292 CUI524291:CUI524292 DEE524291:DEE524292 DOA524291:DOA524292 DXW524291:DXW524292 EHS524291:EHS524292 ERO524291:ERO524292 FBK524291:FBK524292 FLG524291:FLG524292 FVC524291:FVC524292 GEY524291:GEY524292 GOU524291:GOU524292 GYQ524291:GYQ524292 HIM524291:HIM524292 HSI524291:HSI524292 ICE524291:ICE524292 IMA524291:IMA524292 IVW524291:IVW524292 JFS524291:JFS524292 JPO524291:JPO524292 JZK524291:JZK524292 KJG524291:KJG524292 KTC524291:KTC524292 LCY524291:LCY524292 LMU524291:LMU524292 LWQ524291:LWQ524292 MGM524291:MGM524292 MQI524291:MQI524292 NAE524291:NAE524292 NKA524291:NKA524292 NTW524291:NTW524292 ODS524291:ODS524292 ONO524291:ONO524292 OXK524291:OXK524292 PHG524291:PHG524292 PRC524291:PRC524292 QAY524291:QAY524292 QKU524291:QKU524292 QUQ524291:QUQ524292 REM524291:REM524292 ROI524291:ROI524292 RYE524291:RYE524292 SIA524291:SIA524292 SRW524291:SRW524292 TBS524291:TBS524292 TLO524291:TLO524292 TVK524291:TVK524292 UFG524291:UFG524292 UPC524291:UPC524292 UYY524291:UYY524292 VIU524291:VIU524292 VSQ524291:VSQ524292 WCM524291:WCM524292 WMI524291:WMI524292 WWE524291:WWE524292 W589827:W589828 JS589827:JS589828 TO589827:TO589828 ADK589827:ADK589828 ANG589827:ANG589828 AXC589827:AXC589828 BGY589827:BGY589828 BQU589827:BQU589828 CAQ589827:CAQ589828 CKM589827:CKM589828 CUI589827:CUI589828 DEE589827:DEE589828 DOA589827:DOA589828 DXW589827:DXW589828 EHS589827:EHS589828 ERO589827:ERO589828 FBK589827:FBK589828 FLG589827:FLG589828 FVC589827:FVC589828 GEY589827:GEY589828 GOU589827:GOU589828 GYQ589827:GYQ589828 HIM589827:HIM589828 HSI589827:HSI589828 ICE589827:ICE589828 IMA589827:IMA589828 IVW589827:IVW589828 JFS589827:JFS589828 JPO589827:JPO589828 JZK589827:JZK589828 KJG589827:KJG589828 KTC589827:KTC589828 LCY589827:LCY589828 LMU589827:LMU589828 LWQ589827:LWQ589828 MGM589827:MGM589828 MQI589827:MQI589828 NAE589827:NAE589828 NKA589827:NKA589828 NTW589827:NTW589828 ODS589827:ODS589828 ONO589827:ONO589828 OXK589827:OXK589828 PHG589827:PHG589828 PRC589827:PRC589828 QAY589827:QAY589828 QKU589827:QKU589828 QUQ589827:QUQ589828 REM589827:REM589828 ROI589827:ROI589828 RYE589827:RYE589828 SIA589827:SIA589828 SRW589827:SRW589828 TBS589827:TBS589828 TLO589827:TLO589828 TVK589827:TVK589828 UFG589827:UFG589828 UPC589827:UPC589828 UYY589827:UYY589828 VIU589827:VIU589828 VSQ589827:VSQ589828 WCM589827:WCM589828 WMI589827:WMI589828 WWE589827:WWE589828 W655363:W655364 JS655363:JS655364 TO655363:TO655364 ADK655363:ADK655364 ANG655363:ANG655364 AXC655363:AXC655364 BGY655363:BGY655364 BQU655363:BQU655364 CAQ655363:CAQ655364 CKM655363:CKM655364 CUI655363:CUI655364 DEE655363:DEE655364 DOA655363:DOA655364 DXW655363:DXW655364 EHS655363:EHS655364 ERO655363:ERO655364 FBK655363:FBK655364 FLG655363:FLG655364 FVC655363:FVC655364 GEY655363:GEY655364 GOU655363:GOU655364 GYQ655363:GYQ655364 HIM655363:HIM655364 HSI655363:HSI655364 ICE655363:ICE655364 IMA655363:IMA655364 IVW655363:IVW655364 JFS655363:JFS655364 JPO655363:JPO655364 JZK655363:JZK655364 KJG655363:KJG655364 KTC655363:KTC655364 LCY655363:LCY655364 LMU655363:LMU655364 LWQ655363:LWQ655364 MGM655363:MGM655364 MQI655363:MQI655364 NAE655363:NAE655364 NKA655363:NKA655364 NTW655363:NTW655364 ODS655363:ODS655364 ONO655363:ONO655364 OXK655363:OXK655364 PHG655363:PHG655364 PRC655363:PRC655364 QAY655363:QAY655364 QKU655363:QKU655364 QUQ655363:QUQ655364 REM655363:REM655364 ROI655363:ROI655364 RYE655363:RYE655364 SIA655363:SIA655364 SRW655363:SRW655364 TBS655363:TBS655364 TLO655363:TLO655364 TVK655363:TVK655364 UFG655363:UFG655364 UPC655363:UPC655364 UYY655363:UYY655364 VIU655363:VIU655364 VSQ655363:VSQ655364 WCM655363:WCM655364 WMI655363:WMI655364 WWE655363:WWE655364 W720899:W720900 JS720899:JS720900 TO720899:TO720900 ADK720899:ADK720900 ANG720899:ANG720900 AXC720899:AXC720900 BGY720899:BGY720900 BQU720899:BQU720900 CAQ720899:CAQ720900 CKM720899:CKM720900 CUI720899:CUI720900 DEE720899:DEE720900 DOA720899:DOA720900 DXW720899:DXW720900 EHS720899:EHS720900 ERO720899:ERO720900 FBK720899:FBK720900 FLG720899:FLG720900 FVC720899:FVC720900 GEY720899:GEY720900 GOU720899:GOU720900 GYQ720899:GYQ720900 HIM720899:HIM720900 HSI720899:HSI720900 ICE720899:ICE720900 IMA720899:IMA720900 IVW720899:IVW720900 JFS720899:JFS720900 JPO720899:JPO720900 JZK720899:JZK720900 KJG720899:KJG720900 KTC720899:KTC720900 LCY720899:LCY720900 LMU720899:LMU720900 LWQ720899:LWQ720900 MGM720899:MGM720900 MQI720899:MQI720900 NAE720899:NAE720900 NKA720899:NKA720900 NTW720899:NTW720900 ODS720899:ODS720900 ONO720899:ONO720900 OXK720899:OXK720900 PHG720899:PHG720900 PRC720899:PRC720900 QAY720899:QAY720900 QKU720899:QKU720900 QUQ720899:QUQ720900 REM720899:REM720900 ROI720899:ROI720900 RYE720899:RYE720900 SIA720899:SIA720900 SRW720899:SRW720900 TBS720899:TBS720900 TLO720899:TLO720900 TVK720899:TVK720900 UFG720899:UFG720900 UPC720899:UPC720900 UYY720899:UYY720900 VIU720899:VIU720900 VSQ720899:VSQ720900 WCM720899:WCM720900 WMI720899:WMI720900 WWE720899:WWE720900 W786435:W786436 JS786435:JS786436 TO786435:TO786436 ADK786435:ADK786436 ANG786435:ANG786436 AXC786435:AXC786436 BGY786435:BGY786436 BQU786435:BQU786436 CAQ786435:CAQ786436 CKM786435:CKM786436 CUI786435:CUI786436 DEE786435:DEE786436 DOA786435:DOA786436 DXW786435:DXW786436 EHS786435:EHS786436 ERO786435:ERO786436 FBK786435:FBK786436 FLG786435:FLG786436 FVC786435:FVC786436 GEY786435:GEY786436 GOU786435:GOU786436 GYQ786435:GYQ786436 HIM786435:HIM786436 HSI786435:HSI786436 ICE786435:ICE786436 IMA786435:IMA786436 IVW786435:IVW786436 JFS786435:JFS786436 JPO786435:JPO786436 JZK786435:JZK786436 KJG786435:KJG786436 KTC786435:KTC786436 LCY786435:LCY786436 LMU786435:LMU786436 LWQ786435:LWQ786436 MGM786435:MGM786436 MQI786435:MQI786436 NAE786435:NAE786436 NKA786435:NKA786436 NTW786435:NTW786436 ODS786435:ODS786436 ONO786435:ONO786436 OXK786435:OXK786436 PHG786435:PHG786436 PRC786435:PRC786436 QAY786435:QAY786436 QKU786435:QKU786436 QUQ786435:QUQ786436 REM786435:REM786436 ROI786435:ROI786436 RYE786435:RYE786436 SIA786435:SIA786436 SRW786435:SRW786436 TBS786435:TBS786436 TLO786435:TLO786436 TVK786435:TVK786436 UFG786435:UFG786436 UPC786435:UPC786436 UYY786435:UYY786436 VIU786435:VIU786436 VSQ786435:VSQ786436 WCM786435:WCM786436 WMI786435:WMI786436 WWE786435:WWE786436 W851971:W851972 JS851971:JS851972 TO851971:TO851972 ADK851971:ADK851972 ANG851971:ANG851972 AXC851971:AXC851972 BGY851971:BGY851972 BQU851971:BQU851972 CAQ851971:CAQ851972 CKM851971:CKM851972 CUI851971:CUI851972 DEE851971:DEE851972 DOA851971:DOA851972 DXW851971:DXW851972 EHS851971:EHS851972 ERO851971:ERO851972 FBK851971:FBK851972 FLG851971:FLG851972 FVC851971:FVC851972 GEY851971:GEY851972 GOU851971:GOU851972 GYQ851971:GYQ851972 HIM851971:HIM851972 HSI851971:HSI851972 ICE851971:ICE851972 IMA851971:IMA851972 IVW851971:IVW851972 JFS851971:JFS851972 JPO851971:JPO851972 JZK851971:JZK851972 KJG851971:KJG851972 KTC851971:KTC851972 LCY851971:LCY851972 LMU851971:LMU851972 LWQ851971:LWQ851972 MGM851971:MGM851972 MQI851971:MQI851972 NAE851971:NAE851972 NKA851971:NKA851972 NTW851971:NTW851972 ODS851971:ODS851972 ONO851971:ONO851972 OXK851971:OXK851972 PHG851971:PHG851972 PRC851971:PRC851972 QAY851971:QAY851972 QKU851971:QKU851972 QUQ851971:QUQ851972 REM851971:REM851972 ROI851971:ROI851972 RYE851971:RYE851972 SIA851971:SIA851972 SRW851971:SRW851972 TBS851971:TBS851972 TLO851971:TLO851972 TVK851971:TVK851972 UFG851971:UFG851972 UPC851971:UPC851972 UYY851971:UYY851972 VIU851971:VIU851972 VSQ851971:VSQ851972 WCM851971:WCM851972 WMI851971:WMI851972 WWE851971:WWE851972 W917507:W917508 JS917507:JS917508 TO917507:TO917508 ADK917507:ADK917508 ANG917507:ANG917508 AXC917507:AXC917508 BGY917507:BGY917508 BQU917507:BQU917508 CAQ917507:CAQ917508 CKM917507:CKM917508 CUI917507:CUI917508 DEE917507:DEE917508 DOA917507:DOA917508 DXW917507:DXW917508 EHS917507:EHS917508 ERO917507:ERO917508 FBK917507:FBK917508 FLG917507:FLG917508 FVC917507:FVC917508 GEY917507:GEY917508 GOU917507:GOU917508 GYQ917507:GYQ917508 HIM917507:HIM917508 HSI917507:HSI917508 ICE917507:ICE917508 IMA917507:IMA917508 IVW917507:IVW917508 JFS917507:JFS917508 JPO917507:JPO917508 JZK917507:JZK917508 KJG917507:KJG917508 KTC917507:KTC917508 LCY917507:LCY917508 LMU917507:LMU917508 LWQ917507:LWQ917508 MGM917507:MGM917508 MQI917507:MQI917508 NAE917507:NAE917508 NKA917507:NKA917508 NTW917507:NTW917508 ODS917507:ODS917508 ONO917507:ONO917508 OXK917507:OXK917508 PHG917507:PHG917508 PRC917507:PRC917508 QAY917507:QAY917508 QKU917507:QKU917508 QUQ917507:QUQ917508 REM917507:REM917508 ROI917507:ROI917508 RYE917507:RYE917508 SIA917507:SIA917508 SRW917507:SRW917508 TBS917507:TBS917508 TLO917507:TLO917508 TVK917507:TVK917508 UFG917507:UFG917508 UPC917507:UPC917508 UYY917507:UYY917508 VIU917507:VIU917508 VSQ917507:VSQ917508 WCM917507:WCM917508 WMI917507:WMI917508 WWE917507:WWE917508" xr:uid="{00000000-0002-0000-0600-000007000000}"/>
    <dataValidation allowBlank="1" showInputMessage="1" showErrorMessage="1" promptTitle="Discontinued Flag" prompt="Enter 'Yes' only when the item has been discontinued and stock will not be replenished in the future.  If 'No' you can leave blank." sqref="N983043:N983044 JJ983043:JJ983044 TF983043:TF983044 ADB983043:ADB983044 AMX983043:AMX983044 AWT983043:AWT983044 BGP983043:BGP983044 BQL983043:BQL983044 CAH983043:CAH983044 CKD983043:CKD983044 CTZ983043:CTZ983044 DDV983043:DDV983044 DNR983043:DNR983044 DXN983043:DXN983044 EHJ983043:EHJ983044 ERF983043:ERF983044 FBB983043:FBB983044 FKX983043:FKX983044 FUT983043:FUT983044 GEP983043:GEP983044 GOL983043:GOL983044 GYH983043:GYH983044 HID983043:HID983044 HRZ983043:HRZ983044 IBV983043:IBV983044 ILR983043:ILR983044 IVN983043:IVN983044 JFJ983043:JFJ983044 JPF983043:JPF983044 JZB983043:JZB983044 KIX983043:KIX983044 KST983043:KST983044 LCP983043:LCP983044 LML983043:LML983044 LWH983043:LWH983044 MGD983043:MGD983044 MPZ983043:MPZ983044 MZV983043:MZV983044 NJR983043:NJR983044 NTN983043:NTN983044 ODJ983043:ODJ983044 ONF983043:ONF983044 OXB983043:OXB983044 PGX983043:PGX983044 PQT983043:PQT983044 QAP983043:QAP983044 QKL983043:QKL983044 QUH983043:QUH983044 RED983043:RED983044 RNZ983043:RNZ983044 RXV983043:RXV983044 SHR983043:SHR983044 SRN983043:SRN983044 TBJ983043:TBJ983044 TLF983043:TLF983044 TVB983043:TVB983044 UEX983043:UEX983044 UOT983043:UOT983044 UYP983043:UYP983044 VIL983043:VIL983044 VSH983043:VSH983044 WCD983043:WCD983044 WLZ983043:WLZ983044 WVV983043:WVV983044 N65539:N65540 JJ65539:JJ65540 TF65539:TF65540 ADB65539:ADB65540 AMX65539:AMX65540 AWT65539:AWT65540 BGP65539:BGP65540 BQL65539:BQL65540 CAH65539:CAH65540 CKD65539:CKD65540 CTZ65539:CTZ65540 DDV65539:DDV65540 DNR65539:DNR65540 DXN65539:DXN65540 EHJ65539:EHJ65540 ERF65539:ERF65540 FBB65539:FBB65540 FKX65539:FKX65540 FUT65539:FUT65540 GEP65539:GEP65540 GOL65539:GOL65540 GYH65539:GYH65540 HID65539:HID65540 HRZ65539:HRZ65540 IBV65539:IBV65540 ILR65539:ILR65540 IVN65539:IVN65540 JFJ65539:JFJ65540 JPF65539:JPF65540 JZB65539:JZB65540 KIX65539:KIX65540 KST65539:KST65540 LCP65539:LCP65540 LML65539:LML65540 LWH65539:LWH65540 MGD65539:MGD65540 MPZ65539:MPZ65540 MZV65539:MZV65540 NJR65539:NJR65540 NTN65539:NTN65540 ODJ65539:ODJ65540 ONF65539:ONF65540 OXB65539:OXB65540 PGX65539:PGX65540 PQT65539:PQT65540 QAP65539:QAP65540 QKL65539:QKL65540 QUH65539:QUH65540 RED65539:RED65540 RNZ65539:RNZ65540 RXV65539:RXV65540 SHR65539:SHR65540 SRN65539:SRN65540 TBJ65539:TBJ65540 TLF65539:TLF65540 TVB65539:TVB65540 UEX65539:UEX65540 UOT65539:UOT65540 UYP65539:UYP65540 VIL65539:VIL65540 VSH65539:VSH65540 WCD65539:WCD65540 WLZ65539:WLZ65540 WVV65539:WVV65540 N131075:N131076 JJ131075:JJ131076 TF131075:TF131076 ADB131075:ADB131076 AMX131075:AMX131076 AWT131075:AWT131076 BGP131075:BGP131076 BQL131075:BQL131076 CAH131075:CAH131076 CKD131075:CKD131076 CTZ131075:CTZ131076 DDV131075:DDV131076 DNR131075:DNR131076 DXN131075:DXN131076 EHJ131075:EHJ131076 ERF131075:ERF131076 FBB131075:FBB131076 FKX131075:FKX131076 FUT131075:FUT131076 GEP131075:GEP131076 GOL131075:GOL131076 GYH131075:GYH131076 HID131075:HID131076 HRZ131075:HRZ131076 IBV131075:IBV131076 ILR131075:ILR131076 IVN131075:IVN131076 JFJ131075:JFJ131076 JPF131075:JPF131076 JZB131075:JZB131076 KIX131075:KIX131076 KST131075:KST131076 LCP131075:LCP131076 LML131075:LML131076 LWH131075:LWH131076 MGD131075:MGD131076 MPZ131075:MPZ131076 MZV131075:MZV131076 NJR131075:NJR131076 NTN131075:NTN131076 ODJ131075:ODJ131076 ONF131075:ONF131076 OXB131075:OXB131076 PGX131075:PGX131076 PQT131075:PQT131076 QAP131075:QAP131076 QKL131075:QKL131076 QUH131075:QUH131076 RED131075:RED131076 RNZ131075:RNZ131076 RXV131075:RXV131076 SHR131075:SHR131076 SRN131075:SRN131076 TBJ131075:TBJ131076 TLF131075:TLF131076 TVB131075:TVB131076 UEX131075:UEX131076 UOT131075:UOT131076 UYP131075:UYP131076 VIL131075:VIL131076 VSH131075:VSH131076 WCD131075:WCD131076 WLZ131075:WLZ131076 WVV131075:WVV131076 N196611:N196612 JJ196611:JJ196612 TF196611:TF196612 ADB196611:ADB196612 AMX196611:AMX196612 AWT196611:AWT196612 BGP196611:BGP196612 BQL196611:BQL196612 CAH196611:CAH196612 CKD196611:CKD196612 CTZ196611:CTZ196612 DDV196611:DDV196612 DNR196611:DNR196612 DXN196611:DXN196612 EHJ196611:EHJ196612 ERF196611:ERF196612 FBB196611:FBB196612 FKX196611:FKX196612 FUT196611:FUT196612 GEP196611:GEP196612 GOL196611:GOL196612 GYH196611:GYH196612 HID196611:HID196612 HRZ196611:HRZ196612 IBV196611:IBV196612 ILR196611:ILR196612 IVN196611:IVN196612 JFJ196611:JFJ196612 JPF196611:JPF196612 JZB196611:JZB196612 KIX196611:KIX196612 KST196611:KST196612 LCP196611:LCP196612 LML196611:LML196612 LWH196611:LWH196612 MGD196611:MGD196612 MPZ196611:MPZ196612 MZV196611:MZV196612 NJR196611:NJR196612 NTN196611:NTN196612 ODJ196611:ODJ196612 ONF196611:ONF196612 OXB196611:OXB196612 PGX196611:PGX196612 PQT196611:PQT196612 QAP196611:QAP196612 QKL196611:QKL196612 QUH196611:QUH196612 RED196611:RED196612 RNZ196611:RNZ196612 RXV196611:RXV196612 SHR196611:SHR196612 SRN196611:SRN196612 TBJ196611:TBJ196612 TLF196611:TLF196612 TVB196611:TVB196612 UEX196611:UEX196612 UOT196611:UOT196612 UYP196611:UYP196612 VIL196611:VIL196612 VSH196611:VSH196612 WCD196611:WCD196612 WLZ196611:WLZ196612 WVV196611:WVV196612 N262147:N262148 JJ262147:JJ262148 TF262147:TF262148 ADB262147:ADB262148 AMX262147:AMX262148 AWT262147:AWT262148 BGP262147:BGP262148 BQL262147:BQL262148 CAH262147:CAH262148 CKD262147:CKD262148 CTZ262147:CTZ262148 DDV262147:DDV262148 DNR262147:DNR262148 DXN262147:DXN262148 EHJ262147:EHJ262148 ERF262147:ERF262148 FBB262147:FBB262148 FKX262147:FKX262148 FUT262147:FUT262148 GEP262147:GEP262148 GOL262147:GOL262148 GYH262147:GYH262148 HID262147:HID262148 HRZ262147:HRZ262148 IBV262147:IBV262148 ILR262147:ILR262148 IVN262147:IVN262148 JFJ262147:JFJ262148 JPF262147:JPF262148 JZB262147:JZB262148 KIX262147:KIX262148 KST262147:KST262148 LCP262147:LCP262148 LML262147:LML262148 LWH262147:LWH262148 MGD262147:MGD262148 MPZ262147:MPZ262148 MZV262147:MZV262148 NJR262147:NJR262148 NTN262147:NTN262148 ODJ262147:ODJ262148 ONF262147:ONF262148 OXB262147:OXB262148 PGX262147:PGX262148 PQT262147:PQT262148 QAP262147:QAP262148 QKL262147:QKL262148 QUH262147:QUH262148 RED262147:RED262148 RNZ262147:RNZ262148 RXV262147:RXV262148 SHR262147:SHR262148 SRN262147:SRN262148 TBJ262147:TBJ262148 TLF262147:TLF262148 TVB262147:TVB262148 UEX262147:UEX262148 UOT262147:UOT262148 UYP262147:UYP262148 VIL262147:VIL262148 VSH262147:VSH262148 WCD262147:WCD262148 WLZ262147:WLZ262148 WVV262147:WVV262148 N327683:N327684 JJ327683:JJ327684 TF327683:TF327684 ADB327683:ADB327684 AMX327683:AMX327684 AWT327683:AWT327684 BGP327683:BGP327684 BQL327683:BQL327684 CAH327683:CAH327684 CKD327683:CKD327684 CTZ327683:CTZ327684 DDV327683:DDV327684 DNR327683:DNR327684 DXN327683:DXN327684 EHJ327683:EHJ327684 ERF327683:ERF327684 FBB327683:FBB327684 FKX327683:FKX327684 FUT327683:FUT327684 GEP327683:GEP327684 GOL327683:GOL327684 GYH327683:GYH327684 HID327683:HID327684 HRZ327683:HRZ327684 IBV327683:IBV327684 ILR327683:ILR327684 IVN327683:IVN327684 JFJ327683:JFJ327684 JPF327683:JPF327684 JZB327683:JZB327684 KIX327683:KIX327684 KST327683:KST327684 LCP327683:LCP327684 LML327683:LML327684 LWH327683:LWH327684 MGD327683:MGD327684 MPZ327683:MPZ327684 MZV327683:MZV327684 NJR327683:NJR327684 NTN327683:NTN327684 ODJ327683:ODJ327684 ONF327683:ONF327684 OXB327683:OXB327684 PGX327683:PGX327684 PQT327683:PQT327684 QAP327683:QAP327684 QKL327683:QKL327684 QUH327683:QUH327684 RED327683:RED327684 RNZ327683:RNZ327684 RXV327683:RXV327684 SHR327683:SHR327684 SRN327683:SRN327684 TBJ327683:TBJ327684 TLF327683:TLF327684 TVB327683:TVB327684 UEX327683:UEX327684 UOT327683:UOT327684 UYP327683:UYP327684 VIL327683:VIL327684 VSH327683:VSH327684 WCD327683:WCD327684 WLZ327683:WLZ327684 WVV327683:WVV327684 N393219:N393220 JJ393219:JJ393220 TF393219:TF393220 ADB393219:ADB393220 AMX393219:AMX393220 AWT393219:AWT393220 BGP393219:BGP393220 BQL393219:BQL393220 CAH393219:CAH393220 CKD393219:CKD393220 CTZ393219:CTZ393220 DDV393219:DDV393220 DNR393219:DNR393220 DXN393219:DXN393220 EHJ393219:EHJ393220 ERF393219:ERF393220 FBB393219:FBB393220 FKX393219:FKX393220 FUT393219:FUT393220 GEP393219:GEP393220 GOL393219:GOL393220 GYH393219:GYH393220 HID393219:HID393220 HRZ393219:HRZ393220 IBV393219:IBV393220 ILR393219:ILR393220 IVN393219:IVN393220 JFJ393219:JFJ393220 JPF393219:JPF393220 JZB393219:JZB393220 KIX393219:KIX393220 KST393219:KST393220 LCP393219:LCP393220 LML393219:LML393220 LWH393219:LWH393220 MGD393219:MGD393220 MPZ393219:MPZ393220 MZV393219:MZV393220 NJR393219:NJR393220 NTN393219:NTN393220 ODJ393219:ODJ393220 ONF393219:ONF393220 OXB393219:OXB393220 PGX393219:PGX393220 PQT393219:PQT393220 QAP393219:QAP393220 QKL393219:QKL393220 QUH393219:QUH393220 RED393219:RED393220 RNZ393219:RNZ393220 RXV393219:RXV393220 SHR393219:SHR393220 SRN393219:SRN393220 TBJ393219:TBJ393220 TLF393219:TLF393220 TVB393219:TVB393220 UEX393219:UEX393220 UOT393219:UOT393220 UYP393219:UYP393220 VIL393219:VIL393220 VSH393219:VSH393220 WCD393219:WCD393220 WLZ393219:WLZ393220 WVV393219:WVV393220 N458755:N458756 JJ458755:JJ458756 TF458755:TF458756 ADB458755:ADB458756 AMX458755:AMX458756 AWT458755:AWT458756 BGP458755:BGP458756 BQL458755:BQL458756 CAH458755:CAH458756 CKD458755:CKD458756 CTZ458755:CTZ458756 DDV458755:DDV458756 DNR458755:DNR458756 DXN458755:DXN458756 EHJ458755:EHJ458756 ERF458755:ERF458756 FBB458755:FBB458756 FKX458755:FKX458756 FUT458755:FUT458756 GEP458755:GEP458756 GOL458755:GOL458756 GYH458755:GYH458756 HID458755:HID458756 HRZ458755:HRZ458756 IBV458755:IBV458756 ILR458755:ILR458756 IVN458755:IVN458756 JFJ458755:JFJ458756 JPF458755:JPF458756 JZB458755:JZB458756 KIX458755:KIX458756 KST458755:KST458756 LCP458755:LCP458756 LML458755:LML458756 LWH458755:LWH458756 MGD458755:MGD458756 MPZ458755:MPZ458756 MZV458755:MZV458756 NJR458755:NJR458756 NTN458755:NTN458756 ODJ458755:ODJ458756 ONF458755:ONF458756 OXB458755:OXB458756 PGX458755:PGX458756 PQT458755:PQT458756 QAP458755:QAP458756 QKL458755:QKL458756 QUH458755:QUH458756 RED458755:RED458756 RNZ458755:RNZ458756 RXV458755:RXV458756 SHR458755:SHR458756 SRN458755:SRN458756 TBJ458755:TBJ458756 TLF458755:TLF458756 TVB458755:TVB458756 UEX458755:UEX458756 UOT458755:UOT458756 UYP458755:UYP458756 VIL458755:VIL458756 VSH458755:VSH458756 WCD458755:WCD458756 WLZ458755:WLZ458756 WVV458755:WVV458756 N524291:N524292 JJ524291:JJ524292 TF524291:TF524292 ADB524291:ADB524292 AMX524291:AMX524292 AWT524291:AWT524292 BGP524291:BGP524292 BQL524291:BQL524292 CAH524291:CAH524292 CKD524291:CKD524292 CTZ524291:CTZ524292 DDV524291:DDV524292 DNR524291:DNR524292 DXN524291:DXN524292 EHJ524291:EHJ524292 ERF524291:ERF524292 FBB524291:FBB524292 FKX524291:FKX524292 FUT524291:FUT524292 GEP524291:GEP524292 GOL524291:GOL524292 GYH524291:GYH524292 HID524291:HID524292 HRZ524291:HRZ524292 IBV524291:IBV524292 ILR524291:ILR524292 IVN524291:IVN524292 JFJ524291:JFJ524292 JPF524291:JPF524292 JZB524291:JZB524292 KIX524291:KIX524292 KST524291:KST524292 LCP524291:LCP524292 LML524291:LML524292 LWH524291:LWH524292 MGD524291:MGD524292 MPZ524291:MPZ524292 MZV524291:MZV524292 NJR524291:NJR524292 NTN524291:NTN524292 ODJ524291:ODJ524292 ONF524291:ONF524292 OXB524291:OXB524292 PGX524291:PGX524292 PQT524291:PQT524292 QAP524291:QAP524292 QKL524291:QKL524292 QUH524291:QUH524292 RED524291:RED524292 RNZ524291:RNZ524292 RXV524291:RXV524292 SHR524291:SHR524292 SRN524291:SRN524292 TBJ524291:TBJ524292 TLF524291:TLF524292 TVB524291:TVB524292 UEX524291:UEX524292 UOT524291:UOT524292 UYP524291:UYP524292 VIL524291:VIL524292 VSH524291:VSH524292 WCD524291:WCD524292 WLZ524291:WLZ524292 WVV524291:WVV524292 N589827:N589828 JJ589827:JJ589828 TF589827:TF589828 ADB589827:ADB589828 AMX589827:AMX589828 AWT589827:AWT589828 BGP589827:BGP589828 BQL589827:BQL589828 CAH589827:CAH589828 CKD589827:CKD589828 CTZ589827:CTZ589828 DDV589827:DDV589828 DNR589827:DNR589828 DXN589827:DXN589828 EHJ589827:EHJ589828 ERF589827:ERF589828 FBB589827:FBB589828 FKX589827:FKX589828 FUT589827:FUT589828 GEP589827:GEP589828 GOL589827:GOL589828 GYH589827:GYH589828 HID589827:HID589828 HRZ589827:HRZ589828 IBV589827:IBV589828 ILR589827:ILR589828 IVN589827:IVN589828 JFJ589827:JFJ589828 JPF589827:JPF589828 JZB589827:JZB589828 KIX589827:KIX589828 KST589827:KST589828 LCP589827:LCP589828 LML589827:LML589828 LWH589827:LWH589828 MGD589827:MGD589828 MPZ589827:MPZ589828 MZV589827:MZV589828 NJR589827:NJR589828 NTN589827:NTN589828 ODJ589827:ODJ589828 ONF589827:ONF589828 OXB589827:OXB589828 PGX589827:PGX589828 PQT589827:PQT589828 QAP589827:QAP589828 QKL589827:QKL589828 QUH589827:QUH589828 RED589827:RED589828 RNZ589827:RNZ589828 RXV589827:RXV589828 SHR589827:SHR589828 SRN589827:SRN589828 TBJ589827:TBJ589828 TLF589827:TLF589828 TVB589827:TVB589828 UEX589827:UEX589828 UOT589827:UOT589828 UYP589827:UYP589828 VIL589827:VIL589828 VSH589827:VSH589828 WCD589827:WCD589828 WLZ589827:WLZ589828 WVV589827:WVV589828 N655363:N655364 JJ655363:JJ655364 TF655363:TF655364 ADB655363:ADB655364 AMX655363:AMX655364 AWT655363:AWT655364 BGP655363:BGP655364 BQL655363:BQL655364 CAH655363:CAH655364 CKD655363:CKD655364 CTZ655363:CTZ655364 DDV655363:DDV655364 DNR655363:DNR655364 DXN655363:DXN655364 EHJ655363:EHJ655364 ERF655363:ERF655364 FBB655363:FBB655364 FKX655363:FKX655364 FUT655363:FUT655364 GEP655363:GEP655364 GOL655363:GOL655364 GYH655363:GYH655364 HID655363:HID655364 HRZ655363:HRZ655364 IBV655363:IBV655364 ILR655363:ILR655364 IVN655363:IVN655364 JFJ655363:JFJ655364 JPF655363:JPF655364 JZB655363:JZB655364 KIX655363:KIX655364 KST655363:KST655364 LCP655363:LCP655364 LML655363:LML655364 LWH655363:LWH655364 MGD655363:MGD655364 MPZ655363:MPZ655364 MZV655363:MZV655364 NJR655363:NJR655364 NTN655363:NTN655364 ODJ655363:ODJ655364 ONF655363:ONF655364 OXB655363:OXB655364 PGX655363:PGX655364 PQT655363:PQT655364 QAP655363:QAP655364 QKL655363:QKL655364 QUH655363:QUH655364 RED655363:RED655364 RNZ655363:RNZ655364 RXV655363:RXV655364 SHR655363:SHR655364 SRN655363:SRN655364 TBJ655363:TBJ655364 TLF655363:TLF655364 TVB655363:TVB655364 UEX655363:UEX655364 UOT655363:UOT655364 UYP655363:UYP655364 VIL655363:VIL655364 VSH655363:VSH655364 WCD655363:WCD655364 WLZ655363:WLZ655364 WVV655363:WVV655364 N720899:N720900 JJ720899:JJ720900 TF720899:TF720900 ADB720899:ADB720900 AMX720899:AMX720900 AWT720899:AWT720900 BGP720899:BGP720900 BQL720899:BQL720900 CAH720899:CAH720900 CKD720899:CKD720900 CTZ720899:CTZ720900 DDV720899:DDV720900 DNR720899:DNR720900 DXN720899:DXN720900 EHJ720899:EHJ720900 ERF720899:ERF720900 FBB720899:FBB720900 FKX720899:FKX720900 FUT720899:FUT720900 GEP720899:GEP720900 GOL720899:GOL720900 GYH720899:GYH720900 HID720899:HID720900 HRZ720899:HRZ720900 IBV720899:IBV720900 ILR720899:ILR720900 IVN720899:IVN720900 JFJ720899:JFJ720900 JPF720899:JPF720900 JZB720899:JZB720900 KIX720899:KIX720900 KST720899:KST720900 LCP720899:LCP720900 LML720899:LML720900 LWH720899:LWH720900 MGD720899:MGD720900 MPZ720899:MPZ720900 MZV720899:MZV720900 NJR720899:NJR720900 NTN720899:NTN720900 ODJ720899:ODJ720900 ONF720899:ONF720900 OXB720899:OXB720900 PGX720899:PGX720900 PQT720899:PQT720900 QAP720899:QAP720900 QKL720899:QKL720900 QUH720899:QUH720900 RED720899:RED720900 RNZ720899:RNZ720900 RXV720899:RXV720900 SHR720899:SHR720900 SRN720899:SRN720900 TBJ720899:TBJ720900 TLF720899:TLF720900 TVB720899:TVB720900 UEX720899:UEX720900 UOT720899:UOT720900 UYP720899:UYP720900 VIL720899:VIL720900 VSH720899:VSH720900 WCD720899:WCD720900 WLZ720899:WLZ720900 WVV720899:WVV720900 N786435:N786436 JJ786435:JJ786436 TF786435:TF786436 ADB786435:ADB786436 AMX786435:AMX786436 AWT786435:AWT786436 BGP786435:BGP786436 BQL786435:BQL786436 CAH786435:CAH786436 CKD786435:CKD786436 CTZ786435:CTZ786436 DDV786435:DDV786436 DNR786435:DNR786436 DXN786435:DXN786436 EHJ786435:EHJ786436 ERF786435:ERF786436 FBB786435:FBB786436 FKX786435:FKX786436 FUT786435:FUT786436 GEP786435:GEP786436 GOL786435:GOL786436 GYH786435:GYH786436 HID786435:HID786436 HRZ786435:HRZ786436 IBV786435:IBV786436 ILR786435:ILR786436 IVN786435:IVN786436 JFJ786435:JFJ786436 JPF786435:JPF786436 JZB786435:JZB786436 KIX786435:KIX786436 KST786435:KST786436 LCP786435:LCP786436 LML786435:LML786436 LWH786435:LWH786436 MGD786435:MGD786436 MPZ786435:MPZ786436 MZV786435:MZV786436 NJR786435:NJR786436 NTN786435:NTN786436 ODJ786435:ODJ786436 ONF786435:ONF786436 OXB786435:OXB786436 PGX786435:PGX786436 PQT786435:PQT786436 QAP786435:QAP786436 QKL786435:QKL786436 QUH786435:QUH786436 RED786435:RED786436 RNZ786435:RNZ786436 RXV786435:RXV786436 SHR786435:SHR786436 SRN786435:SRN786436 TBJ786435:TBJ786436 TLF786435:TLF786436 TVB786435:TVB786436 UEX786435:UEX786436 UOT786435:UOT786436 UYP786435:UYP786436 VIL786435:VIL786436 VSH786435:VSH786436 WCD786435:WCD786436 WLZ786435:WLZ786436 WVV786435:WVV786436 N851971:N851972 JJ851971:JJ851972 TF851971:TF851972 ADB851971:ADB851972 AMX851971:AMX851972 AWT851971:AWT851972 BGP851971:BGP851972 BQL851971:BQL851972 CAH851971:CAH851972 CKD851971:CKD851972 CTZ851971:CTZ851972 DDV851971:DDV851972 DNR851971:DNR851972 DXN851971:DXN851972 EHJ851971:EHJ851972 ERF851971:ERF851972 FBB851971:FBB851972 FKX851971:FKX851972 FUT851971:FUT851972 GEP851971:GEP851972 GOL851971:GOL851972 GYH851971:GYH851972 HID851971:HID851972 HRZ851971:HRZ851972 IBV851971:IBV851972 ILR851971:ILR851972 IVN851971:IVN851972 JFJ851971:JFJ851972 JPF851971:JPF851972 JZB851971:JZB851972 KIX851971:KIX851972 KST851971:KST851972 LCP851971:LCP851972 LML851971:LML851972 LWH851971:LWH851972 MGD851971:MGD851972 MPZ851971:MPZ851972 MZV851971:MZV851972 NJR851971:NJR851972 NTN851971:NTN851972 ODJ851971:ODJ851972 ONF851971:ONF851972 OXB851971:OXB851972 PGX851971:PGX851972 PQT851971:PQT851972 QAP851971:QAP851972 QKL851971:QKL851972 QUH851971:QUH851972 RED851971:RED851972 RNZ851971:RNZ851972 RXV851971:RXV851972 SHR851971:SHR851972 SRN851971:SRN851972 TBJ851971:TBJ851972 TLF851971:TLF851972 TVB851971:TVB851972 UEX851971:UEX851972 UOT851971:UOT851972 UYP851971:UYP851972 VIL851971:VIL851972 VSH851971:VSH851972 WCD851971:WCD851972 WLZ851971:WLZ851972 WVV851971:WVV851972 N917507:N917508 JJ917507:JJ917508 TF917507:TF917508 ADB917507:ADB917508 AMX917507:AMX917508 AWT917507:AWT917508 BGP917507:BGP917508 BQL917507:BQL917508 CAH917507:CAH917508 CKD917507:CKD917508 CTZ917507:CTZ917508 DDV917507:DDV917508 DNR917507:DNR917508 DXN917507:DXN917508 EHJ917507:EHJ917508 ERF917507:ERF917508 FBB917507:FBB917508 FKX917507:FKX917508 FUT917507:FUT917508 GEP917507:GEP917508 GOL917507:GOL917508 GYH917507:GYH917508 HID917507:HID917508 HRZ917507:HRZ917508 IBV917507:IBV917508 ILR917507:ILR917508 IVN917507:IVN917508 JFJ917507:JFJ917508 JPF917507:JPF917508 JZB917507:JZB917508 KIX917507:KIX917508 KST917507:KST917508 LCP917507:LCP917508 LML917507:LML917508 LWH917507:LWH917508 MGD917507:MGD917508 MPZ917507:MPZ917508 MZV917507:MZV917508 NJR917507:NJR917508 NTN917507:NTN917508 ODJ917507:ODJ917508 ONF917507:ONF917508 OXB917507:OXB917508 PGX917507:PGX917508 PQT917507:PQT917508 QAP917507:QAP917508 QKL917507:QKL917508 QUH917507:QUH917508 RED917507:RED917508 RNZ917507:RNZ917508 RXV917507:RXV917508 SHR917507:SHR917508 SRN917507:SRN917508 TBJ917507:TBJ917508 TLF917507:TLF917508 TVB917507:TVB917508 UEX917507:UEX917508 UOT917507:UOT917508 UYP917507:UYP917508 VIL917507:VIL917508 VSH917507:VSH917508 WCD917507:WCD917508 WLZ917507:WLZ917508 WVV917507:WVV917508 N3:N4 JJ3:JJ4 TF3:TF4 ADB3:ADB4 AMX3:AMX4 AWT3:AWT4 BGP3:BGP4 BQL3:BQL4 CAH3:CAH4 CKD3:CKD4 CTZ3:CTZ4 DDV3:DDV4 DNR3:DNR4 DXN3:DXN4 EHJ3:EHJ4 ERF3:ERF4 FBB3:FBB4 FKX3:FKX4 FUT3:FUT4 GEP3:GEP4 GOL3:GOL4 GYH3:GYH4 HID3:HID4 HRZ3:HRZ4 IBV3:IBV4 ILR3:ILR4 IVN3:IVN4 JFJ3:JFJ4 JPF3:JPF4 JZB3:JZB4 KIX3:KIX4 KST3:KST4 LCP3:LCP4 LML3:LML4 LWH3:LWH4 MGD3:MGD4 MPZ3:MPZ4 MZV3:MZV4 NJR3:NJR4 NTN3:NTN4 ODJ3:ODJ4 ONF3:ONF4 OXB3:OXB4 PGX3:PGX4 PQT3:PQT4 QAP3:QAP4 QKL3:QKL4 QUH3:QUH4 RED3:RED4 RNZ3:RNZ4 RXV3:RXV4 SHR3:SHR4 SRN3:SRN4 TBJ3:TBJ4 TLF3:TLF4 TVB3:TVB4 UEX3:UEX4 UOT3:UOT4 UYP3:UYP4 VIL3:VIL4 VSH3:VSH4 WCD3:WCD4 WLZ3:WLZ4 WVV3:WVV4" xr:uid="{00000000-0002-0000-0600-000008000000}"/>
    <dataValidation allowBlank="1" showInputMessage="1" showErrorMessage="1" promptTitle="Unit Price" prompt="Optionally enter Unit Price value.  Must be non-negative" sqref="K983043:K983044 JG983043:JG983044 TC983043:TC983044 ACY983043:ACY983044 AMU983043:AMU983044 AWQ983043:AWQ983044 BGM983043:BGM983044 BQI983043:BQI983044 CAE983043:CAE983044 CKA983043:CKA983044 CTW983043:CTW983044 DDS983043:DDS983044 DNO983043:DNO983044 DXK983043:DXK983044 EHG983043:EHG983044 ERC983043:ERC983044 FAY983043:FAY983044 FKU983043:FKU983044 FUQ983043:FUQ983044 GEM983043:GEM983044 GOI983043:GOI983044 GYE983043:GYE983044 HIA983043:HIA983044 HRW983043:HRW983044 IBS983043:IBS983044 ILO983043:ILO983044 IVK983043:IVK983044 JFG983043:JFG983044 JPC983043:JPC983044 JYY983043:JYY983044 KIU983043:KIU983044 KSQ983043:KSQ983044 LCM983043:LCM983044 LMI983043:LMI983044 LWE983043:LWE983044 MGA983043:MGA983044 MPW983043:MPW983044 MZS983043:MZS983044 NJO983043:NJO983044 NTK983043:NTK983044 ODG983043:ODG983044 ONC983043:ONC983044 OWY983043:OWY983044 PGU983043:PGU983044 PQQ983043:PQQ983044 QAM983043:QAM983044 QKI983043:QKI983044 QUE983043:QUE983044 REA983043:REA983044 RNW983043:RNW983044 RXS983043:RXS983044 SHO983043:SHO983044 SRK983043:SRK983044 TBG983043:TBG983044 TLC983043:TLC983044 TUY983043:TUY983044 UEU983043:UEU983044 UOQ983043:UOQ983044 UYM983043:UYM983044 VII983043:VII983044 VSE983043:VSE983044 WCA983043:WCA983044 WLW983043:WLW983044 WVS983043:WVS983044 K65539:K65540 JG65539:JG65540 TC65539:TC65540 ACY65539:ACY65540 AMU65539:AMU65540 AWQ65539:AWQ65540 BGM65539:BGM65540 BQI65539:BQI65540 CAE65539:CAE65540 CKA65539:CKA65540 CTW65539:CTW65540 DDS65539:DDS65540 DNO65539:DNO65540 DXK65539:DXK65540 EHG65539:EHG65540 ERC65539:ERC65540 FAY65539:FAY65540 FKU65539:FKU65540 FUQ65539:FUQ65540 GEM65539:GEM65540 GOI65539:GOI65540 GYE65539:GYE65540 HIA65539:HIA65540 HRW65539:HRW65540 IBS65539:IBS65540 ILO65539:ILO65540 IVK65539:IVK65540 JFG65539:JFG65540 JPC65539:JPC65540 JYY65539:JYY65540 KIU65539:KIU65540 KSQ65539:KSQ65540 LCM65539:LCM65540 LMI65539:LMI65540 LWE65539:LWE65540 MGA65539:MGA65540 MPW65539:MPW65540 MZS65539:MZS65540 NJO65539:NJO65540 NTK65539:NTK65540 ODG65539:ODG65540 ONC65539:ONC65540 OWY65539:OWY65540 PGU65539:PGU65540 PQQ65539:PQQ65540 QAM65539:QAM65540 QKI65539:QKI65540 QUE65539:QUE65540 REA65539:REA65540 RNW65539:RNW65540 RXS65539:RXS65540 SHO65539:SHO65540 SRK65539:SRK65540 TBG65539:TBG65540 TLC65539:TLC65540 TUY65539:TUY65540 UEU65539:UEU65540 UOQ65539:UOQ65540 UYM65539:UYM65540 VII65539:VII65540 VSE65539:VSE65540 WCA65539:WCA65540 WLW65539:WLW65540 WVS65539:WVS65540 K131075:K131076 JG131075:JG131076 TC131075:TC131076 ACY131075:ACY131076 AMU131075:AMU131076 AWQ131075:AWQ131076 BGM131075:BGM131076 BQI131075:BQI131076 CAE131075:CAE131076 CKA131075:CKA131076 CTW131075:CTW131076 DDS131075:DDS131076 DNO131075:DNO131076 DXK131075:DXK131076 EHG131075:EHG131076 ERC131075:ERC131076 FAY131075:FAY131076 FKU131075:FKU131076 FUQ131075:FUQ131076 GEM131075:GEM131076 GOI131075:GOI131076 GYE131075:GYE131076 HIA131075:HIA131076 HRW131075:HRW131076 IBS131075:IBS131076 ILO131075:ILO131076 IVK131075:IVK131076 JFG131075:JFG131076 JPC131075:JPC131076 JYY131075:JYY131076 KIU131075:KIU131076 KSQ131075:KSQ131076 LCM131075:LCM131076 LMI131075:LMI131076 LWE131075:LWE131076 MGA131075:MGA131076 MPW131075:MPW131076 MZS131075:MZS131076 NJO131075:NJO131076 NTK131075:NTK131076 ODG131075:ODG131076 ONC131075:ONC131076 OWY131075:OWY131076 PGU131075:PGU131076 PQQ131075:PQQ131076 QAM131075:QAM131076 QKI131075:QKI131076 QUE131075:QUE131076 REA131075:REA131076 RNW131075:RNW131076 RXS131075:RXS131076 SHO131075:SHO131076 SRK131075:SRK131076 TBG131075:TBG131076 TLC131075:TLC131076 TUY131075:TUY131076 UEU131075:UEU131076 UOQ131075:UOQ131076 UYM131075:UYM131076 VII131075:VII131076 VSE131075:VSE131076 WCA131075:WCA131076 WLW131075:WLW131076 WVS131075:WVS131076 K196611:K196612 JG196611:JG196612 TC196611:TC196612 ACY196611:ACY196612 AMU196611:AMU196612 AWQ196611:AWQ196612 BGM196611:BGM196612 BQI196611:BQI196612 CAE196611:CAE196612 CKA196611:CKA196612 CTW196611:CTW196612 DDS196611:DDS196612 DNO196611:DNO196612 DXK196611:DXK196612 EHG196611:EHG196612 ERC196611:ERC196612 FAY196611:FAY196612 FKU196611:FKU196612 FUQ196611:FUQ196612 GEM196611:GEM196612 GOI196611:GOI196612 GYE196611:GYE196612 HIA196611:HIA196612 HRW196611:HRW196612 IBS196611:IBS196612 ILO196611:ILO196612 IVK196611:IVK196612 JFG196611:JFG196612 JPC196611:JPC196612 JYY196611:JYY196612 KIU196611:KIU196612 KSQ196611:KSQ196612 LCM196611:LCM196612 LMI196611:LMI196612 LWE196611:LWE196612 MGA196611:MGA196612 MPW196611:MPW196612 MZS196611:MZS196612 NJO196611:NJO196612 NTK196611:NTK196612 ODG196611:ODG196612 ONC196611:ONC196612 OWY196611:OWY196612 PGU196611:PGU196612 PQQ196611:PQQ196612 QAM196611:QAM196612 QKI196611:QKI196612 QUE196611:QUE196612 REA196611:REA196612 RNW196611:RNW196612 RXS196611:RXS196612 SHO196611:SHO196612 SRK196611:SRK196612 TBG196611:TBG196612 TLC196611:TLC196612 TUY196611:TUY196612 UEU196611:UEU196612 UOQ196611:UOQ196612 UYM196611:UYM196612 VII196611:VII196612 VSE196611:VSE196612 WCA196611:WCA196612 WLW196611:WLW196612 WVS196611:WVS196612 K262147:K262148 JG262147:JG262148 TC262147:TC262148 ACY262147:ACY262148 AMU262147:AMU262148 AWQ262147:AWQ262148 BGM262147:BGM262148 BQI262147:BQI262148 CAE262147:CAE262148 CKA262147:CKA262148 CTW262147:CTW262148 DDS262147:DDS262148 DNO262147:DNO262148 DXK262147:DXK262148 EHG262147:EHG262148 ERC262147:ERC262148 FAY262147:FAY262148 FKU262147:FKU262148 FUQ262147:FUQ262148 GEM262147:GEM262148 GOI262147:GOI262148 GYE262147:GYE262148 HIA262147:HIA262148 HRW262147:HRW262148 IBS262147:IBS262148 ILO262147:ILO262148 IVK262147:IVK262148 JFG262147:JFG262148 JPC262147:JPC262148 JYY262147:JYY262148 KIU262147:KIU262148 KSQ262147:KSQ262148 LCM262147:LCM262148 LMI262147:LMI262148 LWE262147:LWE262148 MGA262147:MGA262148 MPW262147:MPW262148 MZS262147:MZS262148 NJO262147:NJO262148 NTK262147:NTK262148 ODG262147:ODG262148 ONC262147:ONC262148 OWY262147:OWY262148 PGU262147:PGU262148 PQQ262147:PQQ262148 QAM262147:QAM262148 QKI262147:QKI262148 QUE262147:QUE262148 REA262147:REA262148 RNW262147:RNW262148 RXS262147:RXS262148 SHO262147:SHO262148 SRK262147:SRK262148 TBG262147:TBG262148 TLC262147:TLC262148 TUY262147:TUY262148 UEU262147:UEU262148 UOQ262147:UOQ262148 UYM262147:UYM262148 VII262147:VII262148 VSE262147:VSE262148 WCA262147:WCA262148 WLW262147:WLW262148 WVS262147:WVS262148 K327683:K327684 JG327683:JG327684 TC327683:TC327684 ACY327683:ACY327684 AMU327683:AMU327684 AWQ327683:AWQ327684 BGM327683:BGM327684 BQI327683:BQI327684 CAE327683:CAE327684 CKA327683:CKA327684 CTW327683:CTW327684 DDS327683:DDS327684 DNO327683:DNO327684 DXK327683:DXK327684 EHG327683:EHG327684 ERC327683:ERC327684 FAY327683:FAY327684 FKU327683:FKU327684 FUQ327683:FUQ327684 GEM327683:GEM327684 GOI327683:GOI327684 GYE327683:GYE327684 HIA327683:HIA327684 HRW327683:HRW327684 IBS327683:IBS327684 ILO327683:ILO327684 IVK327683:IVK327684 JFG327683:JFG327684 JPC327683:JPC327684 JYY327683:JYY327684 KIU327683:KIU327684 KSQ327683:KSQ327684 LCM327683:LCM327684 LMI327683:LMI327684 LWE327683:LWE327684 MGA327683:MGA327684 MPW327683:MPW327684 MZS327683:MZS327684 NJO327683:NJO327684 NTK327683:NTK327684 ODG327683:ODG327684 ONC327683:ONC327684 OWY327683:OWY327684 PGU327683:PGU327684 PQQ327683:PQQ327684 QAM327683:QAM327684 QKI327683:QKI327684 QUE327683:QUE327684 REA327683:REA327684 RNW327683:RNW327684 RXS327683:RXS327684 SHO327683:SHO327684 SRK327683:SRK327684 TBG327683:TBG327684 TLC327683:TLC327684 TUY327683:TUY327684 UEU327683:UEU327684 UOQ327683:UOQ327684 UYM327683:UYM327684 VII327683:VII327684 VSE327683:VSE327684 WCA327683:WCA327684 WLW327683:WLW327684 WVS327683:WVS327684 K393219:K393220 JG393219:JG393220 TC393219:TC393220 ACY393219:ACY393220 AMU393219:AMU393220 AWQ393219:AWQ393220 BGM393219:BGM393220 BQI393219:BQI393220 CAE393219:CAE393220 CKA393219:CKA393220 CTW393219:CTW393220 DDS393219:DDS393220 DNO393219:DNO393220 DXK393219:DXK393220 EHG393219:EHG393220 ERC393219:ERC393220 FAY393219:FAY393220 FKU393219:FKU393220 FUQ393219:FUQ393220 GEM393219:GEM393220 GOI393219:GOI393220 GYE393219:GYE393220 HIA393219:HIA393220 HRW393219:HRW393220 IBS393219:IBS393220 ILO393219:ILO393220 IVK393219:IVK393220 JFG393219:JFG393220 JPC393219:JPC393220 JYY393219:JYY393220 KIU393219:KIU393220 KSQ393219:KSQ393220 LCM393219:LCM393220 LMI393219:LMI393220 LWE393219:LWE393220 MGA393219:MGA393220 MPW393219:MPW393220 MZS393219:MZS393220 NJO393219:NJO393220 NTK393219:NTK393220 ODG393219:ODG393220 ONC393219:ONC393220 OWY393219:OWY393220 PGU393219:PGU393220 PQQ393219:PQQ393220 QAM393219:QAM393220 QKI393219:QKI393220 QUE393219:QUE393220 REA393219:REA393220 RNW393219:RNW393220 RXS393219:RXS393220 SHO393219:SHO393220 SRK393219:SRK393220 TBG393219:TBG393220 TLC393219:TLC393220 TUY393219:TUY393220 UEU393219:UEU393220 UOQ393219:UOQ393220 UYM393219:UYM393220 VII393219:VII393220 VSE393219:VSE393220 WCA393219:WCA393220 WLW393219:WLW393220 WVS393219:WVS393220 K458755:K458756 JG458755:JG458756 TC458755:TC458756 ACY458755:ACY458756 AMU458755:AMU458756 AWQ458755:AWQ458756 BGM458755:BGM458756 BQI458755:BQI458756 CAE458755:CAE458756 CKA458755:CKA458756 CTW458755:CTW458756 DDS458755:DDS458756 DNO458755:DNO458756 DXK458755:DXK458756 EHG458755:EHG458756 ERC458755:ERC458756 FAY458755:FAY458756 FKU458755:FKU458756 FUQ458755:FUQ458756 GEM458755:GEM458756 GOI458755:GOI458756 GYE458755:GYE458756 HIA458755:HIA458756 HRW458755:HRW458756 IBS458755:IBS458756 ILO458755:ILO458756 IVK458755:IVK458756 JFG458755:JFG458756 JPC458755:JPC458756 JYY458755:JYY458756 KIU458755:KIU458756 KSQ458755:KSQ458756 LCM458755:LCM458756 LMI458755:LMI458756 LWE458755:LWE458756 MGA458755:MGA458756 MPW458755:MPW458756 MZS458755:MZS458756 NJO458755:NJO458756 NTK458755:NTK458756 ODG458755:ODG458756 ONC458755:ONC458756 OWY458755:OWY458756 PGU458755:PGU458756 PQQ458755:PQQ458756 QAM458755:QAM458756 QKI458755:QKI458756 QUE458755:QUE458756 REA458755:REA458756 RNW458755:RNW458756 RXS458755:RXS458756 SHO458755:SHO458756 SRK458755:SRK458756 TBG458755:TBG458756 TLC458755:TLC458756 TUY458755:TUY458756 UEU458755:UEU458756 UOQ458755:UOQ458756 UYM458755:UYM458756 VII458755:VII458756 VSE458755:VSE458756 WCA458755:WCA458756 WLW458755:WLW458756 WVS458755:WVS458756 K524291:K524292 JG524291:JG524292 TC524291:TC524292 ACY524291:ACY524292 AMU524291:AMU524292 AWQ524291:AWQ524292 BGM524291:BGM524292 BQI524291:BQI524292 CAE524291:CAE524292 CKA524291:CKA524292 CTW524291:CTW524292 DDS524291:DDS524292 DNO524291:DNO524292 DXK524291:DXK524292 EHG524291:EHG524292 ERC524291:ERC524292 FAY524291:FAY524292 FKU524291:FKU524292 FUQ524291:FUQ524292 GEM524291:GEM524292 GOI524291:GOI524292 GYE524291:GYE524292 HIA524291:HIA524292 HRW524291:HRW524292 IBS524291:IBS524292 ILO524291:ILO524292 IVK524291:IVK524292 JFG524291:JFG524292 JPC524291:JPC524292 JYY524291:JYY524292 KIU524291:KIU524292 KSQ524291:KSQ524292 LCM524291:LCM524292 LMI524291:LMI524292 LWE524291:LWE524292 MGA524291:MGA524292 MPW524291:MPW524292 MZS524291:MZS524292 NJO524291:NJO524292 NTK524291:NTK524292 ODG524291:ODG524292 ONC524291:ONC524292 OWY524291:OWY524292 PGU524291:PGU524292 PQQ524291:PQQ524292 QAM524291:QAM524292 QKI524291:QKI524292 QUE524291:QUE524292 REA524291:REA524292 RNW524291:RNW524292 RXS524291:RXS524292 SHO524291:SHO524292 SRK524291:SRK524292 TBG524291:TBG524292 TLC524291:TLC524292 TUY524291:TUY524292 UEU524291:UEU524292 UOQ524291:UOQ524292 UYM524291:UYM524292 VII524291:VII524292 VSE524291:VSE524292 WCA524291:WCA524292 WLW524291:WLW524292 WVS524291:WVS524292 K589827:K589828 JG589827:JG589828 TC589827:TC589828 ACY589827:ACY589828 AMU589827:AMU589828 AWQ589827:AWQ589828 BGM589827:BGM589828 BQI589827:BQI589828 CAE589827:CAE589828 CKA589827:CKA589828 CTW589827:CTW589828 DDS589827:DDS589828 DNO589827:DNO589828 DXK589827:DXK589828 EHG589827:EHG589828 ERC589827:ERC589828 FAY589827:FAY589828 FKU589827:FKU589828 FUQ589827:FUQ589828 GEM589827:GEM589828 GOI589827:GOI589828 GYE589827:GYE589828 HIA589827:HIA589828 HRW589827:HRW589828 IBS589827:IBS589828 ILO589827:ILO589828 IVK589827:IVK589828 JFG589827:JFG589828 JPC589827:JPC589828 JYY589827:JYY589828 KIU589827:KIU589828 KSQ589827:KSQ589828 LCM589827:LCM589828 LMI589827:LMI589828 LWE589827:LWE589828 MGA589827:MGA589828 MPW589827:MPW589828 MZS589827:MZS589828 NJO589827:NJO589828 NTK589827:NTK589828 ODG589827:ODG589828 ONC589827:ONC589828 OWY589827:OWY589828 PGU589827:PGU589828 PQQ589827:PQQ589828 QAM589827:QAM589828 QKI589827:QKI589828 QUE589827:QUE589828 REA589827:REA589828 RNW589827:RNW589828 RXS589827:RXS589828 SHO589827:SHO589828 SRK589827:SRK589828 TBG589827:TBG589828 TLC589827:TLC589828 TUY589827:TUY589828 UEU589827:UEU589828 UOQ589827:UOQ589828 UYM589827:UYM589828 VII589827:VII589828 VSE589827:VSE589828 WCA589827:WCA589828 WLW589827:WLW589828 WVS589827:WVS589828 K655363:K655364 JG655363:JG655364 TC655363:TC655364 ACY655363:ACY655364 AMU655363:AMU655364 AWQ655363:AWQ655364 BGM655363:BGM655364 BQI655363:BQI655364 CAE655363:CAE655364 CKA655363:CKA655364 CTW655363:CTW655364 DDS655363:DDS655364 DNO655363:DNO655364 DXK655363:DXK655364 EHG655363:EHG655364 ERC655363:ERC655364 FAY655363:FAY655364 FKU655363:FKU655364 FUQ655363:FUQ655364 GEM655363:GEM655364 GOI655363:GOI655364 GYE655363:GYE655364 HIA655363:HIA655364 HRW655363:HRW655364 IBS655363:IBS655364 ILO655363:ILO655364 IVK655363:IVK655364 JFG655363:JFG655364 JPC655363:JPC655364 JYY655363:JYY655364 KIU655363:KIU655364 KSQ655363:KSQ655364 LCM655363:LCM655364 LMI655363:LMI655364 LWE655363:LWE655364 MGA655363:MGA655364 MPW655363:MPW655364 MZS655363:MZS655364 NJO655363:NJO655364 NTK655363:NTK655364 ODG655363:ODG655364 ONC655363:ONC655364 OWY655363:OWY655364 PGU655363:PGU655364 PQQ655363:PQQ655364 QAM655363:QAM655364 QKI655363:QKI655364 QUE655363:QUE655364 REA655363:REA655364 RNW655363:RNW655364 RXS655363:RXS655364 SHO655363:SHO655364 SRK655363:SRK655364 TBG655363:TBG655364 TLC655363:TLC655364 TUY655363:TUY655364 UEU655363:UEU655364 UOQ655363:UOQ655364 UYM655363:UYM655364 VII655363:VII655364 VSE655363:VSE655364 WCA655363:WCA655364 WLW655363:WLW655364 WVS655363:WVS655364 K720899:K720900 JG720899:JG720900 TC720899:TC720900 ACY720899:ACY720900 AMU720899:AMU720900 AWQ720899:AWQ720900 BGM720899:BGM720900 BQI720899:BQI720900 CAE720899:CAE720900 CKA720899:CKA720900 CTW720899:CTW720900 DDS720899:DDS720900 DNO720899:DNO720900 DXK720899:DXK720900 EHG720899:EHG720900 ERC720899:ERC720900 FAY720899:FAY720900 FKU720899:FKU720900 FUQ720899:FUQ720900 GEM720899:GEM720900 GOI720899:GOI720900 GYE720899:GYE720900 HIA720899:HIA720900 HRW720899:HRW720900 IBS720899:IBS720900 ILO720899:ILO720900 IVK720899:IVK720900 JFG720899:JFG720900 JPC720899:JPC720900 JYY720899:JYY720900 KIU720899:KIU720900 KSQ720899:KSQ720900 LCM720899:LCM720900 LMI720899:LMI720900 LWE720899:LWE720900 MGA720899:MGA720900 MPW720899:MPW720900 MZS720899:MZS720900 NJO720899:NJO720900 NTK720899:NTK720900 ODG720899:ODG720900 ONC720899:ONC720900 OWY720899:OWY720900 PGU720899:PGU720900 PQQ720899:PQQ720900 QAM720899:QAM720900 QKI720899:QKI720900 QUE720899:QUE720900 REA720899:REA720900 RNW720899:RNW720900 RXS720899:RXS720900 SHO720899:SHO720900 SRK720899:SRK720900 TBG720899:TBG720900 TLC720899:TLC720900 TUY720899:TUY720900 UEU720899:UEU720900 UOQ720899:UOQ720900 UYM720899:UYM720900 VII720899:VII720900 VSE720899:VSE720900 WCA720899:WCA720900 WLW720899:WLW720900 WVS720899:WVS720900 K786435:K786436 JG786435:JG786436 TC786435:TC786436 ACY786435:ACY786436 AMU786435:AMU786436 AWQ786435:AWQ786436 BGM786435:BGM786436 BQI786435:BQI786436 CAE786435:CAE786436 CKA786435:CKA786436 CTW786435:CTW786436 DDS786435:DDS786436 DNO786435:DNO786436 DXK786435:DXK786436 EHG786435:EHG786436 ERC786435:ERC786436 FAY786435:FAY786436 FKU786435:FKU786436 FUQ786435:FUQ786436 GEM786435:GEM786436 GOI786435:GOI786436 GYE786435:GYE786436 HIA786435:HIA786436 HRW786435:HRW786436 IBS786435:IBS786436 ILO786435:ILO786436 IVK786435:IVK786436 JFG786435:JFG786436 JPC786435:JPC786436 JYY786435:JYY786436 KIU786435:KIU786436 KSQ786435:KSQ786436 LCM786435:LCM786436 LMI786435:LMI786436 LWE786435:LWE786436 MGA786435:MGA786436 MPW786435:MPW786436 MZS786435:MZS786436 NJO786435:NJO786436 NTK786435:NTK786436 ODG786435:ODG786436 ONC786435:ONC786436 OWY786435:OWY786436 PGU786435:PGU786436 PQQ786435:PQQ786436 QAM786435:QAM786436 QKI786435:QKI786436 QUE786435:QUE786436 REA786435:REA786436 RNW786435:RNW786436 RXS786435:RXS786436 SHO786435:SHO786436 SRK786435:SRK786436 TBG786435:TBG786436 TLC786435:TLC786436 TUY786435:TUY786436 UEU786435:UEU786436 UOQ786435:UOQ786436 UYM786435:UYM786436 VII786435:VII786436 VSE786435:VSE786436 WCA786435:WCA786436 WLW786435:WLW786436 WVS786435:WVS786436 K851971:K851972 JG851971:JG851972 TC851971:TC851972 ACY851971:ACY851972 AMU851971:AMU851972 AWQ851971:AWQ851972 BGM851971:BGM851972 BQI851971:BQI851972 CAE851971:CAE851972 CKA851971:CKA851972 CTW851971:CTW851972 DDS851971:DDS851972 DNO851971:DNO851972 DXK851971:DXK851972 EHG851971:EHG851972 ERC851971:ERC851972 FAY851971:FAY851972 FKU851971:FKU851972 FUQ851971:FUQ851972 GEM851971:GEM851972 GOI851971:GOI851972 GYE851971:GYE851972 HIA851971:HIA851972 HRW851971:HRW851972 IBS851971:IBS851972 ILO851971:ILO851972 IVK851971:IVK851972 JFG851971:JFG851972 JPC851971:JPC851972 JYY851971:JYY851972 KIU851971:KIU851972 KSQ851971:KSQ851972 LCM851971:LCM851972 LMI851971:LMI851972 LWE851971:LWE851972 MGA851971:MGA851972 MPW851971:MPW851972 MZS851971:MZS851972 NJO851971:NJO851972 NTK851971:NTK851972 ODG851971:ODG851972 ONC851971:ONC851972 OWY851971:OWY851972 PGU851971:PGU851972 PQQ851971:PQQ851972 QAM851971:QAM851972 QKI851971:QKI851972 QUE851971:QUE851972 REA851971:REA851972 RNW851971:RNW851972 RXS851971:RXS851972 SHO851971:SHO851972 SRK851971:SRK851972 TBG851971:TBG851972 TLC851971:TLC851972 TUY851971:TUY851972 UEU851971:UEU851972 UOQ851971:UOQ851972 UYM851971:UYM851972 VII851971:VII851972 VSE851971:VSE851972 WCA851971:WCA851972 WLW851971:WLW851972 WVS851971:WVS851972 K917507:K917508 JG917507:JG917508 TC917507:TC917508 ACY917507:ACY917508 AMU917507:AMU917508 AWQ917507:AWQ917508 BGM917507:BGM917508 BQI917507:BQI917508 CAE917507:CAE917508 CKA917507:CKA917508 CTW917507:CTW917508 DDS917507:DDS917508 DNO917507:DNO917508 DXK917507:DXK917508 EHG917507:EHG917508 ERC917507:ERC917508 FAY917507:FAY917508 FKU917507:FKU917508 FUQ917507:FUQ917508 GEM917507:GEM917508 GOI917507:GOI917508 GYE917507:GYE917508 HIA917507:HIA917508 HRW917507:HRW917508 IBS917507:IBS917508 ILO917507:ILO917508 IVK917507:IVK917508 JFG917507:JFG917508 JPC917507:JPC917508 JYY917507:JYY917508 KIU917507:KIU917508 KSQ917507:KSQ917508 LCM917507:LCM917508 LMI917507:LMI917508 LWE917507:LWE917508 MGA917507:MGA917508 MPW917507:MPW917508 MZS917507:MZS917508 NJO917507:NJO917508 NTK917507:NTK917508 ODG917507:ODG917508 ONC917507:ONC917508 OWY917507:OWY917508 PGU917507:PGU917508 PQQ917507:PQQ917508 QAM917507:QAM917508 QKI917507:QKI917508 QUE917507:QUE917508 REA917507:REA917508 RNW917507:RNW917508 RXS917507:RXS917508 SHO917507:SHO917508 SRK917507:SRK917508 TBG917507:TBG917508 TLC917507:TLC917508 TUY917507:TUY917508 UEU917507:UEU917508 UOQ917507:UOQ917508 UYM917507:UYM917508 VII917507:VII917508 VSE917507:VSE917508 WCA917507:WCA917508 WLW917507:WLW917508 WVS917507:WVS917508 K3:K4 JG3:JG4 TC3:TC4 ACY3:ACY4 AMU3:AMU4 AWQ3:AWQ4 BGM3:BGM4 BQI3:BQI4 CAE3:CAE4 CKA3:CKA4 CTW3:CTW4 DDS3:DDS4 DNO3:DNO4 DXK3:DXK4 EHG3:EHG4 ERC3:ERC4 FAY3:FAY4 FKU3:FKU4 FUQ3:FUQ4 GEM3:GEM4 GOI3:GOI4 GYE3:GYE4 HIA3:HIA4 HRW3:HRW4 IBS3:IBS4 ILO3:ILO4 IVK3:IVK4 JFG3:JFG4 JPC3:JPC4 JYY3:JYY4 KIU3:KIU4 KSQ3:KSQ4 LCM3:LCM4 LMI3:LMI4 LWE3:LWE4 MGA3:MGA4 MPW3:MPW4 MZS3:MZS4 NJO3:NJO4 NTK3:NTK4 ODG3:ODG4 ONC3:ONC4 OWY3:OWY4 PGU3:PGU4 PQQ3:PQQ4 QAM3:QAM4 QKI3:QKI4 QUE3:QUE4 REA3:REA4 RNW3:RNW4 RXS3:RXS4 SHO3:SHO4 SRK3:SRK4 TBG3:TBG4 TLC3:TLC4 TUY3:TUY4 UEU3:UEU4 UOQ3:UOQ4 UYM3:UYM4 VII3:VII4 VSE3:VSE4 WCA3:WCA4 WLW3:WLW4 WVS3:WVS4" xr:uid="{00000000-0002-0000-0600-000009000000}"/>
    <dataValidation allowBlank="1" showInputMessage="1" showErrorMessage="1" promptTitle="Unit Cost" prompt="Report the unit cost of the item as agreed to with your retail partner." sqref="J983043:J983269 JF983043:JF983269 TB983043:TB983269 ACX983043:ACX983269 AMT983043:AMT983269 AWP983043:AWP983269 BGL983043:BGL983269 BQH983043:BQH983269 CAD983043:CAD983269 CJZ983043:CJZ983269 CTV983043:CTV983269 DDR983043:DDR983269 DNN983043:DNN983269 DXJ983043:DXJ983269 EHF983043:EHF983269 ERB983043:ERB983269 FAX983043:FAX983269 FKT983043:FKT983269 FUP983043:FUP983269 GEL983043:GEL983269 GOH983043:GOH983269 GYD983043:GYD983269 HHZ983043:HHZ983269 HRV983043:HRV983269 IBR983043:IBR983269 ILN983043:ILN983269 IVJ983043:IVJ983269 JFF983043:JFF983269 JPB983043:JPB983269 JYX983043:JYX983269 KIT983043:KIT983269 KSP983043:KSP983269 LCL983043:LCL983269 LMH983043:LMH983269 LWD983043:LWD983269 MFZ983043:MFZ983269 MPV983043:MPV983269 MZR983043:MZR983269 NJN983043:NJN983269 NTJ983043:NTJ983269 ODF983043:ODF983269 ONB983043:ONB983269 OWX983043:OWX983269 PGT983043:PGT983269 PQP983043:PQP983269 QAL983043:QAL983269 QKH983043:QKH983269 QUD983043:QUD983269 RDZ983043:RDZ983269 RNV983043:RNV983269 RXR983043:RXR983269 SHN983043:SHN983269 SRJ983043:SRJ983269 TBF983043:TBF983269 TLB983043:TLB983269 TUX983043:TUX983269 UET983043:UET983269 UOP983043:UOP983269 UYL983043:UYL983269 VIH983043:VIH983269 VSD983043:VSD983269 WBZ983043:WBZ983269 WLV983043:WLV983269 WVR983043:WVR983269 J65539:J65765 JF65539:JF65765 TB65539:TB65765 ACX65539:ACX65765 AMT65539:AMT65765 AWP65539:AWP65765 BGL65539:BGL65765 BQH65539:BQH65765 CAD65539:CAD65765 CJZ65539:CJZ65765 CTV65539:CTV65765 DDR65539:DDR65765 DNN65539:DNN65765 DXJ65539:DXJ65765 EHF65539:EHF65765 ERB65539:ERB65765 FAX65539:FAX65765 FKT65539:FKT65765 FUP65539:FUP65765 GEL65539:GEL65765 GOH65539:GOH65765 GYD65539:GYD65765 HHZ65539:HHZ65765 HRV65539:HRV65765 IBR65539:IBR65765 ILN65539:ILN65765 IVJ65539:IVJ65765 JFF65539:JFF65765 JPB65539:JPB65765 JYX65539:JYX65765 KIT65539:KIT65765 KSP65539:KSP65765 LCL65539:LCL65765 LMH65539:LMH65765 LWD65539:LWD65765 MFZ65539:MFZ65765 MPV65539:MPV65765 MZR65539:MZR65765 NJN65539:NJN65765 NTJ65539:NTJ65765 ODF65539:ODF65765 ONB65539:ONB65765 OWX65539:OWX65765 PGT65539:PGT65765 PQP65539:PQP65765 QAL65539:QAL65765 QKH65539:QKH65765 QUD65539:QUD65765 RDZ65539:RDZ65765 RNV65539:RNV65765 RXR65539:RXR65765 SHN65539:SHN65765 SRJ65539:SRJ65765 TBF65539:TBF65765 TLB65539:TLB65765 TUX65539:TUX65765 UET65539:UET65765 UOP65539:UOP65765 UYL65539:UYL65765 VIH65539:VIH65765 VSD65539:VSD65765 WBZ65539:WBZ65765 WLV65539:WLV65765 WVR65539:WVR65765 J131075:J131301 JF131075:JF131301 TB131075:TB131301 ACX131075:ACX131301 AMT131075:AMT131301 AWP131075:AWP131301 BGL131075:BGL131301 BQH131075:BQH131301 CAD131075:CAD131301 CJZ131075:CJZ131301 CTV131075:CTV131301 DDR131075:DDR131301 DNN131075:DNN131301 DXJ131075:DXJ131301 EHF131075:EHF131301 ERB131075:ERB131301 FAX131075:FAX131301 FKT131075:FKT131301 FUP131075:FUP131301 GEL131075:GEL131301 GOH131075:GOH131301 GYD131075:GYD131301 HHZ131075:HHZ131301 HRV131075:HRV131301 IBR131075:IBR131301 ILN131075:ILN131301 IVJ131075:IVJ131301 JFF131075:JFF131301 JPB131075:JPB131301 JYX131075:JYX131301 KIT131075:KIT131301 KSP131075:KSP131301 LCL131075:LCL131301 LMH131075:LMH131301 LWD131075:LWD131301 MFZ131075:MFZ131301 MPV131075:MPV131301 MZR131075:MZR131301 NJN131075:NJN131301 NTJ131075:NTJ131301 ODF131075:ODF131301 ONB131075:ONB131301 OWX131075:OWX131301 PGT131075:PGT131301 PQP131075:PQP131301 QAL131075:QAL131301 QKH131075:QKH131301 QUD131075:QUD131301 RDZ131075:RDZ131301 RNV131075:RNV131301 RXR131075:RXR131301 SHN131075:SHN131301 SRJ131075:SRJ131301 TBF131075:TBF131301 TLB131075:TLB131301 TUX131075:TUX131301 UET131075:UET131301 UOP131075:UOP131301 UYL131075:UYL131301 VIH131075:VIH131301 VSD131075:VSD131301 WBZ131075:WBZ131301 WLV131075:WLV131301 WVR131075:WVR131301 J196611:J196837 JF196611:JF196837 TB196611:TB196837 ACX196611:ACX196837 AMT196611:AMT196837 AWP196611:AWP196837 BGL196611:BGL196837 BQH196611:BQH196837 CAD196611:CAD196837 CJZ196611:CJZ196837 CTV196611:CTV196837 DDR196611:DDR196837 DNN196611:DNN196837 DXJ196611:DXJ196837 EHF196611:EHF196837 ERB196611:ERB196837 FAX196611:FAX196837 FKT196611:FKT196837 FUP196611:FUP196837 GEL196611:GEL196837 GOH196611:GOH196837 GYD196611:GYD196837 HHZ196611:HHZ196837 HRV196611:HRV196837 IBR196611:IBR196837 ILN196611:ILN196837 IVJ196611:IVJ196837 JFF196611:JFF196837 JPB196611:JPB196837 JYX196611:JYX196837 KIT196611:KIT196837 KSP196611:KSP196837 LCL196611:LCL196837 LMH196611:LMH196837 LWD196611:LWD196837 MFZ196611:MFZ196837 MPV196611:MPV196837 MZR196611:MZR196837 NJN196611:NJN196837 NTJ196611:NTJ196837 ODF196611:ODF196837 ONB196611:ONB196837 OWX196611:OWX196837 PGT196611:PGT196837 PQP196611:PQP196837 QAL196611:QAL196837 QKH196611:QKH196837 QUD196611:QUD196837 RDZ196611:RDZ196837 RNV196611:RNV196837 RXR196611:RXR196837 SHN196611:SHN196837 SRJ196611:SRJ196837 TBF196611:TBF196837 TLB196611:TLB196837 TUX196611:TUX196837 UET196611:UET196837 UOP196611:UOP196837 UYL196611:UYL196837 VIH196611:VIH196837 VSD196611:VSD196837 WBZ196611:WBZ196837 WLV196611:WLV196837 WVR196611:WVR196837 J262147:J262373 JF262147:JF262373 TB262147:TB262373 ACX262147:ACX262373 AMT262147:AMT262373 AWP262147:AWP262373 BGL262147:BGL262373 BQH262147:BQH262373 CAD262147:CAD262373 CJZ262147:CJZ262373 CTV262147:CTV262373 DDR262147:DDR262373 DNN262147:DNN262373 DXJ262147:DXJ262373 EHF262147:EHF262373 ERB262147:ERB262373 FAX262147:FAX262373 FKT262147:FKT262373 FUP262147:FUP262373 GEL262147:GEL262373 GOH262147:GOH262373 GYD262147:GYD262373 HHZ262147:HHZ262373 HRV262147:HRV262373 IBR262147:IBR262373 ILN262147:ILN262373 IVJ262147:IVJ262373 JFF262147:JFF262373 JPB262147:JPB262373 JYX262147:JYX262373 KIT262147:KIT262373 KSP262147:KSP262373 LCL262147:LCL262373 LMH262147:LMH262373 LWD262147:LWD262373 MFZ262147:MFZ262373 MPV262147:MPV262373 MZR262147:MZR262373 NJN262147:NJN262373 NTJ262147:NTJ262373 ODF262147:ODF262373 ONB262147:ONB262373 OWX262147:OWX262373 PGT262147:PGT262373 PQP262147:PQP262373 QAL262147:QAL262373 QKH262147:QKH262373 QUD262147:QUD262373 RDZ262147:RDZ262373 RNV262147:RNV262373 RXR262147:RXR262373 SHN262147:SHN262373 SRJ262147:SRJ262373 TBF262147:TBF262373 TLB262147:TLB262373 TUX262147:TUX262373 UET262147:UET262373 UOP262147:UOP262373 UYL262147:UYL262373 VIH262147:VIH262373 VSD262147:VSD262373 WBZ262147:WBZ262373 WLV262147:WLV262373 WVR262147:WVR262373 J327683:J327909 JF327683:JF327909 TB327683:TB327909 ACX327683:ACX327909 AMT327683:AMT327909 AWP327683:AWP327909 BGL327683:BGL327909 BQH327683:BQH327909 CAD327683:CAD327909 CJZ327683:CJZ327909 CTV327683:CTV327909 DDR327683:DDR327909 DNN327683:DNN327909 DXJ327683:DXJ327909 EHF327683:EHF327909 ERB327683:ERB327909 FAX327683:FAX327909 FKT327683:FKT327909 FUP327683:FUP327909 GEL327683:GEL327909 GOH327683:GOH327909 GYD327683:GYD327909 HHZ327683:HHZ327909 HRV327683:HRV327909 IBR327683:IBR327909 ILN327683:ILN327909 IVJ327683:IVJ327909 JFF327683:JFF327909 JPB327683:JPB327909 JYX327683:JYX327909 KIT327683:KIT327909 KSP327683:KSP327909 LCL327683:LCL327909 LMH327683:LMH327909 LWD327683:LWD327909 MFZ327683:MFZ327909 MPV327683:MPV327909 MZR327683:MZR327909 NJN327683:NJN327909 NTJ327683:NTJ327909 ODF327683:ODF327909 ONB327683:ONB327909 OWX327683:OWX327909 PGT327683:PGT327909 PQP327683:PQP327909 QAL327683:QAL327909 QKH327683:QKH327909 QUD327683:QUD327909 RDZ327683:RDZ327909 RNV327683:RNV327909 RXR327683:RXR327909 SHN327683:SHN327909 SRJ327683:SRJ327909 TBF327683:TBF327909 TLB327683:TLB327909 TUX327683:TUX327909 UET327683:UET327909 UOP327683:UOP327909 UYL327683:UYL327909 VIH327683:VIH327909 VSD327683:VSD327909 WBZ327683:WBZ327909 WLV327683:WLV327909 WVR327683:WVR327909 J393219:J393445 JF393219:JF393445 TB393219:TB393445 ACX393219:ACX393445 AMT393219:AMT393445 AWP393219:AWP393445 BGL393219:BGL393445 BQH393219:BQH393445 CAD393219:CAD393445 CJZ393219:CJZ393445 CTV393219:CTV393445 DDR393219:DDR393445 DNN393219:DNN393445 DXJ393219:DXJ393445 EHF393219:EHF393445 ERB393219:ERB393445 FAX393219:FAX393445 FKT393219:FKT393445 FUP393219:FUP393445 GEL393219:GEL393445 GOH393219:GOH393445 GYD393219:GYD393445 HHZ393219:HHZ393445 HRV393219:HRV393445 IBR393219:IBR393445 ILN393219:ILN393445 IVJ393219:IVJ393445 JFF393219:JFF393445 JPB393219:JPB393445 JYX393219:JYX393445 KIT393219:KIT393445 KSP393219:KSP393445 LCL393219:LCL393445 LMH393219:LMH393445 LWD393219:LWD393445 MFZ393219:MFZ393445 MPV393219:MPV393445 MZR393219:MZR393445 NJN393219:NJN393445 NTJ393219:NTJ393445 ODF393219:ODF393445 ONB393219:ONB393445 OWX393219:OWX393445 PGT393219:PGT393445 PQP393219:PQP393445 QAL393219:QAL393445 QKH393219:QKH393445 QUD393219:QUD393445 RDZ393219:RDZ393445 RNV393219:RNV393445 RXR393219:RXR393445 SHN393219:SHN393445 SRJ393219:SRJ393445 TBF393219:TBF393445 TLB393219:TLB393445 TUX393219:TUX393445 UET393219:UET393445 UOP393219:UOP393445 UYL393219:UYL393445 VIH393219:VIH393445 VSD393219:VSD393445 WBZ393219:WBZ393445 WLV393219:WLV393445 WVR393219:WVR393445 J458755:J458981 JF458755:JF458981 TB458755:TB458981 ACX458755:ACX458981 AMT458755:AMT458981 AWP458755:AWP458981 BGL458755:BGL458981 BQH458755:BQH458981 CAD458755:CAD458981 CJZ458755:CJZ458981 CTV458755:CTV458981 DDR458755:DDR458981 DNN458755:DNN458981 DXJ458755:DXJ458981 EHF458755:EHF458981 ERB458755:ERB458981 FAX458755:FAX458981 FKT458755:FKT458981 FUP458755:FUP458981 GEL458755:GEL458981 GOH458755:GOH458981 GYD458755:GYD458981 HHZ458755:HHZ458981 HRV458755:HRV458981 IBR458755:IBR458981 ILN458755:ILN458981 IVJ458755:IVJ458981 JFF458755:JFF458981 JPB458755:JPB458981 JYX458755:JYX458981 KIT458755:KIT458981 KSP458755:KSP458981 LCL458755:LCL458981 LMH458755:LMH458981 LWD458755:LWD458981 MFZ458755:MFZ458981 MPV458755:MPV458981 MZR458755:MZR458981 NJN458755:NJN458981 NTJ458755:NTJ458981 ODF458755:ODF458981 ONB458755:ONB458981 OWX458755:OWX458981 PGT458755:PGT458981 PQP458755:PQP458981 QAL458755:QAL458981 QKH458755:QKH458981 QUD458755:QUD458981 RDZ458755:RDZ458981 RNV458755:RNV458981 RXR458755:RXR458981 SHN458755:SHN458981 SRJ458755:SRJ458981 TBF458755:TBF458981 TLB458755:TLB458981 TUX458755:TUX458981 UET458755:UET458981 UOP458755:UOP458981 UYL458755:UYL458981 VIH458755:VIH458981 VSD458755:VSD458981 WBZ458755:WBZ458981 WLV458755:WLV458981 WVR458755:WVR458981 J524291:J524517 JF524291:JF524517 TB524291:TB524517 ACX524291:ACX524517 AMT524291:AMT524517 AWP524291:AWP524517 BGL524291:BGL524517 BQH524291:BQH524517 CAD524291:CAD524517 CJZ524291:CJZ524517 CTV524291:CTV524517 DDR524291:DDR524517 DNN524291:DNN524517 DXJ524291:DXJ524517 EHF524291:EHF524517 ERB524291:ERB524517 FAX524291:FAX524517 FKT524291:FKT524517 FUP524291:FUP524517 GEL524291:GEL524517 GOH524291:GOH524517 GYD524291:GYD524517 HHZ524291:HHZ524517 HRV524291:HRV524517 IBR524291:IBR524517 ILN524291:ILN524517 IVJ524291:IVJ524517 JFF524291:JFF524517 JPB524291:JPB524517 JYX524291:JYX524517 KIT524291:KIT524517 KSP524291:KSP524517 LCL524291:LCL524517 LMH524291:LMH524517 LWD524291:LWD524517 MFZ524291:MFZ524517 MPV524291:MPV524517 MZR524291:MZR524517 NJN524291:NJN524517 NTJ524291:NTJ524517 ODF524291:ODF524517 ONB524291:ONB524517 OWX524291:OWX524517 PGT524291:PGT524517 PQP524291:PQP524517 QAL524291:QAL524517 QKH524291:QKH524517 QUD524291:QUD524517 RDZ524291:RDZ524517 RNV524291:RNV524517 RXR524291:RXR524517 SHN524291:SHN524517 SRJ524291:SRJ524517 TBF524291:TBF524517 TLB524291:TLB524517 TUX524291:TUX524517 UET524291:UET524517 UOP524291:UOP524517 UYL524291:UYL524517 VIH524291:VIH524517 VSD524291:VSD524517 WBZ524291:WBZ524517 WLV524291:WLV524517 WVR524291:WVR524517 J589827:J590053 JF589827:JF590053 TB589827:TB590053 ACX589827:ACX590053 AMT589827:AMT590053 AWP589827:AWP590053 BGL589827:BGL590053 BQH589827:BQH590053 CAD589827:CAD590053 CJZ589827:CJZ590053 CTV589827:CTV590053 DDR589827:DDR590053 DNN589827:DNN590053 DXJ589827:DXJ590053 EHF589827:EHF590053 ERB589827:ERB590053 FAX589827:FAX590053 FKT589827:FKT590053 FUP589827:FUP590053 GEL589827:GEL590053 GOH589827:GOH590053 GYD589827:GYD590053 HHZ589827:HHZ590053 HRV589827:HRV590053 IBR589827:IBR590053 ILN589827:ILN590053 IVJ589827:IVJ590053 JFF589827:JFF590053 JPB589827:JPB590053 JYX589827:JYX590053 KIT589827:KIT590053 KSP589827:KSP590053 LCL589827:LCL590053 LMH589827:LMH590053 LWD589827:LWD590053 MFZ589827:MFZ590053 MPV589827:MPV590053 MZR589827:MZR590053 NJN589827:NJN590053 NTJ589827:NTJ590053 ODF589827:ODF590053 ONB589827:ONB590053 OWX589827:OWX590053 PGT589827:PGT590053 PQP589827:PQP590053 QAL589827:QAL590053 QKH589827:QKH590053 QUD589827:QUD590053 RDZ589827:RDZ590053 RNV589827:RNV590053 RXR589827:RXR590053 SHN589827:SHN590053 SRJ589827:SRJ590053 TBF589827:TBF590053 TLB589827:TLB590053 TUX589827:TUX590053 UET589827:UET590053 UOP589827:UOP590053 UYL589827:UYL590053 VIH589827:VIH590053 VSD589827:VSD590053 WBZ589827:WBZ590053 WLV589827:WLV590053 WVR589827:WVR590053 J655363:J655589 JF655363:JF655589 TB655363:TB655589 ACX655363:ACX655589 AMT655363:AMT655589 AWP655363:AWP655589 BGL655363:BGL655589 BQH655363:BQH655589 CAD655363:CAD655589 CJZ655363:CJZ655589 CTV655363:CTV655589 DDR655363:DDR655589 DNN655363:DNN655589 DXJ655363:DXJ655589 EHF655363:EHF655589 ERB655363:ERB655589 FAX655363:FAX655589 FKT655363:FKT655589 FUP655363:FUP655589 GEL655363:GEL655589 GOH655363:GOH655589 GYD655363:GYD655589 HHZ655363:HHZ655589 HRV655363:HRV655589 IBR655363:IBR655589 ILN655363:ILN655589 IVJ655363:IVJ655589 JFF655363:JFF655589 JPB655363:JPB655589 JYX655363:JYX655589 KIT655363:KIT655589 KSP655363:KSP655589 LCL655363:LCL655589 LMH655363:LMH655589 LWD655363:LWD655589 MFZ655363:MFZ655589 MPV655363:MPV655589 MZR655363:MZR655589 NJN655363:NJN655589 NTJ655363:NTJ655589 ODF655363:ODF655589 ONB655363:ONB655589 OWX655363:OWX655589 PGT655363:PGT655589 PQP655363:PQP655589 QAL655363:QAL655589 QKH655363:QKH655589 QUD655363:QUD655589 RDZ655363:RDZ655589 RNV655363:RNV655589 RXR655363:RXR655589 SHN655363:SHN655589 SRJ655363:SRJ655589 TBF655363:TBF655589 TLB655363:TLB655589 TUX655363:TUX655589 UET655363:UET655589 UOP655363:UOP655589 UYL655363:UYL655589 VIH655363:VIH655589 VSD655363:VSD655589 WBZ655363:WBZ655589 WLV655363:WLV655589 WVR655363:WVR655589 J720899:J721125 JF720899:JF721125 TB720899:TB721125 ACX720899:ACX721125 AMT720899:AMT721125 AWP720899:AWP721125 BGL720899:BGL721125 BQH720899:BQH721125 CAD720899:CAD721125 CJZ720899:CJZ721125 CTV720899:CTV721125 DDR720899:DDR721125 DNN720899:DNN721125 DXJ720899:DXJ721125 EHF720899:EHF721125 ERB720899:ERB721125 FAX720899:FAX721125 FKT720899:FKT721125 FUP720899:FUP721125 GEL720899:GEL721125 GOH720899:GOH721125 GYD720899:GYD721125 HHZ720899:HHZ721125 HRV720899:HRV721125 IBR720899:IBR721125 ILN720899:ILN721125 IVJ720899:IVJ721125 JFF720899:JFF721125 JPB720899:JPB721125 JYX720899:JYX721125 KIT720899:KIT721125 KSP720899:KSP721125 LCL720899:LCL721125 LMH720899:LMH721125 LWD720899:LWD721125 MFZ720899:MFZ721125 MPV720899:MPV721125 MZR720899:MZR721125 NJN720899:NJN721125 NTJ720899:NTJ721125 ODF720899:ODF721125 ONB720899:ONB721125 OWX720899:OWX721125 PGT720899:PGT721125 PQP720899:PQP721125 QAL720899:QAL721125 QKH720899:QKH721125 QUD720899:QUD721125 RDZ720899:RDZ721125 RNV720899:RNV721125 RXR720899:RXR721125 SHN720899:SHN721125 SRJ720899:SRJ721125 TBF720899:TBF721125 TLB720899:TLB721125 TUX720899:TUX721125 UET720899:UET721125 UOP720899:UOP721125 UYL720899:UYL721125 VIH720899:VIH721125 VSD720899:VSD721125 WBZ720899:WBZ721125 WLV720899:WLV721125 WVR720899:WVR721125 J786435:J786661 JF786435:JF786661 TB786435:TB786661 ACX786435:ACX786661 AMT786435:AMT786661 AWP786435:AWP786661 BGL786435:BGL786661 BQH786435:BQH786661 CAD786435:CAD786661 CJZ786435:CJZ786661 CTV786435:CTV786661 DDR786435:DDR786661 DNN786435:DNN786661 DXJ786435:DXJ786661 EHF786435:EHF786661 ERB786435:ERB786661 FAX786435:FAX786661 FKT786435:FKT786661 FUP786435:FUP786661 GEL786435:GEL786661 GOH786435:GOH786661 GYD786435:GYD786661 HHZ786435:HHZ786661 HRV786435:HRV786661 IBR786435:IBR786661 ILN786435:ILN786661 IVJ786435:IVJ786661 JFF786435:JFF786661 JPB786435:JPB786661 JYX786435:JYX786661 KIT786435:KIT786661 KSP786435:KSP786661 LCL786435:LCL786661 LMH786435:LMH786661 LWD786435:LWD786661 MFZ786435:MFZ786661 MPV786435:MPV786661 MZR786435:MZR786661 NJN786435:NJN786661 NTJ786435:NTJ786661 ODF786435:ODF786661 ONB786435:ONB786661 OWX786435:OWX786661 PGT786435:PGT786661 PQP786435:PQP786661 QAL786435:QAL786661 QKH786435:QKH786661 QUD786435:QUD786661 RDZ786435:RDZ786661 RNV786435:RNV786661 RXR786435:RXR786661 SHN786435:SHN786661 SRJ786435:SRJ786661 TBF786435:TBF786661 TLB786435:TLB786661 TUX786435:TUX786661 UET786435:UET786661 UOP786435:UOP786661 UYL786435:UYL786661 VIH786435:VIH786661 VSD786435:VSD786661 WBZ786435:WBZ786661 WLV786435:WLV786661 WVR786435:WVR786661 J851971:J852197 JF851971:JF852197 TB851971:TB852197 ACX851971:ACX852197 AMT851971:AMT852197 AWP851971:AWP852197 BGL851971:BGL852197 BQH851971:BQH852197 CAD851971:CAD852197 CJZ851971:CJZ852197 CTV851971:CTV852197 DDR851971:DDR852197 DNN851971:DNN852197 DXJ851971:DXJ852197 EHF851971:EHF852197 ERB851971:ERB852197 FAX851971:FAX852197 FKT851971:FKT852197 FUP851971:FUP852197 GEL851971:GEL852197 GOH851971:GOH852197 GYD851971:GYD852197 HHZ851971:HHZ852197 HRV851971:HRV852197 IBR851971:IBR852197 ILN851971:ILN852197 IVJ851971:IVJ852197 JFF851971:JFF852197 JPB851971:JPB852197 JYX851971:JYX852197 KIT851971:KIT852197 KSP851971:KSP852197 LCL851971:LCL852197 LMH851971:LMH852197 LWD851971:LWD852197 MFZ851971:MFZ852197 MPV851971:MPV852197 MZR851971:MZR852197 NJN851971:NJN852197 NTJ851971:NTJ852197 ODF851971:ODF852197 ONB851971:ONB852197 OWX851971:OWX852197 PGT851971:PGT852197 PQP851971:PQP852197 QAL851971:QAL852197 QKH851971:QKH852197 QUD851971:QUD852197 RDZ851971:RDZ852197 RNV851971:RNV852197 RXR851971:RXR852197 SHN851971:SHN852197 SRJ851971:SRJ852197 TBF851971:TBF852197 TLB851971:TLB852197 TUX851971:TUX852197 UET851971:UET852197 UOP851971:UOP852197 UYL851971:UYL852197 VIH851971:VIH852197 VSD851971:VSD852197 WBZ851971:WBZ852197 WLV851971:WLV852197 WVR851971:WVR852197 J917507:J917733 JF917507:JF917733 TB917507:TB917733 ACX917507:ACX917733 AMT917507:AMT917733 AWP917507:AWP917733 BGL917507:BGL917733 BQH917507:BQH917733 CAD917507:CAD917733 CJZ917507:CJZ917733 CTV917507:CTV917733 DDR917507:DDR917733 DNN917507:DNN917733 DXJ917507:DXJ917733 EHF917507:EHF917733 ERB917507:ERB917733 FAX917507:FAX917733 FKT917507:FKT917733 FUP917507:FUP917733 GEL917507:GEL917733 GOH917507:GOH917733 GYD917507:GYD917733 HHZ917507:HHZ917733 HRV917507:HRV917733 IBR917507:IBR917733 ILN917507:ILN917733 IVJ917507:IVJ917733 JFF917507:JFF917733 JPB917507:JPB917733 JYX917507:JYX917733 KIT917507:KIT917733 KSP917507:KSP917733 LCL917507:LCL917733 LMH917507:LMH917733 LWD917507:LWD917733 MFZ917507:MFZ917733 MPV917507:MPV917733 MZR917507:MZR917733 NJN917507:NJN917733 NTJ917507:NTJ917733 ODF917507:ODF917733 ONB917507:ONB917733 OWX917507:OWX917733 PGT917507:PGT917733 PQP917507:PQP917733 QAL917507:QAL917733 QKH917507:QKH917733 QUD917507:QUD917733 RDZ917507:RDZ917733 RNV917507:RNV917733 RXR917507:RXR917733 SHN917507:SHN917733 SRJ917507:SRJ917733 TBF917507:TBF917733 TLB917507:TLB917733 TUX917507:TUX917733 UET917507:UET917733 UOP917507:UOP917733 UYL917507:UYL917733 VIH917507:VIH917733 VSD917507:VSD917733 WBZ917507:WBZ917733 WLV917507:WLV917733 WVR917507:WVR917733 J3:J229 JF3:JF229 TB3:TB229 ACX3:ACX229 AMT3:AMT229 AWP3:AWP229 BGL3:BGL229 BQH3:BQH229 CAD3:CAD229 CJZ3:CJZ229 CTV3:CTV229 DDR3:DDR229 DNN3:DNN229 DXJ3:DXJ229 EHF3:EHF229 ERB3:ERB229 FAX3:FAX229 FKT3:FKT229 FUP3:FUP229 GEL3:GEL229 GOH3:GOH229 GYD3:GYD229 HHZ3:HHZ229 HRV3:HRV229 IBR3:IBR229 ILN3:ILN229 IVJ3:IVJ229 JFF3:JFF229 JPB3:JPB229 JYX3:JYX229 KIT3:KIT229 KSP3:KSP229 LCL3:LCL229 LMH3:LMH229 LWD3:LWD229 MFZ3:MFZ229 MPV3:MPV229 MZR3:MZR229 NJN3:NJN229 NTJ3:NTJ229 ODF3:ODF229 ONB3:ONB229 OWX3:OWX229 PGT3:PGT229 PQP3:PQP229 QAL3:QAL229 QKH3:QKH229 QUD3:QUD229 RDZ3:RDZ229 RNV3:RNV229 RXR3:RXR229 SHN3:SHN229 SRJ3:SRJ229 TBF3:TBF229 TLB3:TLB229 TUX3:TUX229 UET3:UET229 UOP3:UOP229 UYL3:UYL229 VIH3:VIH229 VSD3:VSD229 WBZ3:WBZ229 WLV3:WLV229 WVR3:WVR229" xr:uid="{00000000-0002-0000-0600-00000A000000}"/>
    <dataValidation allowBlank="1" showInputMessage="1" showErrorMessage="1" promptTitle="Product Description" prompt="Enter your product description.  While not always required, it's generally considered best practice to include on all items." sqref="I983043:I983044 JE983043:JE983044 TA983043:TA983044 ACW983043:ACW983044 AMS983043:AMS983044 AWO983043:AWO983044 BGK983043:BGK983044 BQG983043:BQG983044 CAC983043:CAC983044 CJY983043:CJY983044 CTU983043:CTU983044 DDQ983043:DDQ983044 DNM983043:DNM983044 DXI983043:DXI983044 EHE983043:EHE983044 ERA983043:ERA983044 FAW983043:FAW983044 FKS983043:FKS983044 FUO983043:FUO983044 GEK983043:GEK983044 GOG983043:GOG983044 GYC983043:GYC983044 HHY983043:HHY983044 HRU983043:HRU983044 IBQ983043:IBQ983044 ILM983043:ILM983044 IVI983043:IVI983044 JFE983043:JFE983044 JPA983043:JPA983044 JYW983043:JYW983044 KIS983043:KIS983044 KSO983043:KSO983044 LCK983043:LCK983044 LMG983043:LMG983044 LWC983043:LWC983044 MFY983043:MFY983044 MPU983043:MPU983044 MZQ983043:MZQ983044 NJM983043:NJM983044 NTI983043:NTI983044 ODE983043:ODE983044 ONA983043:ONA983044 OWW983043:OWW983044 PGS983043:PGS983044 PQO983043:PQO983044 QAK983043:QAK983044 QKG983043:QKG983044 QUC983043:QUC983044 RDY983043:RDY983044 RNU983043:RNU983044 RXQ983043:RXQ983044 SHM983043:SHM983044 SRI983043:SRI983044 TBE983043:TBE983044 TLA983043:TLA983044 TUW983043:TUW983044 UES983043:UES983044 UOO983043:UOO983044 UYK983043:UYK983044 VIG983043:VIG983044 VSC983043:VSC983044 WBY983043:WBY983044 WLU983043:WLU983044 WVQ983043:WVQ983044 I65539:I65540 JE65539:JE65540 TA65539:TA65540 ACW65539:ACW65540 AMS65539:AMS65540 AWO65539:AWO65540 BGK65539:BGK65540 BQG65539:BQG65540 CAC65539:CAC65540 CJY65539:CJY65540 CTU65539:CTU65540 DDQ65539:DDQ65540 DNM65539:DNM65540 DXI65539:DXI65540 EHE65539:EHE65540 ERA65539:ERA65540 FAW65539:FAW65540 FKS65539:FKS65540 FUO65539:FUO65540 GEK65539:GEK65540 GOG65539:GOG65540 GYC65539:GYC65540 HHY65539:HHY65540 HRU65539:HRU65540 IBQ65539:IBQ65540 ILM65539:ILM65540 IVI65539:IVI65540 JFE65539:JFE65540 JPA65539:JPA65540 JYW65539:JYW65540 KIS65539:KIS65540 KSO65539:KSO65540 LCK65539:LCK65540 LMG65539:LMG65540 LWC65539:LWC65540 MFY65539:MFY65540 MPU65539:MPU65540 MZQ65539:MZQ65540 NJM65539:NJM65540 NTI65539:NTI65540 ODE65539:ODE65540 ONA65539:ONA65540 OWW65539:OWW65540 PGS65539:PGS65540 PQO65539:PQO65540 QAK65539:QAK65540 QKG65539:QKG65540 QUC65539:QUC65540 RDY65539:RDY65540 RNU65539:RNU65540 RXQ65539:RXQ65540 SHM65539:SHM65540 SRI65539:SRI65540 TBE65539:TBE65540 TLA65539:TLA65540 TUW65539:TUW65540 UES65539:UES65540 UOO65539:UOO65540 UYK65539:UYK65540 VIG65539:VIG65540 VSC65539:VSC65540 WBY65539:WBY65540 WLU65539:WLU65540 WVQ65539:WVQ65540 I131075:I131076 JE131075:JE131076 TA131075:TA131076 ACW131075:ACW131076 AMS131075:AMS131076 AWO131075:AWO131076 BGK131075:BGK131076 BQG131075:BQG131076 CAC131075:CAC131076 CJY131075:CJY131076 CTU131075:CTU131076 DDQ131075:DDQ131076 DNM131075:DNM131076 DXI131075:DXI131076 EHE131075:EHE131076 ERA131075:ERA131076 FAW131075:FAW131076 FKS131075:FKS131076 FUO131075:FUO131076 GEK131075:GEK131076 GOG131075:GOG131076 GYC131075:GYC131076 HHY131075:HHY131076 HRU131075:HRU131076 IBQ131075:IBQ131076 ILM131075:ILM131076 IVI131075:IVI131076 JFE131075:JFE131076 JPA131075:JPA131076 JYW131075:JYW131076 KIS131075:KIS131076 KSO131075:KSO131076 LCK131075:LCK131076 LMG131075:LMG131076 LWC131075:LWC131076 MFY131075:MFY131076 MPU131075:MPU131076 MZQ131075:MZQ131076 NJM131075:NJM131076 NTI131075:NTI131076 ODE131075:ODE131076 ONA131075:ONA131076 OWW131075:OWW131076 PGS131075:PGS131076 PQO131075:PQO131076 QAK131075:QAK131076 QKG131075:QKG131076 QUC131075:QUC131076 RDY131075:RDY131076 RNU131075:RNU131076 RXQ131075:RXQ131076 SHM131075:SHM131076 SRI131075:SRI131076 TBE131075:TBE131076 TLA131075:TLA131076 TUW131075:TUW131076 UES131075:UES131076 UOO131075:UOO131076 UYK131075:UYK131076 VIG131075:VIG131076 VSC131075:VSC131076 WBY131075:WBY131076 WLU131075:WLU131076 WVQ131075:WVQ131076 I196611:I196612 JE196611:JE196612 TA196611:TA196612 ACW196611:ACW196612 AMS196611:AMS196612 AWO196611:AWO196612 BGK196611:BGK196612 BQG196611:BQG196612 CAC196611:CAC196612 CJY196611:CJY196612 CTU196611:CTU196612 DDQ196611:DDQ196612 DNM196611:DNM196612 DXI196611:DXI196612 EHE196611:EHE196612 ERA196611:ERA196612 FAW196611:FAW196612 FKS196611:FKS196612 FUO196611:FUO196612 GEK196611:GEK196612 GOG196611:GOG196612 GYC196611:GYC196612 HHY196611:HHY196612 HRU196611:HRU196612 IBQ196611:IBQ196612 ILM196611:ILM196612 IVI196611:IVI196612 JFE196611:JFE196612 JPA196611:JPA196612 JYW196611:JYW196612 KIS196611:KIS196612 KSO196611:KSO196612 LCK196611:LCK196612 LMG196611:LMG196612 LWC196611:LWC196612 MFY196611:MFY196612 MPU196611:MPU196612 MZQ196611:MZQ196612 NJM196611:NJM196612 NTI196611:NTI196612 ODE196611:ODE196612 ONA196611:ONA196612 OWW196611:OWW196612 PGS196611:PGS196612 PQO196611:PQO196612 QAK196611:QAK196612 QKG196611:QKG196612 QUC196611:QUC196612 RDY196611:RDY196612 RNU196611:RNU196612 RXQ196611:RXQ196612 SHM196611:SHM196612 SRI196611:SRI196612 TBE196611:TBE196612 TLA196611:TLA196612 TUW196611:TUW196612 UES196611:UES196612 UOO196611:UOO196612 UYK196611:UYK196612 VIG196611:VIG196612 VSC196611:VSC196612 WBY196611:WBY196612 WLU196611:WLU196612 WVQ196611:WVQ196612 I262147:I262148 JE262147:JE262148 TA262147:TA262148 ACW262147:ACW262148 AMS262147:AMS262148 AWO262147:AWO262148 BGK262147:BGK262148 BQG262147:BQG262148 CAC262147:CAC262148 CJY262147:CJY262148 CTU262147:CTU262148 DDQ262147:DDQ262148 DNM262147:DNM262148 DXI262147:DXI262148 EHE262147:EHE262148 ERA262147:ERA262148 FAW262147:FAW262148 FKS262147:FKS262148 FUO262147:FUO262148 GEK262147:GEK262148 GOG262147:GOG262148 GYC262147:GYC262148 HHY262147:HHY262148 HRU262147:HRU262148 IBQ262147:IBQ262148 ILM262147:ILM262148 IVI262147:IVI262148 JFE262147:JFE262148 JPA262147:JPA262148 JYW262147:JYW262148 KIS262147:KIS262148 KSO262147:KSO262148 LCK262147:LCK262148 LMG262147:LMG262148 LWC262147:LWC262148 MFY262147:MFY262148 MPU262147:MPU262148 MZQ262147:MZQ262148 NJM262147:NJM262148 NTI262147:NTI262148 ODE262147:ODE262148 ONA262147:ONA262148 OWW262147:OWW262148 PGS262147:PGS262148 PQO262147:PQO262148 QAK262147:QAK262148 QKG262147:QKG262148 QUC262147:QUC262148 RDY262147:RDY262148 RNU262147:RNU262148 RXQ262147:RXQ262148 SHM262147:SHM262148 SRI262147:SRI262148 TBE262147:TBE262148 TLA262147:TLA262148 TUW262147:TUW262148 UES262147:UES262148 UOO262147:UOO262148 UYK262147:UYK262148 VIG262147:VIG262148 VSC262147:VSC262148 WBY262147:WBY262148 WLU262147:WLU262148 WVQ262147:WVQ262148 I327683:I327684 JE327683:JE327684 TA327683:TA327684 ACW327683:ACW327684 AMS327683:AMS327684 AWO327683:AWO327684 BGK327683:BGK327684 BQG327683:BQG327684 CAC327683:CAC327684 CJY327683:CJY327684 CTU327683:CTU327684 DDQ327683:DDQ327684 DNM327683:DNM327684 DXI327683:DXI327684 EHE327683:EHE327684 ERA327683:ERA327684 FAW327683:FAW327684 FKS327683:FKS327684 FUO327683:FUO327684 GEK327683:GEK327684 GOG327683:GOG327684 GYC327683:GYC327684 HHY327683:HHY327684 HRU327683:HRU327684 IBQ327683:IBQ327684 ILM327683:ILM327684 IVI327683:IVI327684 JFE327683:JFE327684 JPA327683:JPA327684 JYW327683:JYW327684 KIS327683:KIS327684 KSO327683:KSO327684 LCK327683:LCK327684 LMG327683:LMG327684 LWC327683:LWC327684 MFY327683:MFY327684 MPU327683:MPU327684 MZQ327683:MZQ327684 NJM327683:NJM327684 NTI327683:NTI327684 ODE327683:ODE327684 ONA327683:ONA327684 OWW327683:OWW327684 PGS327683:PGS327684 PQO327683:PQO327684 QAK327683:QAK327684 QKG327683:QKG327684 QUC327683:QUC327684 RDY327683:RDY327684 RNU327683:RNU327684 RXQ327683:RXQ327684 SHM327683:SHM327684 SRI327683:SRI327684 TBE327683:TBE327684 TLA327683:TLA327684 TUW327683:TUW327684 UES327683:UES327684 UOO327683:UOO327684 UYK327683:UYK327684 VIG327683:VIG327684 VSC327683:VSC327684 WBY327683:WBY327684 WLU327683:WLU327684 WVQ327683:WVQ327684 I393219:I393220 JE393219:JE393220 TA393219:TA393220 ACW393219:ACW393220 AMS393219:AMS393220 AWO393219:AWO393220 BGK393219:BGK393220 BQG393219:BQG393220 CAC393219:CAC393220 CJY393219:CJY393220 CTU393219:CTU393220 DDQ393219:DDQ393220 DNM393219:DNM393220 DXI393219:DXI393220 EHE393219:EHE393220 ERA393219:ERA393220 FAW393219:FAW393220 FKS393219:FKS393220 FUO393219:FUO393220 GEK393219:GEK393220 GOG393219:GOG393220 GYC393219:GYC393220 HHY393219:HHY393220 HRU393219:HRU393220 IBQ393219:IBQ393220 ILM393219:ILM393220 IVI393219:IVI393220 JFE393219:JFE393220 JPA393219:JPA393220 JYW393219:JYW393220 KIS393219:KIS393220 KSO393219:KSO393220 LCK393219:LCK393220 LMG393219:LMG393220 LWC393219:LWC393220 MFY393219:MFY393220 MPU393219:MPU393220 MZQ393219:MZQ393220 NJM393219:NJM393220 NTI393219:NTI393220 ODE393219:ODE393220 ONA393219:ONA393220 OWW393219:OWW393220 PGS393219:PGS393220 PQO393219:PQO393220 QAK393219:QAK393220 QKG393219:QKG393220 QUC393219:QUC393220 RDY393219:RDY393220 RNU393219:RNU393220 RXQ393219:RXQ393220 SHM393219:SHM393220 SRI393219:SRI393220 TBE393219:TBE393220 TLA393219:TLA393220 TUW393219:TUW393220 UES393219:UES393220 UOO393219:UOO393220 UYK393219:UYK393220 VIG393219:VIG393220 VSC393219:VSC393220 WBY393219:WBY393220 WLU393219:WLU393220 WVQ393219:WVQ393220 I458755:I458756 JE458755:JE458756 TA458755:TA458756 ACW458755:ACW458756 AMS458755:AMS458756 AWO458755:AWO458756 BGK458755:BGK458756 BQG458755:BQG458756 CAC458755:CAC458756 CJY458755:CJY458756 CTU458755:CTU458756 DDQ458755:DDQ458756 DNM458755:DNM458756 DXI458755:DXI458756 EHE458755:EHE458756 ERA458755:ERA458756 FAW458755:FAW458756 FKS458755:FKS458756 FUO458755:FUO458756 GEK458755:GEK458756 GOG458755:GOG458756 GYC458755:GYC458756 HHY458755:HHY458756 HRU458755:HRU458756 IBQ458755:IBQ458756 ILM458755:ILM458756 IVI458755:IVI458756 JFE458755:JFE458756 JPA458755:JPA458756 JYW458755:JYW458756 KIS458755:KIS458756 KSO458755:KSO458756 LCK458755:LCK458756 LMG458755:LMG458756 LWC458755:LWC458756 MFY458755:MFY458756 MPU458755:MPU458756 MZQ458755:MZQ458756 NJM458755:NJM458756 NTI458755:NTI458756 ODE458755:ODE458756 ONA458755:ONA458756 OWW458755:OWW458756 PGS458755:PGS458756 PQO458755:PQO458756 QAK458755:QAK458756 QKG458755:QKG458756 QUC458755:QUC458756 RDY458755:RDY458756 RNU458755:RNU458756 RXQ458755:RXQ458756 SHM458755:SHM458756 SRI458755:SRI458756 TBE458755:TBE458756 TLA458755:TLA458756 TUW458755:TUW458756 UES458755:UES458756 UOO458755:UOO458756 UYK458755:UYK458756 VIG458755:VIG458756 VSC458755:VSC458756 WBY458755:WBY458756 WLU458755:WLU458756 WVQ458755:WVQ458756 I524291:I524292 JE524291:JE524292 TA524291:TA524292 ACW524291:ACW524292 AMS524291:AMS524292 AWO524291:AWO524292 BGK524291:BGK524292 BQG524291:BQG524292 CAC524291:CAC524292 CJY524291:CJY524292 CTU524291:CTU524292 DDQ524291:DDQ524292 DNM524291:DNM524292 DXI524291:DXI524292 EHE524291:EHE524292 ERA524291:ERA524292 FAW524291:FAW524292 FKS524291:FKS524292 FUO524291:FUO524292 GEK524291:GEK524292 GOG524291:GOG524292 GYC524291:GYC524292 HHY524291:HHY524292 HRU524291:HRU524292 IBQ524291:IBQ524292 ILM524291:ILM524292 IVI524291:IVI524292 JFE524291:JFE524292 JPA524291:JPA524292 JYW524291:JYW524292 KIS524291:KIS524292 KSO524291:KSO524292 LCK524291:LCK524292 LMG524291:LMG524292 LWC524291:LWC524292 MFY524291:MFY524292 MPU524291:MPU524292 MZQ524291:MZQ524292 NJM524291:NJM524292 NTI524291:NTI524292 ODE524291:ODE524292 ONA524291:ONA524292 OWW524291:OWW524292 PGS524291:PGS524292 PQO524291:PQO524292 QAK524291:QAK524292 QKG524291:QKG524292 QUC524291:QUC524292 RDY524291:RDY524292 RNU524291:RNU524292 RXQ524291:RXQ524292 SHM524291:SHM524292 SRI524291:SRI524292 TBE524291:TBE524292 TLA524291:TLA524292 TUW524291:TUW524292 UES524291:UES524292 UOO524291:UOO524292 UYK524291:UYK524292 VIG524291:VIG524292 VSC524291:VSC524292 WBY524291:WBY524292 WLU524291:WLU524292 WVQ524291:WVQ524292 I589827:I589828 JE589827:JE589828 TA589827:TA589828 ACW589827:ACW589828 AMS589827:AMS589828 AWO589827:AWO589828 BGK589827:BGK589828 BQG589827:BQG589828 CAC589827:CAC589828 CJY589827:CJY589828 CTU589827:CTU589828 DDQ589827:DDQ589828 DNM589827:DNM589828 DXI589827:DXI589828 EHE589827:EHE589828 ERA589827:ERA589828 FAW589827:FAW589828 FKS589827:FKS589828 FUO589827:FUO589828 GEK589827:GEK589828 GOG589827:GOG589828 GYC589827:GYC589828 HHY589827:HHY589828 HRU589827:HRU589828 IBQ589827:IBQ589828 ILM589827:ILM589828 IVI589827:IVI589828 JFE589827:JFE589828 JPA589827:JPA589828 JYW589827:JYW589828 KIS589827:KIS589828 KSO589827:KSO589828 LCK589827:LCK589828 LMG589827:LMG589828 LWC589827:LWC589828 MFY589827:MFY589828 MPU589827:MPU589828 MZQ589827:MZQ589828 NJM589827:NJM589828 NTI589827:NTI589828 ODE589827:ODE589828 ONA589827:ONA589828 OWW589827:OWW589828 PGS589827:PGS589828 PQO589827:PQO589828 QAK589827:QAK589828 QKG589827:QKG589828 QUC589827:QUC589828 RDY589827:RDY589828 RNU589827:RNU589828 RXQ589827:RXQ589828 SHM589827:SHM589828 SRI589827:SRI589828 TBE589827:TBE589828 TLA589827:TLA589828 TUW589827:TUW589828 UES589827:UES589828 UOO589827:UOO589828 UYK589827:UYK589828 VIG589827:VIG589828 VSC589827:VSC589828 WBY589827:WBY589828 WLU589827:WLU589828 WVQ589827:WVQ589828 I655363:I655364 JE655363:JE655364 TA655363:TA655364 ACW655363:ACW655364 AMS655363:AMS655364 AWO655363:AWO655364 BGK655363:BGK655364 BQG655363:BQG655364 CAC655363:CAC655364 CJY655363:CJY655364 CTU655363:CTU655364 DDQ655363:DDQ655364 DNM655363:DNM655364 DXI655363:DXI655364 EHE655363:EHE655364 ERA655363:ERA655364 FAW655363:FAW655364 FKS655363:FKS655364 FUO655363:FUO655364 GEK655363:GEK655364 GOG655363:GOG655364 GYC655363:GYC655364 HHY655363:HHY655364 HRU655363:HRU655364 IBQ655363:IBQ655364 ILM655363:ILM655364 IVI655363:IVI655364 JFE655363:JFE655364 JPA655363:JPA655364 JYW655363:JYW655364 KIS655363:KIS655364 KSO655363:KSO655364 LCK655363:LCK655364 LMG655363:LMG655364 LWC655363:LWC655364 MFY655363:MFY655364 MPU655363:MPU655364 MZQ655363:MZQ655364 NJM655363:NJM655364 NTI655363:NTI655364 ODE655363:ODE655364 ONA655363:ONA655364 OWW655363:OWW655364 PGS655363:PGS655364 PQO655363:PQO655364 QAK655363:QAK655364 QKG655363:QKG655364 QUC655363:QUC655364 RDY655363:RDY655364 RNU655363:RNU655364 RXQ655363:RXQ655364 SHM655363:SHM655364 SRI655363:SRI655364 TBE655363:TBE655364 TLA655363:TLA655364 TUW655363:TUW655364 UES655363:UES655364 UOO655363:UOO655364 UYK655363:UYK655364 VIG655363:VIG655364 VSC655363:VSC655364 WBY655363:WBY655364 WLU655363:WLU655364 WVQ655363:WVQ655364 I720899:I720900 JE720899:JE720900 TA720899:TA720900 ACW720899:ACW720900 AMS720899:AMS720900 AWO720899:AWO720900 BGK720899:BGK720900 BQG720899:BQG720900 CAC720899:CAC720900 CJY720899:CJY720900 CTU720899:CTU720900 DDQ720899:DDQ720900 DNM720899:DNM720900 DXI720899:DXI720900 EHE720899:EHE720900 ERA720899:ERA720900 FAW720899:FAW720900 FKS720899:FKS720900 FUO720899:FUO720900 GEK720899:GEK720900 GOG720899:GOG720900 GYC720899:GYC720900 HHY720899:HHY720900 HRU720899:HRU720900 IBQ720899:IBQ720900 ILM720899:ILM720900 IVI720899:IVI720900 JFE720899:JFE720900 JPA720899:JPA720900 JYW720899:JYW720900 KIS720899:KIS720900 KSO720899:KSO720900 LCK720899:LCK720900 LMG720899:LMG720900 LWC720899:LWC720900 MFY720899:MFY720900 MPU720899:MPU720900 MZQ720899:MZQ720900 NJM720899:NJM720900 NTI720899:NTI720900 ODE720899:ODE720900 ONA720899:ONA720900 OWW720899:OWW720900 PGS720899:PGS720900 PQO720899:PQO720900 QAK720899:QAK720900 QKG720899:QKG720900 QUC720899:QUC720900 RDY720899:RDY720900 RNU720899:RNU720900 RXQ720899:RXQ720900 SHM720899:SHM720900 SRI720899:SRI720900 TBE720899:TBE720900 TLA720899:TLA720900 TUW720899:TUW720900 UES720899:UES720900 UOO720899:UOO720900 UYK720899:UYK720900 VIG720899:VIG720900 VSC720899:VSC720900 WBY720899:WBY720900 WLU720899:WLU720900 WVQ720899:WVQ720900 I786435:I786436 JE786435:JE786436 TA786435:TA786436 ACW786435:ACW786436 AMS786435:AMS786436 AWO786435:AWO786436 BGK786435:BGK786436 BQG786435:BQG786436 CAC786435:CAC786436 CJY786435:CJY786436 CTU786435:CTU786436 DDQ786435:DDQ786436 DNM786435:DNM786436 DXI786435:DXI786436 EHE786435:EHE786436 ERA786435:ERA786436 FAW786435:FAW786436 FKS786435:FKS786436 FUO786435:FUO786436 GEK786435:GEK786436 GOG786435:GOG786436 GYC786435:GYC786436 HHY786435:HHY786436 HRU786435:HRU786436 IBQ786435:IBQ786436 ILM786435:ILM786436 IVI786435:IVI786436 JFE786435:JFE786436 JPA786435:JPA786436 JYW786435:JYW786436 KIS786435:KIS786436 KSO786435:KSO786436 LCK786435:LCK786436 LMG786435:LMG786436 LWC786435:LWC786436 MFY786435:MFY786436 MPU786435:MPU786436 MZQ786435:MZQ786436 NJM786435:NJM786436 NTI786435:NTI786436 ODE786435:ODE786436 ONA786435:ONA786436 OWW786435:OWW786436 PGS786435:PGS786436 PQO786435:PQO786436 QAK786435:QAK786436 QKG786435:QKG786436 QUC786435:QUC786436 RDY786435:RDY786436 RNU786435:RNU786436 RXQ786435:RXQ786436 SHM786435:SHM786436 SRI786435:SRI786436 TBE786435:TBE786436 TLA786435:TLA786436 TUW786435:TUW786436 UES786435:UES786436 UOO786435:UOO786436 UYK786435:UYK786436 VIG786435:VIG786436 VSC786435:VSC786436 WBY786435:WBY786436 WLU786435:WLU786436 WVQ786435:WVQ786436 I851971:I851972 JE851971:JE851972 TA851971:TA851972 ACW851971:ACW851972 AMS851971:AMS851972 AWO851971:AWO851972 BGK851971:BGK851972 BQG851971:BQG851972 CAC851971:CAC851972 CJY851971:CJY851972 CTU851971:CTU851972 DDQ851971:DDQ851972 DNM851971:DNM851972 DXI851971:DXI851972 EHE851971:EHE851972 ERA851971:ERA851972 FAW851971:FAW851972 FKS851971:FKS851972 FUO851971:FUO851972 GEK851971:GEK851972 GOG851971:GOG851972 GYC851971:GYC851972 HHY851971:HHY851972 HRU851971:HRU851972 IBQ851971:IBQ851972 ILM851971:ILM851972 IVI851971:IVI851972 JFE851971:JFE851972 JPA851971:JPA851972 JYW851971:JYW851972 KIS851971:KIS851972 KSO851971:KSO851972 LCK851971:LCK851972 LMG851971:LMG851972 LWC851971:LWC851972 MFY851971:MFY851972 MPU851971:MPU851972 MZQ851971:MZQ851972 NJM851971:NJM851972 NTI851971:NTI851972 ODE851971:ODE851972 ONA851971:ONA851972 OWW851971:OWW851972 PGS851971:PGS851972 PQO851971:PQO851972 QAK851971:QAK851972 QKG851971:QKG851972 QUC851971:QUC851972 RDY851971:RDY851972 RNU851971:RNU851972 RXQ851971:RXQ851972 SHM851971:SHM851972 SRI851971:SRI851972 TBE851971:TBE851972 TLA851971:TLA851972 TUW851971:TUW851972 UES851971:UES851972 UOO851971:UOO851972 UYK851971:UYK851972 VIG851971:VIG851972 VSC851971:VSC851972 WBY851971:WBY851972 WLU851971:WLU851972 WVQ851971:WVQ851972 I917507:I917508 JE917507:JE917508 TA917507:TA917508 ACW917507:ACW917508 AMS917507:AMS917508 AWO917507:AWO917508 BGK917507:BGK917508 BQG917507:BQG917508 CAC917507:CAC917508 CJY917507:CJY917508 CTU917507:CTU917508 DDQ917507:DDQ917508 DNM917507:DNM917508 DXI917507:DXI917508 EHE917507:EHE917508 ERA917507:ERA917508 FAW917507:FAW917508 FKS917507:FKS917508 FUO917507:FUO917508 GEK917507:GEK917508 GOG917507:GOG917508 GYC917507:GYC917508 HHY917507:HHY917508 HRU917507:HRU917508 IBQ917507:IBQ917508 ILM917507:ILM917508 IVI917507:IVI917508 JFE917507:JFE917508 JPA917507:JPA917508 JYW917507:JYW917508 KIS917507:KIS917508 KSO917507:KSO917508 LCK917507:LCK917508 LMG917507:LMG917508 LWC917507:LWC917508 MFY917507:MFY917508 MPU917507:MPU917508 MZQ917507:MZQ917508 NJM917507:NJM917508 NTI917507:NTI917508 ODE917507:ODE917508 ONA917507:ONA917508 OWW917507:OWW917508 PGS917507:PGS917508 PQO917507:PQO917508 QAK917507:QAK917508 QKG917507:QKG917508 QUC917507:QUC917508 RDY917507:RDY917508 RNU917507:RNU917508 RXQ917507:RXQ917508 SHM917507:SHM917508 SRI917507:SRI917508 TBE917507:TBE917508 TLA917507:TLA917508 TUW917507:TUW917508 UES917507:UES917508 UOO917507:UOO917508 UYK917507:UYK917508 VIG917507:VIG917508 VSC917507:VSC917508 WBY917507:WBY917508 WLU917507:WLU917508 WVQ917507:WVQ917508" xr:uid="{00000000-0002-0000-0600-00000B000000}"/>
    <dataValidation allowBlank="1" showInputMessage="1" showErrorMessage="1" promptTitle="Future Stock Date" prompt="Optionally input a date if you have stock arriving soon and wish to report it to your Retailer" sqref="F983043:F983044 JB983043:JB983044 SX983043:SX983044 ACT983043:ACT983044 AMP983043:AMP983044 AWL983043:AWL983044 BGH983043:BGH983044 BQD983043:BQD983044 BZZ983043:BZZ983044 CJV983043:CJV983044 CTR983043:CTR983044 DDN983043:DDN983044 DNJ983043:DNJ983044 DXF983043:DXF983044 EHB983043:EHB983044 EQX983043:EQX983044 FAT983043:FAT983044 FKP983043:FKP983044 FUL983043:FUL983044 GEH983043:GEH983044 GOD983043:GOD983044 GXZ983043:GXZ983044 HHV983043:HHV983044 HRR983043:HRR983044 IBN983043:IBN983044 ILJ983043:ILJ983044 IVF983043:IVF983044 JFB983043:JFB983044 JOX983043:JOX983044 JYT983043:JYT983044 KIP983043:KIP983044 KSL983043:KSL983044 LCH983043:LCH983044 LMD983043:LMD983044 LVZ983043:LVZ983044 MFV983043:MFV983044 MPR983043:MPR983044 MZN983043:MZN983044 NJJ983043:NJJ983044 NTF983043:NTF983044 ODB983043:ODB983044 OMX983043:OMX983044 OWT983043:OWT983044 PGP983043:PGP983044 PQL983043:PQL983044 QAH983043:QAH983044 QKD983043:QKD983044 QTZ983043:QTZ983044 RDV983043:RDV983044 RNR983043:RNR983044 RXN983043:RXN983044 SHJ983043:SHJ983044 SRF983043:SRF983044 TBB983043:TBB983044 TKX983043:TKX983044 TUT983043:TUT983044 UEP983043:UEP983044 UOL983043:UOL983044 UYH983043:UYH983044 VID983043:VID983044 VRZ983043:VRZ983044 WBV983043:WBV983044 WLR983043:WLR983044 WVN983043:WVN983044 F65539:F65540 JB65539:JB65540 SX65539:SX65540 ACT65539:ACT65540 AMP65539:AMP65540 AWL65539:AWL65540 BGH65539:BGH65540 BQD65539:BQD65540 BZZ65539:BZZ65540 CJV65539:CJV65540 CTR65539:CTR65540 DDN65539:DDN65540 DNJ65539:DNJ65540 DXF65539:DXF65540 EHB65539:EHB65540 EQX65539:EQX65540 FAT65539:FAT65540 FKP65539:FKP65540 FUL65539:FUL65540 GEH65539:GEH65540 GOD65539:GOD65540 GXZ65539:GXZ65540 HHV65539:HHV65540 HRR65539:HRR65540 IBN65539:IBN65540 ILJ65539:ILJ65540 IVF65539:IVF65540 JFB65539:JFB65540 JOX65539:JOX65540 JYT65539:JYT65540 KIP65539:KIP65540 KSL65539:KSL65540 LCH65539:LCH65540 LMD65539:LMD65540 LVZ65539:LVZ65540 MFV65539:MFV65540 MPR65539:MPR65540 MZN65539:MZN65540 NJJ65539:NJJ65540 NTF65539:NTF65540 ODB65539:ODB65540 OMX65539:OMX65540 OWT65539:OWT65540 PGP65539:PGP65540 PQL65539:PQL65540 QAH65539:QAH65540 QKD65539:QKD65540 QTZ65539:QTZ65540 RDV65539:RDV65540 RNR65539:RNR65540 RXN65539:RXN65540 SHJ65539:SHJ65540 SRF65539:SRF65540 TBB65539:TBB65540 TKX65539:TKX65540 TUT65539:TUT65540 UEP65539:UEP65540 UOL65539:UOL65540 UYH65539:UYH65540 VID65539:VID65540 VRZ65539:VRZ65540 WBV65539:WBV65540 WLR65539:WLR65540 WVN65539:WVN65540 F131075:F131076 JB131075:JB131076 SX131075:SX131076 ACT131075:ACT131076 AMP131075:AMP131076 AWL131075:AWL131076 BGH131075:BGH131076 BQD131075:BQD131076 BZZ131075:BZZ131076 CJV131075:CJV131076 CTR131075:CTR131076 DDN131075:DDN131076 DNJ131075:DNJ131076 DXF131075:DXF131076 EHB131075:EHB131076 EQX131075:EQX131076 FAT131075:FAT131076 FKP131075:FKP131076 FUL131075:FUL131076 GEH131075:GEH131076 GOD131075:GOD131076 GXZ131075:GXZ131076 HHV131075:HHV131076 HRR131075:HRR131076 IBN131075:IBN131076 ILJ131075:ILJ131076 IVF131075:IVF131076 JFB131075:JFB131076 JOX131075:JOX131076 JYT131075:JYT131076 KIP131075:KIP131076 KSL131075:KSL131076 LCH131075:LCH131076 LMD131075:LMD131076 LVZ131075:LVZ131076 MFV131075:MFV131076 MPR131075:MPR131076 MZN131075:MZN131076 NJJ131075:NJJ131076 NTF131075:NTF131076 ODB131075:ODB131076 OMX131075:OMX131076 OWT131075:OWT131076 PGP131075:PGP131076 PQL131075:PQL131076 QAH131075:QAH131076 QKD131075:QKD131076 QTZ131075:QTZ131076 RDV131075:RDV131076 RNR131075:RNR131076 RXN131075:RXN131076 SHJ131075:SHJ131076 SRF131075:SRF131076 TBB131075:TBB131076 TKX131075:TKX131076 TUT131075:TUT131076 UEP131075:UEP131076 UOL131075:UOL131076 UYH131075:UYH131076 VID131075:VID131076 VRZ131075:VRZ131076 WBV131075:WBV131076 WLR131075:WLR131076 WVN131075:WVN131076 F196611:F196612 JB196611:JB196612 SX196611:SX196612 ACT196611:ACT196612 AMP196611:AMP196612 AWL196611:AWL196612 BGH196611:BGH196612 BQD196611:BQD196612 BZZ196611:BZZ196612 CJV196611:CJV196612 CTR196611:CTR196612 DDN196611:DDN196612 DNJ196611:DNJ196612 DXF196611:DXF196612 EHB196611:EHB196612 EQX196611:EQX196612 FAT196611:FAT196612 FKP196611:FKP196612 FUL196611:FUL196612 GEH196611:GEH196612 GOD196611:GOD196612 GXZ196611:GXZ196612 HHV196611:HHV196612 HRR196611:HRR196612 IBN196611:IBN196612 ILJ196611:ILJ196612 IVF196611:IVF196612 JFB196611:JFB196612 JOX196611:JOX196612 JYT196611:JYT196612 KIP196611:KIP196612 KSL196611:KSL196612 LCH196611:LCH196612 LMD196611:LMD196612 LVZ196611:LVZ196612 MFV196611:MFV196612 MPR196611:MPR196612 MZN196611:MZN196612 NJJ196611:NJJ196612 NTF196611:NTF196612 ODB196611:ODB196612 OMX196611:OMX196612 OWT196611:OWT196612 PGP196611:PGP196612 PQL196611:PQL196612 QAH196611:QAH196612 QKD196611:QKD196612 QTZ196611:QTZ196612 RDV196611:RDV196612 RNR196611:RNR196612 RXN196611:RXN196612 SHJ196611:SHJ196612 SRF196611:SRF196612 TBB196611:TBB196612 TKX196611:TKX196612 TUT196611:TUT196612 UEP196611:UEP196612 UOL196611:UOL196612 UYH196611:UYH196612 VID196611:VID196612 VRZ196611:VRZ196612 WBV196611:WBV196612 WLR196611:WLR196612 WVN196611:WVN196612 F262147:F262148 JB262147:JB262148 SX262147:SX262148 ACT262147:ACT262148 AMP262147:AMP262148 AWL262147:AWL262148 BGH262147:BGH262148 BQD262147:BQD262148 BZZ262147:BZZ262148 CJV262147:CJV262148 CTR262147:CTR262148 DDN262147:DDN262148 DNJ262147:DNJ262148 DXF262147:DXF262148 EHB262147:EHB262148 EQX262147:EQX262148 FAT262147:FAT262148 FKP262147:FKP262148 FUL262147:FUL262148 GEH262147:GEH262148 GOD262147:GOD262148 GXZ262147:GXZ262148 HHV262147:HHV262148 HRR262147:HRR262148 IBN262147:IBN262148 ILJ262147:ILJ262148 IVF262147:IVF262148 JFB262147:JFB262148 JOX262147:JOX262148 JYT262147:JYT262148 KIP262147:KIP262148 KSL262147:KSL262148 LCH262147:LCH262148 LMD262147:LMD262148 LVZ262147:LVZ262148 MFV262147:MFV262148 MPR262147:MPR262148 MZN262147:MZN262148 NJJ262147:NJJ262148 NTF262147:NTF262148 ODB262147:ODB262148 OMX262147:OMX262148 OWT262147:OWT262148 PGP262147:PGP262148 PQL262147:PQL262148 QAH262147:QAH262148 QKD262147:QKD262148 QTZ262147:QTZ262148 RDV262147:RDV262148 RNR262147:RNR262148 RXN262147:RXN262148 SHJ262147:SHJ262148 SRF262147:SRF262148 TBB262147:TBB262148 TKX262147:TKX262148 TUT262147:TUT262148 UEP262147:UEP262148 UOL262147:UOL262148 UYH262147:UYH262148 VID262147:VID262148 VRZ262147:VRZ262148 WBV262147:WBV262148 WLR262147:WLR262148 WVN262147:WVN262148 F327683:F327684 JB327683:JB327684 SX327683:SX327684 ACT327683:ACT327684 AMP327683:AMP327684 AWL327683:AWL327684 BGH327683:BGH327684 BQD327683:BQD327684 BZZ327683:BZZ327684 CJV327683:CJV327684 CTR327683:CTR327684 DDN327683:DDN327684 DNJ327683:DNJ327684 DXF327683:DXF327684 EHB327683:EHB327684 EQX327683:EQX327684 FAT327683:FAT327684 FKP327683:FKP327684 FUL327683:FUL327684 GEH327683:GEH327684 GOD327683:GOD327684 GXZ327683:GXZ327684 HHV327683:HHV327684 HRR327683:HRR327684 IBN327683:IBN327684 ILJ327683:ILJ327684 IVF327683:IVF327684 JFB327683:JFB327684 JOX327683:JOX327684 JYT327683:JYT327684 KIP327683:KIP327684 KSL327683:KSL327684 LCH327683:LCH327684 LMD327683:LMD327684 LVZ327683:LVZ327684 MFV327683:MFV327684 MPR327683:MPR327684 MZN327683:MZN327684 NJJ327683:NJJ327684 NTF327683:NTF327684 ODB327683:ODB327684 OMX327683:OMX327684 OWT327683:OWT327684 PGP327683:PGP327684 PQL327683:PQL327684 QAH327683:QAH327684 QKD327683:QKD327684 QTZ327683:QTZ327684 RDV327683:RDV327684 RNR327683:RNR327684 RXN327683:RXN327684 SHJ327683:SHJ327684 SRF327683:SRF327684 TBB327683:TBB327684 TKX327683:TKX327684 TUT327683:TUT327684 UEP327683:UEP327684 UOL327683:UOL327684 UYH327683:UYH327684 VID327683:VID327684 VRZ327683:VRZ327684 WBV327683:WBV327684 WLR327683:WLR327684 WVN327683:WVN327684 F393219:F393220 JB393219:JB393220 SX393219:SX393220 ACT393219:ACT393220 AMP393219:AMP393220 AWL393219:AWL393220 BGH393219:BGH393220 BQD393219:BQD393220 BZZ393219:BZZ393220 CJV393219:CJV393220 CTR393219:CTR393220 DDN393219:DDN393220 DNJ393219:DNJ393220 DXF393219:DXF393220 EHB393219:EHB393220 EQX393219:EQX393220 FAT393219:FAT393220 FKP393219:FKP393220 FUL393219:FUL393220 GEH393219:GEH393220 GOD393219:GOD393220 GXZ393219:GXZ393220 HHV393219:HHV393220 HRR393219:HRR393220 IBN393219:IBN393220 ILJ393219:ILJ393220 IVF393219:IVF393220 JFB393219:JFB393220 JOX393219:JOX393220 JYT393219:JYT393220 KIP393219:KIP393220 KSL393219:KSL393220 LCH393219:LCH393220 LMD393219:LMD393220 LVZ393219:LVZ393220 MFV393219:MFV393220 MPR393219:MPR393220 MZN393219:MZN393220 NJJ393219:NJJ393220 NTF393219:NTF393220 ODB393219:ODB393220 OMX393219:OMX393220 OWT393219:OWT393220 PGP393219:PGP393220 PQL393219:PQL393220 QAH393219:QAH393220 QKD393219:QKD393220 QTZ393219:QTZ393220 RDV393219:RDV393220 RNR393219:RNR393220 RXN393219:RXN393220 SHJ393219:SHJ393220 SRF393219:SRF393220 TBB393219:TBB393220 TKX393219:TKX393220 TUT393219:TUT393220 UEP393219:UEP393220 UOL393219:UOL393220 UYH393219:UYH393220 VID393219:VID393220 VRZ393219:VRZ393220 WBV393219:WBV393220 WLR393219:WLR393220 WVN393219:WVN393220 F458755:F458756 JB458755:JB458756 SX458755:SX458756 ACT458755:ACT458756 AMP458755:AMP458756 AWL458755:AWL458756 BGH458755:BGH458756 BQD458755:BQD458756 BZZ458755:BZZ458756 CJV458755:CJV458756 CTR458755:CTR458756 DDN458755:DDN458756 DNJ458755:DNJ458756 DXF458755:DXF458756 EHB458755:EHB458756 EQX458755:EQX458756 FAT458755:FAT458756 FKP458755:FKP458756 FUL458755:FUL458756 GEH458755:GEH458756 GOD458755:GOD458756 GXZ458755:GXZ458756 HHV458755:HHV458756 HRR458755:HRR458756 IBN458755:IBN458756 ILJ458755:ILJ458756 IVF458755:IVF458756 JFB458755:JFB458756 JOX458755:JOX458756 JYT458755:JYT458756 KIP458755:KIP458756 KSL458755:KSL458756 LCH458755:LCH458756 LMD458755:LMD458756 LVZ458755:LVZ458756 MFV458755:MFV458756 MPR458755:MPR458756 MZN458755:MZN458756 NJJ458755:NJJ458756 NTF458755:NTF458756 ODB458755:ODB458756 OMX458755:OMX458756 OWT458755:OWT458756 PGP458755:PGP458756 PQL458755:PQL458756 QAH458755:QAH458756 QKD458755:QKD458756 QTZ458755:QTZ458756 RDV458755:RDV458756 RNR458755:RNR458756 RXN458755:RXN458756 SHJ458755:SHJ458756 SRF458755:SRF458756 TBB458755:TBB458756 TKX458755:TKX458756 TUT458755:TUT458756 UEP458755:UEP458756 UOL458755:UOL458756 UYH458755:UYH458756 VID458755:VID458756 VRZ458755:VRZ458756 WBV458755:WBV458756 WLR458755:WLR458756 WVN458755:WVN458756 F524291:F524292 JB524291:JB524292 SX524291:SX524292 ACT524291:ACT524292 AMP524291:AMP524292 AWL524291:AWL524292 BGH524291:BGH524292 BQD524291:BQD524292 BZZ524291:BZZ524292 CJV524291:CJV524292 CTR524291:CTR524292 DDN524291:DDN524292 DNJ524291:DNJ524292 DXF524291:DXF524292 EHB524291:EHB524292 EQX524291:EQX524292 FAT524291:FAT524292 FKP524291:FKP524292 FUL524291:FUL524292 GEH524291:GEH524292 GOD524291:GOD524292 GXZ524291:GXZ524292 HHV524291:HHV524292 HRR524291:HRR524292 IBN524291:IBN524292 ILJ524291:ILJ524292 IVF524291:IVF524292 JFB524291:JFB524292 JOX524291:JOX524292 JYT524291:JYT524292 KIP524291:KIP524292 KSL524291:KSL524292 LCH524291:LCH524292 LMD524291:LMD524292 LVZ524291:LVZ524292 MFV524291:MFV524292 MPR524291:MPR524292 MZN524291:MZN524292 NJJ524291:NJJ524292 NTF524291:NTF524292 ODB524291:ODB524292 OMX524291:OMX524292 OWT524291:OWT524292 PGP524291:PGP524292 PQL524291:PQL524292 QAH524291:QAH524292 QKD524291:QKD524292 QTZ524291:QTZ524292 RDV524291:RDV524292 RNR524291:RNR524292 RXN524291:RXN524292 SHJ524291:SHJ524292 SRF524291:SRF524292 TBB524291:TBB524292 TKX524291:TKX524292 TUT524291:TUT524292 UEP524291:UEP524292 UOL524291:UOL524292 UYH524291:UYH524292 VID524291:VID524292 VRZ524291:VRZ524292 WBV524291:WBV524292 WLR524291:WLR524292 WVN524291:WVN524292 F589827:F589828 JB589827:JB589828 SX589827:SX589828 ACT589827:ACT589828 AMP589827:AMP589828 AWL589827:AWL589828 BGH589827:BGH589828 BQD589827:BQD589828 BZZ589827:BZZ589828 CJV589827:CJV589828 CTR589827:CTR589828 DDN589827:DDN589828 DNJ589827:DNJ589828 DXF589827:DXF589828 EHB589827:EHB589828 EQX589827:EQX589828 FAT589827:FAT589828 FKP589827:FKP589828 FUL589827:FUL589828 GEH589827:GEH589828 GOD589827:GOD589828 GXZ589827:GXZ589828 HHV589827:HHV589828 HRR589827:HRR589828 IBN589827:IBN589828 ILJ589827:ILJ589828 IVF589827:IVF589828 JFB589827:JFB589828 JOX589827:JOX589828 JYT589827:JYT589828 KIP589827:KIP589828 KSL589827:KSL589828 LCH589827:LCH589828 LMD589827:LMD589828 LVZ589827:LVZ589828 MFV589827:MFV589828 MPR589827:MPR589828 MZN589827:MZN589828 NJJ589827:NJJ589828 NTF589827:NTF589828 ODB589827:ODB589828 OMX589827:OMX589828 OWT589827:OWT589828 PGP589827:PGP589828 PQL589827:PQL589828 QAH589827:QAH589828 QKD589827:QKD589828 QTZ589827:QTZ589828 RDV589827:RDV589828 RNR589827:RNR589828 RXN589827:RXN589828 SHJ589827:SHJ589828 SRF589827:SRF589828 TBB589827:TBB589828 TKX589827:TKX589828 TUT589827:TUT589828 UEP589827:UEP589828 UOL589827:UOL589828 UYH589827:UYH589828 VID589827:VID589828 VRZ589827:VRZ589828 WBV589827:WBV589828 WLR589827:WLR589828 WVN589827:WVN589828 F655363:F655364 JB655363:JB655364 SX655363:SX655364 ACT655363:ACT655364 AMP655363:AMP655364 AWL655363:AWL655364 BGH655363:BGH655364 BQD655363:BQD655364 BZZ655363:BZZ655364 CJV655363:CJV655364 CTR655363:CTR655364 DDN655363:DDN655364 DNJ655363:DNJ655364 DXF655363:DXF655364 EHB655363:EHB655364 EQX655363:EQX655364 FAT655363:FAT655364 FKP655363:FKP655364 FUL655363:FUL655364 GEH655363:GEH655364 GOD655363:GOD655364 GXZ655363:GXZ655364 HHV655363:HHV655364 HRR655363:HRR655364 IBN655363:IBN655364 ILJ655363:ILJ655364 IVF655363:IVF655364 JFB655363:JFB655364 JOX655363:JOX655364 JYT655363:JYT655364 KIP655363:KIP655364 KSL655363:KSL655364 LCH655363:LCH655364 LMD655363:LMD655364 LVZ655363:LVZ655364 MFV655363:MFV655364 MPR655363:MPR655364 MZN655363:MZN655364 NJJ655363:NJJ655364 NTF655363:NTF655364 ODB655363:ODB655364 OMX655363:OMX655364 OWT655363:OWT655364 PGP655363:PGP655364 PQL655363:PQL655364 QAH655363:QAH655364 QKD655363:QKD655364 QTZ655363:QTZ655364 RDV655363:RDV655364 RNR655363:RNR655364 RXN655363:RXN655364 SHJ655363:SHJ655364 SRF655363:SRF655364 TBB655363:TBB655364 TKX655363:TKX655364 TUT655363:TUT655364 UEP655363:UEP655364 UOL655363:UOL655364 UYH655363:UYH655364 VID655363:VID655364 VRZ655363:VRZ655364 WBV655363:WBV655364 WLR655363:WLR655364 WVN655363:WVN655364 F720899:F720900 JB720899:JB720900 SX720899:SX720900 ACT720899:ACT720900 AMP720899:AMP720900 AWL720899:AWL720900 BGH720899:BGH720900 BQD720899:BQD720900 BZZ720899:BZZ720900 CJV720899:CJV720900 CTR720899:CTR720900 DDN720899:DDN720900 DNJ720899:DNJ720900 DXF720899:DXF720900 EHB720899:EHB720900 EQX720899:EQX720900 FAT720899:FAT720900 FKP720899:FKP720900 FUL720899:FUL720900 GEH720899:GEH720900 GOD720899:GOD720900 GXZ720899:GXZ720900 HHV720899:HHV720900 HRR720899:HRR720900 IBN720899:IBN720900 ILJ720899:ILJ720900 IVF720899:IVF720900 JFB720899:JFB720900 JOX720899:JOX720900 JYT720899:JYT720900 KIP720899:KIP720900 KSL720899:KSL720900 LCH720899:LCH720900 LMD720899:LMD720900 LVZ720899:LVZ720900 MFV720899:MFV720900 MPR720899:MPR720900 MZN720899:MZN720900 NJJ720899:NJJ720900 NTF720899:NTF720900 ODB720899:ODB720900 OMX720899:OMX720900 OWT720899:OWT720900 PGP720899:PGP720900 PQL720899:PQL720900 QAH720899:QAH720900 QKD720899:QKD720900 QTZ720899:QTZ720900 RDV720899:RDV720900 RNR720899:RNR720900 RXN720899:RXN720900 SHJ720899:SHJ720900 SRF720899:SRF720900 TBB720899:TBB720900 TKX720899:TKX720900 TUT720899:TUT720900 UEP720899:UEP720900 UOL720899:UOL720900 UYH720899:UYH720900 VID720899:VID720900 VRZ720899:VRZ720900 WBV720899:WBV720900 WLR720899:WLR720900 WVN720899:WVN720900 F786435:F786436 JB786435:JB786436 SX786435:SX786436 ACT786435:ACT786436 AMP786435:AMP786436 AWL786435:AWL786436 BGH786435:BGH786436 BQD786435:BQD786436 BZZ786435:BZZ786436 CJV786435:CJV786436 CTR786435:CTR786436 DDN786435:DDN786436 DNJ786435:DNJ786436 DXF786435:DXF786436 EHB786435:EHB786436 EQX786435:EQX786436 FAT786435:FAT786436 FKP786435:FKP786436 FUL786435:FUL786436 GEH786435:GEH786436 GOD786435:GOD786436 GXZ786435:GXZ786436 HHV786435:HHV786436 HRR786435:HRR786436 IBN786435:IBN786436 ILJ786435:ILJ786436 IVF786435:IVF786436 JFB786435:JFB786436 JOX786435:JOX786436 JYT786435:JYT786436 KIP786435:KIP786436 KSL786435:KSL786436 LCH786435:LCH786436 LMD786435:LMD786436 LVZ786435:LVZ786436 MFV786435:MFV786436 MPR786435:MPR786436 MZN786435:MZN786436 NJJ786435:NJJ786436 NTF786435:NTF786436 ODB786435:ODB786436 OMX786435:OMX786436 OWT786435:OWT786436 PGP786435:PGP786436 PQL786435:PQL786436 QAH786435:QAH786436 QKD786435:QKD786436 QTZ786435:QTZ786436 RDV786435:RDV786436 RNR786435:RNR786436 RXN786435:RXN786436 SHJ786435:SHJ786436 SRF786435:SRF786436 TBB786435:TBB786436 TKX786435:TKX786436 TUT786435:TUT786436 UEP786435:UEP786436 UOL786435:UOL786436 UYH786435:UYH786436 VID786435:VID786436 VRZ786435:VRZ786436 WBV786435:WBV786436 WLR786435:WLR786436 WVN786435:WVN786436 F851971:F851972 JB851971:JB851972 SX851971:SX851972 ACT851971:ACT851972 AMP851971:AMP851972 AWL851971:AWL851972 BGH851971:BGH851972 BQD851971:BQD851972 BZZ851971:BZZ851972 CJV851971:CJV851972 CTR851971:CTR851972 DDN851971:DDN851972 DNJ851971:DNJ851972 DXF851971:DXF851972 EHB851971:EHB851972 EQX851971:EQX851972 FAT851971:FAT851972 FKP851971:FKP851972 FUL851971:FUL851972 GEH851971:GEH851972 GOD851971:GOD851972 GXZ851971:GXZ851972 HHV851971:HHV851972 HRR851971:HRR851972 IBN851971:IBN851972 ILJ851971:ILJ851972 IVF851971:IVF851972 JFB851971:JFB851972 JOX851971:JOX851972 JYT851971:JYT851972 KIP851971:KIP851972 KSL851971:KSL851972 LCH851971:LCH851972 LMD851971:LMD851972 LVZ851971:LVZ851972 MFV851971:MFV851972 MPR851971:MPR851972 MZN851971:MZN851972 NJJ851971:NJJ851972 NTF851971:NTF851972 ODB851971:ODB851972 OMX851971:OMX851972 OWT851971:OWT851972 PGP851971:PGP851972 PQL851971:PQL851972 QAH851971:QAH851972 QKD851971:QKD851972 QTZ851971:QTZ851972 RDV851971:RDV851972 RNR851971:RNR851972 RXN851971:RXN851972 SHJ851971:SHJ851972 SRF851971:SRF851972 TBB851971:TBB851972 TKX851971:TKX851972 TUT851971:TUT851972 UEP851971:UEP851972 UOL851971:UOL851972 UYH851971:UYH851972 VID851971:VID851972 VRZ851971:VRZ851972 WBV851971:WBV851972 WLR851971:WLR851972 WVN851971:WVN851972 F917507:F917508 JB917507:JB917508 SX917507:SX917508 ACT917507:ACT917508 AMP917507:AMP917508 AWL917507:AWL917508 BGH917507:BGH917508 BQD917507:BQD917508 BZZ917507:BZZ917508 CJV917507:CJV917508 CTR917507:CTR917508 DDN917507:DDN917508 DNJ917507:DNJ917508 DXF917507:DXF917508 EHB917507:EHB917508 EQX917507:EQX917508 FAT917507:FAT917508 FKP917507:FKP917508 FUL917507:FUL917508 GEH917507:GEH917508 GOD917507:GOD917508 GXZ917507:GXZ917508 HHV917507:HHV917508 HRR917507:HRR917508 IBN917507:IBN917508 ILJ917507:ILJ917508 IVF917507:IVF917508 JFB917507:JFB917508 JOX917507:JOX917508 JYT917507:JYT917508 KIP917507:KIP917508 KSL917507:KSL917508 LCH917507:LCH917508 LMD917507:LMD917508 LVZ917507:LVZ917508 MFV917507:MFV917508 MPR917507:MPR917508 MZN917507:MZN917508 NJJ917507:NJJ917508 NTF917507:NTF917508 ODB917507:ODB917508 OMX917507:OMX917508 OWT917507:OWT917508 PGP917507:PGP917508 PQL917507:PQL917508 QAH917507:QAH917508 QKD917507:QKD917508 QTZ917507:QTZ917508 RDV917507:RDV917508 RNR917507:RNR917508 RXN917507:RXN917508 SHJ917507:SHJ917508 SRF917507:SRF917508 TBB917507:TBB917508 TKX917507:TKX917508 TUT917507:TUT917508 UEP917507:UEP917508 UOL917507:UOL917508 UYH917507:UYH917508 VID917507:VID917508 VRZ917507:VRZ917508 WBV917507:WBV917508 WLR917507:WLR917508 WVN917507:WVN917508 F3:F4 JB3:JB4 SX3:SX4 ACT3:ACT4 AMP3:AMP4 AWL3:AWL4 BGH3:BGH4 BQD3:BQD4 BZZ3:BZZ4 CJV3:CJV4 CTR3:CTR4 DDN3:DDN4 DNJ3:DNJ4 DXF3:DXF4 EHB3:EHB4 EQX3:EQX4 FAT3:FAT4 FKP3:FKP4 FUL3:FUL4 GEH3:GEH4 GOD3:GOD4 GXZ3:GXZ4 HHV3:HHV4 HRR3:HRR4 IBN3:IBN4 ILJ3:ILJ4 IVF3:IVF4 JFB3:JFB4 JOX3:JOX4 JYT3:JYT4 KIP3:KIP4 KSL3:KSL4 LCH3:LCH4 LMD3:LMD4 LVZ3:LVZ4 MFV3:MFV4 MPR3:MPR4 MZN3:MZN4 NJJ3:NJJ4 NTF3:NTF4 ODB3:ODB4 OMX3:OMX4 OWT3:OWT4 PGP3:PGP4 PQL3:PQL4 QAH3:QAH4 QKD3:QKD4 QTZ3:QTZ4 RDV3:RDV4 RNR3:RNR4 RXN3:RXN4 SHJ3:SHJ4 SRF3:SRF4 TBB3:TBB4 TKX3:TKX4 TUT3:TUT4 UEP3:UEP4 UOL3:UOL4 UYH3:UYH4 VID3:VID4 VRZ3:VRZ4 WBV3:WBV4 WLR3:WLR4 WVN3:WVN4" xr:uid="{00000000-0002-0000-0600-00000C000000}"/>
    <dataValidation allowBlank="1" showInputMessage="1" showErrorMessage="1" promptTitle="Future Stock Quantity" prompt="Optionally input a Quantity of stock that you wish to report as arriving soon." sqref="E983043:E983044 JA983043:JA983044 SW983043:SW983044 ACS983043:ACS983044 AMO983043:AMO983044 AWK983043:AWK983044 BGG983043:BGG983044 BQC983043:BQC983044 BZY983043:BZY983044 CJU983043:CJU983044 CTQ983043:CTQ983044 DDM983043:DDM983044 DNI983043:DNI983044 DXE983043:DXE983044 EHA983043:EHA983044 EQW983043:EQW983044 FAS983043:FAS983044 FKO983043:FKO983044 FUK983043:FUK983044 GEG983043:GEG983044 GOC983043:GOC983044 GXY983043:GXY983044 HHU983043:HHU983044 HRQ983043:HRQ983044 IBM983043:IBM983044 ILI983043:ILI983044 IVE983043:IVE983044 JFA983043:JFA983044 JOW983043:JOW983044 JYS983043:JYS983044 KIO983043:KIO983044 KSK983043:KSK983044 LCG983043:LCG983044 LMC983043:LMC983044 LVY983043:LVY983044 MFU983043:MFU983044 MPQ983043:MPQ983044 MZM983043:MZM983044 NJI983043:NJI983044 NTE983043:NTE983044 ODA983043:ODA983044 OMW983043:OMW983044 OWS983043:OWS983044 PGO983043:PGO983044 PQK983043:PQK983044 QAG983043:QAG983044 QKC983043:QKC983044 QTY983043:QTY983044 RDU983043:RDU983044 RNQ983043:RNQ983044 RXM983043:RXM983044 SHI983043:SHI983044 SRE983043:SRE983044 TBA983043:TBA983044 TKW983043:TKW983044 TUS983043:TUS983044 UEO983043:UEO983044 UOK983043:UOK983044 UYG983043:UYG983044 VIC983043:VIC983044 VRY983043:VRY983044 WBU983043:WBU983044 WLQ983043:WLQ983044 WVM983043:WVM983044 E65539:E65540 JA65539:JA65540 SW65539:SW65540 ACS65539:ACS65540 AMO65539:AMO65540 AWK65539:AWK65540 BGG65539:BGG65540 BQC65539:BQC65540 BZY65539:BZY65540 CJU65539:CJU65540 CTQ65539:CTQ65540 DDM65539:DDM65540 DNI65539:DNI65540 DXE65539:DXE65540 EHA65539:EHA65540 EQW65539:EQW65540 FAS65539:FAS65540 FKO65539:FKO65540 FUK65539:FUK65540 GEG65539:GEG65540 GOC65539:GOC65540 GXY65539:GXY65540 HHU65539:HHU65540 HRQ65539:HRQ65540 IBM65539:IBM65540 ILI65539:ILI65540 IVE65539:IVE65540 JFA65539:JFA65540 JOW65539:JOW65540 JYS65539:JYS65540 KIO65539:KIO65540 KSK65539:KSK65540 LCG65539:LCG65540 LMC65539:LMC65540 LVY65539:LVY65540 MFU65539:MFU65540 MPQ65539:MPQ65540 MZM65539:MZM65540 NJI65539:NJI65540 NTE65539:NTE65540 ODA65539:ODA65540 OMW65539:OMW65540 OWS65539:OWS65540 PGO65539:PGO65540 PQK65539:PQK65540 QAG65539:QAG65540 QKC65539:QKC65540 QTY65539:QTY65540 RDU65539:RDU65540 RNQ65539:RNQ65540 RXM65539:RXM65540 SHI65539:SHI65540 SRE65539:SRE65540 TBA65539:TBA65540 TKW65539:TKW65540 TUS65539:TUS65540 UEO65539:UEO65540 UOK65539:UOK65540 UYG65539:UYG65540 VIC65539:VIC65540 VRY65539:VRY65540 WBU65539:WBU65540 WLQ65539:WLQ65540 WVM65539:WVM65540 E131075:E131076 JA131075:JA131076 SW131075:SW131076 ACS131075:ACS131076 AMO131075:AMO131076 AWK131075:AWK131076 BGG131075:BGG131076 BQC131075:BQC131076 BZY131075:BZY131076 CJU131075:CJU131076 CTQ131075:CTQ131076 DDM131075:DDM131076 DNI131075:DNI131076 DXE131075:DXE131076 EHA131075:EHA131076 EQW131075:EQW131076 FAS131075:FAS131076 FKO131075:FKO131076 FUK131075:FUK131076 GEG131075:GEG131076 GOC131075:GOC131076 GXY131075:GXY131076 HHU131075:HHU131076 HRQ131075:HRQ131076 IBM131075:IBM131076 ILI131075:ILI131076 IVE131075:IVE131076 JFA131075:JFA131076 JOW131075:JOW131076 JYS131075:JYS131076 KIO131075:KIO131076 KSK131075:KSK131076 LCG131075:LCG131076 LMC131075:LMC131076 LVY131075:LVY131076 MFU131075:MFU131076 MPQ131075:MPQ131076 MZM131075:MZM131076 NJI131075:NJI131076 NTE131075:NTE131076 ODA131075:ODA131076 OMW131075:OMW131076 OWS131075:OWS131076 PGO131075:PGO131076 PQK131075:PQK131076 QAG131075:QAG131076 QKC131075:QKC131076 QTY131075:QTY131076 RDU131075:RDU131076 RNQ131075:RNQ131076 RXM131075:RXM131076 SHI131075:SHI131076 SRE131075:SRE131076 TBA131075:TBA131076 TKW131075:TKW131076 TUS131075:TUS131076 UEO131075:UEO131076 UOK131075:UOK131076 UYG131075:UYG131076 VIC131075:VIC131076 VRY131075:VRY131076 WBU131075:WBU131076 WLQ131075:WLQ131076 WVM131075:WVM131076 E196611:E196612 JA196611:JA196612 SW196611:SW196612 ACS196611:ACS196612 AMO196611:AMO196612 AWK196611:AWK196612 BGG196611:BGG196612 BQC196611:BQC196612 BZY196611:BZY196612 CJU196611:CJU196612 CTQ196611:CTQ196612 DDM196611:DDM196612 DNI196611:DNI196612 DXE196611:DXE196612 EHA196611:EHA196612 EQW196611:EQW196612 FAS196611:FAS196612 FKO196611:FKO196612 FUK196611:FUK196612 GEG196611:GEG196612 GOC196611:GOC196612 GXY196611:GXY196612 HHU196611:HHU196612 HRQ196611:HRQ196612 IBM196611:IBM196612 ILI196611:ILI196612 IVE196611:IVE196612 JFA196611:JFA196612 JOW196611:JOW196612 JYS196611:JYS196612 KIO196611:KIO196612 KSK196611:KSK196612 LCG196611:LCG196612 LMC196611:LMC196612 LVY196611:LVY196612 MFU196611:MFU196612 MPQ196611:MPQ196612 MZM196611:MZM196612 NJI196611:NJI196612 NTE196611:NTE196612 ODA196611:ODA196612 OMW196611:OMW196612 OWS196611:OWS196612 PGO196611:PGO196612 PQK196611:PQK196612 QAG196611:QAG196612 QKC196611:QKC196612 QTY196611:QTY196612 RDU196611:RDU196612 RNQ196611:RNQ196612 RXM196611:RXM196612 SHI196611:SHI196612 SRE196611:SRE196612 TBA196611:TBA196612 TKW196611:TKW196612 TUS196611:TUS196612 UEO196611:UEO196612 UOK196611:UOK196612 UYG196611:UYG196612 VIC196611:VIC196612 VRY196611:VRY196612 WBU196611:WBU196612 WLQ196611:WLQ196612 WVM196611:WVM196612 E262147:E262148 JA262147:JA262148 SW262147:SW262148 ACS262147:ACS262148 AMO262147:AMO262148 AWK262147:AWK262148 BGG262147:BGG262148 BQC262147:BQC262148 BZY262147:BZY262148 CJU262147:CJU262148 CTQ262147:CTQ262148 DDM262147:DDM262148 DNI262147:DNI262148 DXE262147:DXE262148 EHA262147:EHA262148 EQW262147:EQW262148 FAS262147:FAS262148 FKO262147:FKO262148 FUK262147:FUK262148 GEG262147:GEG262148 GOC262147:GOC262148 GXY262147:GXY262148 HHU262147:HHU262148 HRQ262147:HRQ262148 IBM262147:IBM262148 ILI262147:ILI262148 IVE262147:IVE262148 JFA262147:JFA262148 JOW262147:JOW262148 JYS262147:JYS262148 KIO262147:KIO262148 KSK262147:KSK262148 LCG262147:LCG262148 LMC262147:LMC262148 LVY262147:LVY262148 MFU262147:MFU262148 MPQ262147:MPQ262148 MZM262147:MZM262148 NJI262147:NJI262148 NTE262147:NTE262148 ODA262147:ODA262148 OMW262147:OMW262148 OWS262147:OWS262148 PGO262147:PGO262148 PQK262147:PQK262148 QAG262147:QAG262148 QKC262147:QKC262148 QTY262147:QTY262148 RDU262147:RDU262148 RNQ262147:RNQ262148 RXM262147:RXM262148 SHI262147:SHI262148 SRE262147:SRE262148 TBA262147:TBA262148 TKW262147:TKW262148 TUS262147:TUS262148 UEO262147:UEO262148 UOK262147:UOK262148 UYG262147:UYG262148 VIC262147:VIC262148 VRY262147:VRY262148 WBU262147:WBU262148 WLQ262147:WLQ262148 WVM262147:WVM262148 E327683:E327684 JA327683:JA327684 SW327683:SW327684 ACS327683:ACS327684 AMO327683:AMO327684 AWK327683:AWK327684 BGG327683:BGG327684 BQC327683:BQC327684 BZY327683:BZY327684 CJU327683:CJU327684 CTQ327683:CTQ327684 DDM327683:DDM327684 DNI327683:DNI327684 DXE327683:DXE327684 EHA327683:EHA327684 EQW327683:EQW327684 FAS327683:FAS327684 FKO327683:FKO327684 FUK327683:FUK327684 GEG327683:GEG327684 GOC327683:GOC327684 GXY327683:GXY327684 HHU327683:HHU327684 HRQ327683:HRQ327684 IBM327683:IBM327684 ILI327683:ILI327684 IVE327683:IVE327684 JFA327683:JFA327684 JOW327683:JOW327684 JYS327683:JYS327684 KIO327683:KIO327684 KSK327683:KSK327684 LCG327683:LCG327684 LMC327683:LMC327684 LVY327683:LVY327684 MFU327683:MFU327684 MPQ327683:MPQ327684 MZM327683:MZM327684 NJI327683:NJI327684 NTE327683:NTE327684 ODA327683:ODA327684 OMW327683:OMW327684 OWS327683:OWS327684 PGO327683:PGO327684 PQK327683:PQK327684 QAG327683:QAG327684 QKC327683:QKC327684 QTY327683:QTY327684 RDU327683:RDU327684 RNQ327683:RNQ327684 RXM327683:RXM327684 SHI327683:SHI327684 SRE327683:SRE327684 TBA327683:TBA327684 TKW327683:TKW327684 TUS327683:TUS327684 UEO327683:UEO327684 UOK327683:UOK327684 UYG327683:UYG327684 VIC327683:VIC327684 VRY327683:VRY327684 WBU327683:WBU327684 WLQ327683:WLQ327684 WVM327683:WVM327684 E393219:E393220 JA393219:JA393220 SW393219:SW393220 ACS393219:ACS393220 AMO393219:AMO393220 AWK393219:AWK393220 BGG393219:BGG393220 BQC393219:BQC393220 BZY393219:BZY393220 CJU393219:CJU393220 CTQ393219:CTQ393220 DDM393219:DDM393220 DNI393219:DNI393220 DXE393219:DXE393220 EHA393219:EHA393220 EQW393219:EQW393220 FAS393219:FAS393220 FKO393219:FKO393220 FUK393219:FUK393220 GEG393219:GEG393220 GOC393219:GOC393220 GXY393219:GXY393220 HHU393219:HHU393220 HRQ393219:HRQ393220 IBM393219:IBM393220 ILI393219:ILI393220 IVE393219:IVE393220 JFA393219:JFA393220 JOW393219:JOW393220 JYS393219:JYS393220 KIO393219:KIO393220 KSK393219:KSK393220 LCG393219:LCG393220 LMC393219:LMC393220 LVY393219:LVY393220 MFU393219:MFU393220 MPQ393219:MPQ393220 MZM393219:MZM393220 NJI393219:NJI393220 NTE393219:NTE393220 ODA393219:ODA393220 OMW393219:OMW393220 OWS393219:OWS393220 PGO393219:PGO393220 PQK393219:PQK393220 QAG393219:QAG393220 QKC393219:QKC393220 QTY393219:QTY393220 RDU393219:RDU393220 RNQ393219:RNQ393220 RXM393219:RXM393220 SHI393219:SHI393220 SRE393219:SRE393220 TBA393219:TBA393220 TKW393219:TKW393220 TUS393219:TUS393220 UEO393219:UEO393220 UOK393219:UOK393220 UYG393219:UYG393220 VIC393219:VIC393220 VRY393219:VRY393220 WBU393219:WBU393220 WLQ393219:WLQ393220 WVM393219:WVM393220 E458755:E458756 JA458755:JA458756 SW458755:SW458756 ACS458755:ACS458756 AMO458755:AMO458756 AWK458755:AWK458756 BGG458755:BGG458756 BQC458755:BQC458756 BZY458755:BZY458756 CJU458755:CJU458756 CTQ458755:CTQ458756 DDM458755:DDM458756 DNI458755:DNI458756 DXE458755:DXE458756 EHA458755:EHA458756 EQW458755:EQW458756 FAS458755:FAS458756 FKO458755:FKO458756 FUK458755:FUK458756 GEG458755:GEG458756 GOC458755:GOC458756 GXY458755:GXY458756 HHU458755:HHU458756 HRQ458755:HRQ458756 IBM458755:IBM458756 ILI458755:ILI458756 IVE458755:IVE458756 JFA458755:JFA458756 JOW458755:JOW458756 JYS458755:JYS458756 KIO458755:KIO458756 KSK458755:KSK458756 LCG458755:LCG458756 LMC458755:LMC458756 LVY458755:LVY458756 MFU458755:MFU458756 MPQ458755:MPQ458756 MZM458755:MZM458756 NJI458755:NJI458756 NTE458755:NTE458756 ODA458755:ODA458756 OMW458755:OMW458756 OWS458755:OWS458756 PGO458755:PGO458756 PQK458755:PQK458756 QAG458755:QAG458756 QKC458755:QKC458756 QTY458755:QTY458756 RDU458755:RDU458756 RNQ458755:RNQ458756 RXM458755:RXM458756 SHI458755:SHI458756 SRE458755:SRE458756 TBA458755:TBA458756 TKW458755:TKW458756 TUS458755:TUS458756 UEO458755:UEO458756 UOK458755:UOK458756 UYG458755:UYG458756 VIC458755:VIC458756 VRY458755:VRY458756 WBU458755:WBU458756 WLQ458755:WLQ458756 WVM458755:WVM458756 E524291:E524292 JA524291:JA524292 SW524291:SW524292 ACS524291:ACS524292 AMO524291:AMO524292 AWK524291:AWK524292 BGG524291:BGG524292 BQC524291:BQC524292 BZY524291:BZY524292 CJU524291:CJU524292 CTQ524291:CTQ524292 DDM524291:DDM524292 DNI524291:DNI524292 DXE524291:DXE524292 EHA524291:EHA524292 EQW524291:EQW524292 FAS524291:FAS524292 FKO524291:FKO524292 FUK524291:FUK524292 GEG524291:GEG524292 GOC524291:GOC524292 GXY524291:GXY524292 HHU524291:HHU524292 HRQ524291:HRQ524292 IBM524291:IBM524292 ILI524291:ILI524292 IVE524291:IVE524292 JFA524291:JFA524292 JOW524291:JOW524292 JYS524291:JYS524292 KIO524291:KIO524292 KSK524291:KSK524292 LCG524291:LCG524292 LMC524291:LMC524292 LVY524291:LVY524292 MFU524291:MFU524292 MPQ524291:MPQ524292 MZM524291:MZM524292 NJI524291:NJI524292 NTE524291:NTE524292 ODA524291:ODA524292 OMW524291:OMW524292 OWS524291:OWS524292 PGO524291:PGO524292 PQK524291:PQK524292 QAG524291:QAG524292 QKC524291:QKC524292 QTY524291:QTY524292 RDU524291:RDU524292 RNQ524291:RNQ524292 RXM524291:RXM524292 SHI524291:SHI524292 SRE524291:SRE524292 TBA524291:TBA524292 TKW524291:TKW524292 TUS524291:TUS524292 UEO524291:UEO524292 UOK524291:UOK524292 UYG524291:UYG524292 VIC524291:VIC524292 VRY524291:VRY524292 WBU524291:WBU524292 WLQ524291:WLQ524292 WVM524291:WVM524292 E589827:E589828 JA589827:JA589828 SW589827:SW589828 ACS589827:ACS589828 AMO589827:AMO589828 AWK589827:AWK589828 BGG589827:BGG589828 BQC589827:BQC589828 BZY589827:BZY589828 CJU589827:CJU589828 CTQ589827:CTQ589828 DDM589827:DDM589828 DNI589827:DNI589828 DXE589827:DXE589828 EHA589827:EHA589828 EQW589827:EQW589828 FAS589827:FAS589828 FKO589827:FKO589828 FUK589827:FUK589828 GEG589827:GEG589828 GOC589827:GOC589828 GXY589827:GXY589828 HHU589827:HHU589828 HRQ589827:HRQ589828 IBM589827:IBM589828 ILI589827:ILI589828 IVE589827:IVE589828 JFA589827:JFA589828 JOW589827:JOW589828 JYS589827:JYS589828 KIO589827:KIO589828 KSK589827:KSK589828 LCG589827:LCG589828 LMC589827:LMC589828 LVY589827:LVY589828 MFU589827:MFU589828 MPQ589827:MPQ589828 MZM589827:MZM589828 NJI589827:NJI589828 NTE589827:NTE589828 ODA589827:ODA589828 OMW589827:OMW589828 OWS589827:OWS589828 PGO589827:PGO589828 PQK589827:PQK589828 QAG589827:QAG589828 QKC589827:QKC589828 QTY589827:QTY589828 RDU589827:RDU589828 RNQ589827:RNQ589828 RXM589827:RXM589828 SHI589827:SHI589828 SRE589827:SRE589828 TBA589827:TBA589828 TKW589827:TKW589828 TUS589827:TUS589828 UEO589827:UEO589828 UOK589827:UOK589828 UYG589827:UYG589828 VIC589827:VIC589828 VRY589827:VRY589828 WBU589827:WBU589828 WLQ589827:WLQ589828 WVM589827:WVM589828 E655363:E655364 JA655363:JA655364 SW655363:SW655364 ACS655363:ACS655364 AMO655363:AMO655364 AWK655363:AWK655364 BGG655363:BGG655364 BQC655363:BQC655364 BZY655363:BZY655364 CJU655363:CJU655364 CTQ655363:CTQ655364 DDM655363:DDM655364 DNI655363:DNI655364 DXE655363:DXE655364 EHA655363:EHA655364 EQW655363:EQW655364 FAS655363:FAS655364 FKO655363:FKO655364 FUK655363:FUK655364 GEG655363:GEG655364 GOC655363:GOC655364 GXY655363:GXY655364 HHU655363:HHU655364 HRQ655363:HRQ655364 IBM655363:IBM655364 ILI655363:ILI655364 IVE655363:IVE655364 JFA655363:JFA655364 JOW655363:JOW655364 JYS655363:JYS655364 KIO655363:KIO655364 KSK655363:KSK655364 LCG655363:LCG655364 LMC655363:LMC655364 LVY655363:LVY655364 MFU655363:MFU655364 MPQ655363:MPQ655364 MZM655363:MZM655364 NJI655363:NJI655364 NTE655363:NTE655364 ODA655363:ODA655364 OMW655363:OMW655364 OWS655363:OWS655364 PGO655363:PGO655364 PQK655363:PQK655364 QAG655363:QAG655364 QKC655363:QKC655364 QTY655363:QTY655364 RDU655363:RDU655364 RNQ655363:RNQ655364 RXM655363:RXM655364 SHI655363:SHI655364 SRE655363:SRE655364 TBA655363:TBA655364 TKW655363:TKW655364 TUS655363:TUS655364 UEO655363:UEO655364 UOK655363:UOK655364 UYG655363:UYG655364 VIC655363:VIC655364 VRY655363:VRY655364 WBU655363:WBU655364 WLQ655363:WLQ655364 WVM655363:WVM655364 E720899:E720900 JA720899:JA720900 SW720899:SW720900 ACS720899:ACS720900 AMO720899:AMO720900 AWK720899:AWK720900 BGG720899:BGG720900 BQC720899:BQC720900 BZY720899:BZY720900 CJU720899:CJU720900 CTQ720899:CTQ720900 DDM720899:DDM720900 DNI720899:DNI720900 DXE720899:DXE720900 EHA720899:EHA720900 EQW720899:EQW720900 FAS720899:FAS720900 FKO720899:FKO720900 FUK720899:FUK720900 GEG720899:GEG720900 GOC720899:GOC720900 GXY720899:GXY720900 HHU720899:HHU720900 HRQ720899:HRQ720900 IBM720899:IBM720900 ILI720899:ILI720900 IVE720899:IVE720900 JFA720899:JFA720900 JOW720899:JOW720900 JYS720899:JYS720900 KIO720899:KIO720900 KSK720899:KSK720900 LCG720899:LCG720900 LMC720899:LMC720900 LVY720899:LVY720900 MFU720899:MFU720900 MPQ720899:MPQ720900 MZM720899:MZM720900 NJI720899:NJI720900 NTE720899:NTE720900 ODA720899:ODA720900 OMW720899:OMW720900 OWS720899:OWS720900 PGO720899:PGO720900 PQK720899:PQK720900 QAG720899:QAG720900 QKC720899:QKC720900 QTY720899:QTY720900 RDU720899:RDU720900 RNQ720899:RNQ720900 RXM720899:RXM720900 SHI720899:SHI720900 SRE720899:SRE720900 TBA720899:TBA720900 TKW720899:TKW720900 TUS720899:TUS720900 UEO720899:UEO720900 UOK720899:UOK720900 UYG720899:UYG720900 VIC720899:VIC720900 VRY720899:VRY720900 WBU720899:WBU720900 WLQ720899:WLQ720900 WVM720899:WVM720900 E786435:E786436 JA786435:JA786436 SW786435:SW786436 ACS786435:ACS786436 AMO786435:AMO786436 AWK786435:AWK786436 BGG786435:BGG786436 BQC786435:BQC786436 BZY786435:BZY786436 CJU786435:CJU786436 CTQ786435:CTQ786436 DDM786435:DDM786436 DNI786435:DNI786436 DXE786435:DXE786436 EHA786435:EHA786436 EQW786435:EQW786436 FAS786435:FAS786436 FKO786435:FKO786436 FUK786435:FUK786436 GEG786435:GEG786436 GOC786435:GOC786436 GXY786435:GXY786436 HHU786435:HHU786436 HRQ786435:HRQ786436 IBM786435:IBM786436 ILI786435:ILI786436 IVE786435:IVE786436 JFA786435:JFA786436 JOW786435:JOW786436 JYS786435:JYS786436 KIO786435:KIO786436 KSK786435:KSK786436 LCG786435:LCG786436 LMC786435:LMC786436 LVY786435:LVY786436 MFU786435:MFU786436 MPQ786435:MPQ786436 MZM786435:MZM786436 NJI786435:NJI786436 NTE786435:NTE786436 ODA786435:ODA786436 OMW786435:OMW786436 OWS786435:OWS786436 PGO786435:PGO786436 PQK786435:PQK786436 QAG786435:QAG786436 QKC786435:QKC786436 QTY786435:QTY786436 RDU786435:RDU786436 RNQ786435:RNQ786436 RXM786435:RXM786436 SHI786435:SHI786436 SRE786435:SRE786436 TBA786435:TBA786436 TKW786435:TKW786436 TUS786435:TUS786436 UEO786435:UEO786436 UOK786435:UOK786436 UYG786435:UYG786436 VIC786435:VIC786436 VRY786435:VRY786436 WBU786435:WBU786436 WLQ786435:WLQ786436 WVM786435:WVM786436 E851971:E851972 JA851971:JA851972 SW851971:SW851972 ACS851971:ACS851972 AMO851971:AMO851972 AWK851971:AWK851972 BGG851971:BGG851972 BQC851971:BQC851972 BZY851971:BZY851972 CJU851971:CJU851972 CTQ851971:CTQ851972 DDM851971:DDM851972 DNI851971:DNI851972 DXE851971:DXE851972 EHA851971:EHA851972 EQW851971:EQW851972 FAS851971:FAS851972 FKO851971:FKO851972 FUK851971:FUK851972 GEG851971:GEG851972 GOC851971:GOC851972 GXY851971:GXY851972 HHU851971:HHU851972 HRQ851971:HRQ851972 IBM851971:IBM851972 ILI851971:ILI851972 IVE851971:IVE851972 JFA851971:JFA851972 JOW851971:JOW851972 JYS851971:JYS851972 KIO851971:KIO851972 KSK851971:KSK851972 LCG851971:LCG851972 LMC851971:LMC851972 LVY851971:LVY851972 MFU851971:MFU851972 MPQ851971:MPQ851972 MZM851971:MZM851972 NJI851971:NJI851972 NTE851971:NTE851972 ODA851971:ODA851972 OMW851971:OMW851972 OWS851971:OWS851972 PGO851971:PGO851972 PQK851971:PQK851972 QAG851971:QAG851972 QKC851971:QKC851972 QTY851971:QTY851972 RDU851971:RDU851972 RNQ851971:RNQ851972 RXM851971:RXM851972 SHI851971:SHI851972 SRE851971:SRE851972 TBA851971:TBA851972 TKW851971:TKW851972 TUS851971:TUS851972 UEO851971:UEO851972 UOK851971:UOK851972 UYG851971:UYG851972 VIC851971:VIC851972 VRY851971:VRY851972 WBU851971:WBU851972 WLQ851971:WLQ851972 WVM851971:WVM851972 E917507:E917508 JA917507:JA917508 SW917507:SW917508 ACS917507:ACS917508 AMO917507:AMO917508 AWK917507:AWK917508 BGG917507:BGG917508 BQC917507:BQC917508 BZY917507:BZY917508 CJU917507:CJU917508 CTQ917507:CTQ917508 DDM917507:DDM917508 DNI917507:DNI917508 DXE917507:DXE917508 EHA917507:EHA917508 EQW917507:EQW917508 FAS917507:FAS917508 FKO917507:FKO917508 FUK917507:FUK917508 GEG917507:GEG917508 GOC917507:GOC917508 GXY917507:GXY917508 HHU917507:HHU917508 HRQ917507:HRQ917508 IBM917507:IBM917508 ILI917507:ILI917508 IVE917507:IVE917508 JFA917507:JFA917508 JOW917507:JOW917508 JYS917507:JYS917508 KIO917507:KIO917508 KSK917507:KSK917508 LCG917507:LCG917508 LMC917507:LMC917508 LVY917507:LVY917508 MFU917507:MFU917508 MPQ917507:MPQ917508 MZM917507:MZM917508 NJI917507:NJI917508 NTE917507:NTE917508 ODA917507:ODA917508 OMW917507:OMW917508 OWS917507:OWS917508 PGO917507:PGO917508 PQK917507:PQK917508 QAG917507:QAG917508 QKC917507:QKC917508 QTY917507:QTY917508 RDU917507:RDU917508 RNQ917507:RNQ917508 RXM917507:RXM917508 SHI917507:SHI917508 SRE917507:SRE917508 TBA917507:TBA917508 TKW917507:TKW917508 TUS917507:TUS917508 UEO917507:UEO917508 UOK917507:UOK917508 UYG917507:UYG917508 VIC917507:VIC917508 VRY917507:VRY917508 WBU917507:WBU917508 WLQ917507:WLQ917508 WVM917507:WVM917508 E3:E4 JA3:JA4 SW3:SW4 ACS3:ACS4 AMO3:AMO4 AWK3:AWK4 BGG3:BGG4 BQC3:BQC4 BZY3:BZY4 CJU3:CJU4 CTQ3:CTQ4 DDM3:DDM4 DNI3:DNI4 DXE3:DXE4 EHA3:EHA4 EQW3:EQW4 FAS3:FAS4 FKO3:FKO4 FUK3:FUK4 GEG3:GEG4 GOC3:GOC4 GXY3:GXY4 HHU3:HHU4 HRQ3:HRQ4 IBM3:IBM4 ILI3:ILI4 IVE3:IVE4 JFA3:JFA4 JOW3:JOW4 JYS3:JYS4 KIO3:KIO4 KSK3:KSK4 LCG3:LCG4 LMC3:LMC4 LVY3:LVY4 MFU3:MFU4 MPQ3:MPQ4 MZM3:MZM4 NJI3:NJI4 NTE3:NTE4 ODA3:ODA4 OMW3:OMW4 OWS3:OWS4 PGO3:PGO4 PQK3:PQK4 QAG3:QAG4 QKC3:QKC4 QTY3:QTY4 RDU3:RDU4 RNQ3:RNQ4 RXM3:RXM4 SHI3:SHI4 SRE3:SRE4 TBA3:TBA4 TKW3:TKW4 TUS3:TUS4 UEO3:UEO4 UOK3:UOK4 UYG3:UYG4 VIC3:VIC4 VRY3:VRY4 WBU3:WBU4 WLQ3:WLQ4 WVM3:WVM4" xr:uid="{00000000-0002-0000-0600-00000D000000}"/>
    <dataValidation allowBlank="1" showInputMessage="1" showErrorMessage="1" promptTitle="Quantity Available" prompt="Input your available quantity for this item.  Cannot be a negative number." sqref="D983043:D983044 IZ983043:IZ983044 SV983043:SV983044 ACR983043:ACR983044 AMN983043:AMN983044 AWJ983043:AWJ983044 BGF983043:BGF983044 BQB983043:BQB983044 BZX983043:BZX983044 CJT983043:CJT983044 CTP983043:CTP983044 DDL983043:DDL983044 DNH983043:DNH983044 DXD983043:DXD983044 EGZ983043:EGZ983044 EQV983043:EQV983044 FAR983043:FAR983044 FKN983043:FKN983044 FUJ983043:FUJ983044 GEF983043:GEF983044 GOB983043:GOB983044 GXX983043:GXX983044 HHT983043:HHT983044 HRP983043:HRP983044 IBL983043:IBL983044 ILH983043:ILH983044 IVD983043:IVD983044 JEZ983043:JEZ983044 JOV983043:JOV983044 JYR983043:JYR983044 KIN983043:KIN983044 KSJ983043:KSJ983044 LCF983043:LCF983044 LMB983043:LMB983044 LVX983043:LVX983044 MFT983043:MFT983044 MPP983043:MPP983044 MZL983043:MZL983044 NJH983043:NJH983044 NTD983043:NTD983044 OCZ983043:OCZ983044 OMV983043:OMV983044 OWR983043:OWR983044 PGN983043:PGN983044 PQJ983043:PQJ983044 QAF983043:QAF983044 QKB983043:QKB983044 QTX983043:QTX983044 RDT983043:RDT983044 RNP983043:RNP983044 RXL983043:RXL983044 SHH983043:SHH983044 SRD983043:SRD983044 TAZ983043:TAZ983044 TKV983043:TKV983044 TUR983043:TUR983044 UEN983043:UEN983044 UOJ983043:UOJ983044 UYF983043:UYF983044 VIB983043:VIB983044 VRX983043:VRX983044 WBT983043:WBT983044 WLP983043:WLP983044 WVL983043:WVL983044 D65539:D65540 IZ65539:IZ65540 SV65539:SV65540 ACR65539:ACR65540 AMN65539:AMN65540 AWJ65539:AWJ65540 BGF65539:BGF65540 BQB65539:BQB65540 BZX65539:BZX65540 CJT65539:CJT65540 CTP65539:CTP65540 DDL65539:DDL65540 DNH65539:DNH65540 DXD65539:DXD65540 EGZ65539:EGZ65540 EQV65539:EQV65540 FAR65539:FAR65540 FKN65539:FKN65540 FUJ65539:FUJ65540 GEF65539:GEF65540 GOB65539:GOB65540 GXX65539:GXX65540 HHT65539:HHT65540 HRP65539:HRP65540 IBL65539:IBL65540 ILH65539:ILH65540 IVD65539:IVD65540 JEZ65539:JEZ65540 JOV65539:JOV65540 JYR65539:JYR65540 KIN65539:KIN65540 KSJ65539:KSJ65540 LCF65539:LCF65540 LMB65539:LMB65540 LVX65539:LVX65540 MFT65539:MFT65540 MPP65539:MPP65540 MZL65539:MZL65540 NJH65539:NJH65540 NTD65539:NTD65540 OCZ65539:OCZ65540 OMV65539:OMV65540 OWR65539:OWR65540 PGN65539:PGN65540 PQJ65539:PQJ65540 QAF65539:QAF65540 QKB65539:QKB65540 QTX65539:QTX65540 RDT65539:RDT65540 RNP65539:RNP65540 RXL65539:RXL65540 SHH65539:SHH65540 SRD65539:SRD65540 TAZ65539:TAZ65540 TKV65539:TKV65540 TUR65539:TUR65540 UEN65539:UEN65540 UOJ65539:UOJ65540 UYF65539:UYF65540 VIB65539:VIB65540 VRX65539:VRX65540 WBT65539:WBT65540 WLP65539:WLP65540 WVL65539:WVL65540 D131075:D131076 IZ131075:IZ131076 SV131075:SV131076 ACR131075:ACR131076 AMN131075:AMN131076 AWJ131075:AWJ131076 BGF131075:BGF131076 BQB131075:BQB131076 BZX131075:BZX131076 CJT131075:CJT131076 CTP131075:CTP131076 DDL131075:DDL131076 DNH131075:DNH131076 DXD131075:DXD131076 EGZ131075:EGZ131076 EQV131075:EQV131076 FAR131075:FAR131076 FKN131075:FKN131076 FUJ131075:FUJ131076 GEF131075:GEF131076 GOB131075:GOB131076 GXX131075:GXX131076 HHT131075:HHT131076 HRP131075:HRP131076 IBL131075:IBL131076 ILH131075:ILH131076 IVD131075:IVD131076 JEZ131075:JEZ131076 JOV131075:JOV131076 JYR131075:JYR131076 KIN131075:KIN131076 KSJ131075:KSJ131076 LCF131075:LCF131076 LMB131075:LMB131076 LVX131075:LVX131076 MFT131075:MFT131076 MPP131075:MPP131076 MZL131075:MZL131076 NJH131075:NJH131076 NTD131075:NTD131076 OCZ131075:OCZ131076 OMV131075:OMV131076 OWR131075:OWR131076 PGN131075:PGN131076 PQJ131075:PQJ131076 QAF131075:QAF131076 QKB131075:QKB131076 QTX131075:QTX131076 RDT131075:RDT131076 RNP131075:RNP131076 RXL131075:RXL131076 SHH131075:SHH131076 SRD131075:SRD131076 TAZ131075:TAZ131076 TKV131075:TKV131076 TUR131075:TUR131076 UEN131075:UEN131076 UOJ131075:UOJ131076 UYF131075:UYF131076 VIB131075:VIB131076 VRX131075:VRX131076 WBT131075:WBT131076 WLP131075:WLP131076 WVL131075:WVL131076 D196611:D196612 IZ196611:IZ196612 SV196611:SV196612 ACR196611:ACR196612 AMN196611:AMN196612 AWJ196611:AWJ196612 BGF196611:BGF196612 BQB196611:BQB196612 BZX196611:BZX196612 CJT196611:CJT196612 CTP196611:CTP196612 DDL196611:DDL196612 DNH196611:DNH196612 DXD196611:DXD196612 EGZ196611:EGZ196612 EQV196611:EQV196612 FAR196611:FAR196612 FKN196611:FKN196612 FUJ196611:FUJ196612 GEF196611:GEF196612 GOB196611:GOB196612 GXX196611:GXX196612 HHT196611:HHT196612 HRP196611:HRP196612 IBL196611:IBL196612 ILH196611:ILH196612 IVD196611:IVD196612 JEZ196611:JEZ196612 JOV196611:JOV196612 JYR196611:JYR196612 KIN196611:KIN196612 KSJ196611:KSJ196612 LCF196611:LCF196612 LMB196611:LMB196612 LVX196611:LVX196612 MFT196611:MFT196612 MPP196611:MPP196612 MZL196611:MZL196612 NJH196611:NJH196612 NTD196611:NTD196612 OCZ196611:OCZ196612 OMV196611:OMV196612 OWR196611:OWR196612 PGN196611:PGN196612 PQJ196611:PQJ196612 QAF196611:QAF196612 QKB196611:QKB196612 QTX196611:QTX196612 RDT196611:RDT196612 RNP196611:RNP196612 RXL196611:RXL196612 SHH196611:SHH196612 SRD196611:SRD196612 TAZ196611:TAZ196612 TKV196611:TKV196612 TUR196611:TUR196612 UEN196611:UEN196612 UOJ196611:UOJ196612 UYF196611:UYF196612 VIB196611:VIB196612 VRX196611:VRX196612 WBT196611:WBT196612 WLP196611:WLP196612 WVL196611:WVL196612 D262147:D262148 IZ262147:IZ262148 SV262147:SV262148 ACR262147:ACR262148 AMN262147:AMN262148 AWJ262147:AWJ262148 BGF262147:BGF262148 BQB262147:BQB262148 BZX262147:BZX262148 CJT262147:CJT262148 CTP262147:CTP262148 DDL262147:DDL262148 DNH262147:DNH262148 DXD262147:DXD262148 EGZ262147:EGZ262148 EQV262147:EQV262148 FAR262147:FAR262148 FKN262147:FKN262148 FUJ262147:FUJ262148 GEF262147:GEF262148 GOB262147:GOB262148 GXX262147:GXX262148 HHT262147:HHT262148 HRP262147:HRP262148 IBL262147:IBL262148 ILH262147:ILH262148 IVD262147:IVD262148 JEZ262147:JEZ262148 JOV262147:JOV262148 JYR262147:JYR262148 KIN262147:KIN262148 KSJ262147:KSJ262148 LCF262147:LCF262148 LMB262147:LMB262148 LVX262147:LVX262148 MFT262147:MFT262148 MPP262147:MPP262148 MZL262147:MZL262148 NJH262147:NJH262148 NTD262147:NTD262148 OCZ262147:OCZ262148 OMV262147:OMV262148 OWR262147:OWR262148 PGN262147:PGN262148 PQJ262147:PQJ262148 QAF262147:QAF262148 QKB262147:QKB262148 QTX262147:QTX262148 RDT262147:RDT262148 RNP262147:RNP262148 RXL262147:RXL262148 SHH262147:SHH262148 SRD262147:SRD262148 TAZ262147:TAZ262148 TKV262147:TKV262148 TUR262147:TUR262148 UEN262147:UEN262148 UOJ262147:UOJ262148 UYF262147:UYF262148 VIB262147:VIB262148 VRX262147:VRX262148 WBT262147:WBT262148 WLP262147:WLP262148 WVL262147:WVL262148 D327683:D327684 IZ327683:IZ327684 SV327683:SV327684 ACR327683:ACR327684 AMN327683:AMN327684 AWJ327683:AWJ327684 BGF327683:BGF327684 BQB327683:BQB327684 BZX327683:BZX327684 CJT327683:CJT327684 CTP327683:CTP327684 DDL327683:DDL327684 DNH327683:DNH327684 DXD327683:DXD327684 EGZ327683:EGZ327684 EQV327683:EQV327684 FAR327683:FAR327684 FKN327683:FKN327684 FUJ327683:FUJ327684 GEF327683:GEF327684 GOB327683:GOB327684 GXX327683:GXX327684 HHT327683:HHT327684 HRP327683:HRP327684 IBL327683:IBL327684 ILH327683:ILH327684 IVD327683:IVD327684 JEZ327683:JEZ327684 JOV327683:JOV327684 JYR327683:JYR327684 KIN327683:KIN327684 KSJ327683:KSJ327684 LCF327683:LCF327684 LMB327683:LMB327684 LVX327683:LVX327684 MFT327683:MFT327684 MPP327683:MPP327684 MZL327683:MZL327684 NJH327683:NJH327684 NTD327683:NTD327684 OCZ327683:OCZ327684 OMV327683:OMV327684 OWR327683:OWR327684 PGN327683:PGN327684 PQJ327683:PQJ327684 QAF327683:QAF327684 QKB327683:QKB327684 QTX327683:QTX327684 RDT327683:RDT327684 RNP327683:RNP327684 RXL327683:RXL327684 SHH327683:SHH327684 SRD327683:SRD327684 TAZ327683:TAZ327684 TKV327683:TKV327684 TUR327683:TUR327684 UEN327683:UEN327684 UOJ327683:UOJ327684 UYF327683:UYF327684 VIB327683:VIB327684 VRX327683:VRX327684 WBT327683:WBT327684 WLP327683:WLP327684 WVL327683:WVL327684 D393219:D393220 IZ393219:IZ393220 SV393219:SV393220 ACR393219:ACR393220 AMN393219:AMN393220 AWJ393219:AWJ393220 BGF393219:BGF393220 BQB393219:BQB393220 BZX393219:BZX393220 CJT393219:CJT393220 CTP393219:CTP393220 DDL393219:DDL393220 DNH393219:DNH393220 DXD393219:DXD393220 EGZ393219:EGZ393220 EQV393219:EQV393220 FAR393219:FAR393220 FKN393219:FKN393220 FUJ393219:FUJ393220 GEF393219:GEF393220 GOB393219:GOB393220 GXX393219:GXX393220 HHT393219:HHT393220 HRP393219:HRP393220 IBL393219:IBL393220 ILH393219:ILH393220 IVD393219:IVD393220 JEZ393219:JEZ393220 JOV393219:JOV393220 JYR393219:JYR393220 KIN393219:KIN393220 KSJ393219:KSJ393220 LCF393219:LCF393220 LMB393219:LMB393220 LVX393219:LVX393220 MFT393219:MFT393220 MPP393219:MPP393220 MZL393219:MZL393220 NJH393219:NJH393220 NTD393219:NTD393220 OCZ393219:OCZ393220 OMV393219:OMV393220 OWR393219:OWR393220 PGN393219:PGN393220 PQJ393219:PQJ393220 QAF393219:QAF393220 QKB393219:QKB393220 QTX393219:QTX393220 RDT393219:RDT393220 RNP393219:RNP393220 RXL393219:RXL393220 SHH393219:SHH393220 SRD393219:SRD393220 TAZ393219:TAZ393220 TKV393219:TKV393220 TUR393219:TUR393220 UEN393219:UEN393220 UOJ393219:UOJ393220 UYF393219:UYF393220 VIB393219:VIB393220 VRX393219:VRX393220 WBT393219:WBT393220 WLP393219:WLP393220 WVL393219:WVL393220 D458755:D458756 IZ458755:IZ458756 SV458755:SV458756 ACR458755:ACR458756 AMN458755:AMN458756 AWJ458755:AWJ458756 BGF458755:BGF458756 BQB458755:BQB458756 BZX458755:BZX458756 CJT458755:CJT458756 CTP458755:CTP458756 DDL458755:DDL458756 DNH458755:DNH458756 DXD458755:DXD458756 EGZ458755:EGZ458756 EQV458755:EQV458756 FAR458755:FAR458756 FKN458755:FKN458756 FUJ458755:FUJ458756 GEF458755:GEF458756 GOB458755:GOB458756 GXX458755:GXX458756 HHT458755:HHT458756 HRP458755:HRP458756 IBL458755:IBL458756 ILH458755:ILH458756 IVD458755:IVD458756 JEZ458755:JEZ458756 JOV458755:JOV458756 JYR458755:JYR458756 KIN458755:KIN458756 KSJ458755:KSJ458756 LCF458755:LCF458756 LMB458755:LMB458756 LVX458755:LVX458756 MFT458755:MFT458756 MPP458755:MPP458756 MZL458755:MZL458756 NJH458755:NJH458756 NTD458755:NTD458756 OCZ458755:OCZ458756 OMV458755:OMV458756 OWR458755:OWR458756 PGN458755:PGN458756 PQJ458755:PQJ458756 QAF458755:QAF458756 QKB458755:QKB458756 QTX458755:QTX458756 RDT458755:RDT458756 RNP458755:RNP458756 RXL458755:RXL458756 SHH458755:SHH458756 SRD458755:SRD458756 TAZ458755:TAZ458756 TKV458755:TKV458756 TUR458755:TUR458756 UEN458755:UEN458756 UOJ458755:UOJ458756 UYF458755:UYF458756 VIB458755:VIB458756 VRX458755:VRX458756 WBT458755:WBT458756 WLP458755:WLP458756 WVL458755:WVL458756 D524291:D524292 IZ524291:IZ524292 SV524291:SV524292 ACR524291:ACR524292 AMN524291:AMN524292 AWJ524291:AWJ524292 BGF524291:BGF524292 BQB524291:BQB524292 BZX524291:BZX524292 CJT524291:CJT524292 CTP524291:CTP524292 DDL524291:DDL524292 DNH524291:DNH524292 DXD524291:DXD524292 EGZ524291:EGZ524292 EQV524291:EQV524292 FAR524291:FAR524292 FKN524291:FKN524292 FUJ524291:FUJ524292 GEF524291:GEF524292 GOB524291:GOB524292 GXX524291:GXX524292 HHT524291:HHT524292 HRP524291:HRP524292 IBL524291:IBL524292 ILH524291:ILH524292 IVD524291:IVD524292 JEZ524291:JEZ524292 JOV524291:JOV524292 JYR524291:JYR524292 KIN524291:KIN524292 KSJ524291:KSJ524292 LCF524291:LCF524292 LMB524291:LMB524292 LVX524291:LVX524292 MFT524291:MFT524292 MPP524291:MPP524292 MZL524291:MZL524292 NJH524291:NJH524292 NTD524291:NTD524292 OCZ524291:OCZ524292 OMV524291:OMV524292 OWR524291:OWR524292 PGN524291:PGN524292 PQJ524291:PQJ524292 QAF524291:QAF524292 QKB524291:QKB524292 QTX524291:QTX524292 RDT524291:RDT524292 RNP524291:RNP524292 RXL524291:RXL524292 SHH524291:SHH524292 SRD524291:SRD524292 TAZ524291:TAZ524292 TKV524291:TKV524292 TUR524291:TUR524292 UEN524291:UEN524292 UOJ524291:UOJ524292 UYF524291:UYF524292 VIB524291:VIB524292 VRX524291:VRX524292 WBT524291:WBT524292 WLP524291:WLP524292 WVL524291:WVL524292 D589827:D589828 IZ589827:IZ589828 SV589827:SV589828 ACR589827:ACR589828 AMN589827:AMN589828 AWJ589827:AWJ589828 BGF589827:BGF589828 BQB589827:BQB589828 BZX589827:BZX589828 CJT589827:CJT589828 CTP589827:CTP589828 DDL589827:DDL589828 DNH589827:DNH589828 DXD589827:DXD589828 EGZ589827:EGZ589828 EQV589827:EQV589828 FAR589827:FAR589828 FKN589827:FKN589828 FUJ589827:FUJ589828 GEF589827:GEF589828 GOB589827:GOB589828 GXX589827:GXX589828 HHT589827:HHT589828 HRP589827:HRP589828 IBL589827:IBL589828 ILH589827:ILH589828 IVD589827:IVD589828 JEZ589827:JEZ589828 JOV589827:JOV589828 JYR589827:JYR589828 KIN589827:KIN589828 KSJ589827:KSJ589828 LCF589827:LCF589828 LMB589827:LMB589828 LVX589827:LVX589828 MFT589827:MFT589828 MPP589827:MPP589828 MZL589827:MZL589828 NJH589827:NJH589828 NTD589827:NTD589828 OCZ589827:OCZ589828 OMV589827:OMV589828 OWR589827:OWR589828 PGN589827:PGN589828 PQJ589827:PQJ589828 QAF589827:QAF589828 QKB589827:QKB589828 QTX589827:QTX589828 RDT589827:RDT589828 RNP589827:RNP589828 RXL589827:RXL589828 SHH589827:SHH589828 SRD589827:SRD589828 TAZ589827:TAZ589828 TKV589827:TKV589828 TUR589827:TUR589828 UEN589827:UEN589828 UOJ589827:UOJ589828 UYF589827:UYF589828 VIB589827:VIB589828 VRX589827:VRX589828 WBT589827:WBT589828 WLP589827:WLP589828 WVL589827:WVL589828 D655363:D655364 IZ655363:IZ655364 SV655363:SV655364 ACR655363:ACR655364 AMN655363:AMN655364 AWJ655363:AWJ655364 BGF655363:BGF655364 BQB655363:BQB655364 BZX655363:BZX655364 CJT655363:CJT655364 CTP655363:CTP655364 DDL655363:DDL655364 DNH655363:DNH655364 DXD655363:DXD655364 EGZ655363:EGZ655364 EQV655363:EQV655364 FAR655363:FAR655364 FKN655363:FKN655364 FUJ655363:FUJ655364 GEF655363:GEF655364 GOB655363:GOB655364 GXX655363:GXX655364 HHT655363:HHT655364 HRP655363:HRP655364 IBL655363:IBL655364 ILH655363:ILH655364 IVD655363:IVD655364 JEZ655363:JEZ655364 JOV655363:JOV655364 JYR655363:JYR655364 KIN655363:KIN655364 KSJ655363:KSJ655364 LCF655363:LCF655364 LMB655363:LMB655364 LVX655363:LVX655364 MFT655363:MFT655364 MPP655363:MPP655364 MZL655363:MZL655364 NJH655363:NJH655364 NTD655363:NTD655364 OCZ655363:OCZ655364 OMV655363:OMV655364 OWR655363:OWR655364 PGN655363:PGN655364 PQJ655363:PQJ655364 QAF655363:QAF655364 QKB655363:QKB655364 QTX655363:QTX655364 RDT655363:RDT655364 RNP655363:RNP655364 RXL655363:RXL655364 SHH655363:SHH655364 SRD655363:SRD655364 TAZ655363:TAZ655364 TKV655363:TKV655364 TUR655363:TUR655364 UEN655363:UEN655364 UOJ655363:UOJ655364 UYF655363:UYF655364 VIB655363:VIB655364 VRX655363:VRX655364 WBT655363:WBT655364 WLP655363:WLP655364 WVL655363:WVL655364 D720899:D720900 IZ720899:IZ720900 SV720899:SV720900 ACR720899:ACR720900 AMN720899:AMN720900 AWJ720899:AWJ720900 BGF720899:BGF720900 BQB720899:BQB720900 BZX720899:BZX720900 CJT720899:CJT720900 CTP720899:CTP720900 DDL720899:DDL720900 DNH720899:DNH720900 DXD720899:DXD720900 EGZ720899:EGZ720900 EQV720899:EQV720900 FAR720899:FAR720900 FKN720899:FKN720900 FUJ720899:FUJ720900 GEF720899:GEF720900 GOB720899:GOB720900 GXX720899:GXX720900 HHT720899:HHT720900 HRP720899:HRP720900 IBL720899:IBL720900 ILH720899:ILH720900 IVD720899:IVD720900 JEZ720899:JEZ720900 JOV720899:JOV720900 JYR720899:JYR720900 KIN720899:KIN720900 KSJ720899:KSJ720900 LCF720899:LCF720900 LMB720899:LMB720900 LVX720899:LVX720900 MFT720899:MFT720900 MPP720899:MPP720900 MZL720899:MZL720900 NJH720899:NJH720900 NTD720899:NTD720900 OCZ720899:OCZ720900 OMV720899:OMV720900 OWR720899:OWR720900 PGN720899:PGN720900 PQJ720899:PQJ720900 QAF720899:QAF720900 QKB720899:QKB720900 QTX720899:QTX720900 RDT720899:RDT720900 RNP720899:RNP720900 RXL720899:RXL720900 SHH720899:SHH720900 SRD720899:SRD720900 TAZ720899:TAZ720900 TKV720899:TKV720900 TUR720899:TUR720900 UEN720899:UEN720900 UOJ720899:UOJ720900 UYF720899:UYF720900 VIB720899:VIB720900 VRX720899:VRX720900 WBT720899:WBT720900 WLP720899:WLP720900 WVL720899:WVL720900 D786435:D786436 IZ786435:IZ786436 SV786435:SV786436 ACR786435:ACR786436 AMN786435:AMN786436 AWJ786435:AWJ786436 BGF786435:BGF786436 BQB786435:BQB786436 BZX786435:BZX786436 CJT786435:CJT786436 CTP786435:CTP786436 DDL786435:DDL786436 DNH786435:DNH786436 DXD786435:DXD786436 EGZ786435:EGZ786436 EQV786435:EQV786436 FAR786435:FAR786436 FKN786435:FKN786436 FUJ786435:FUJ786436 GEF786435:GEF786436 GOB786435:GOB786436 GXX786435:GXX786436 HHT786435:HHT786436 HRP786435:HRP786436 IBL786435:IBL786436 ILH786435:ILH786436 IVD786435:IVD786436 JEZ786435:JEZ786436 JOV786435:JOV786436 JYR786435:JYR786436 KIN786435:KIN786436 KSJ786435:KSJ786436 LCF786435:LCF786436 LMB786435:LMB786436 LVX786435:LVX786436 MFT786435:MFT786436 MPP786435:MPP786436 MZL786435:MZL786436 NJH786435:NJH786436 NTD786435:NTD786436 OCZ786435:OCZ786436 OMV786435:OMV786436 OWR786435:OWR786436 PGN786435:PGN786436 PQJ786435:PQJ786436 QAF786435:QAF786436 QKB786435:QKB786436 QTX786435:QTX786436 RDT786435:RDT786436 RNP786435:RNP786436 RXL786435:RXL786436 SHH786435:SHH786436 SRD786435:SRD786436 TAZ786435:TAZ786436 TKV786435:TKV786436 TUR786435:TUR786436 UEN786435:UEN786436 UOJ786435:UOJ786436 UYF786435:UYF786436 VIB786435:VIB786436 VRX786435:VRX786436 WBT786435:WBT786436 WLP786435:WLP786436 WVL786435:WVL786436 D851971:D851972 IZ851971:IZ851972 SV851971:SV851972 ACR851971:ACR851972 AMN851971:AMN851972 AWJ851971:AWJ851972 BGF851971:BGF851972 BQB851971:BQB851972 BZX851971:BZX851972 CJT851971:CJT851972 CTP851971:CTP851972 DDL851971:DDL851972 DNH851971:DNH851972 DXD851971:DXD851972 EGZ851971:EGZ851972 EQV851971:EQV851972 FAR851971:FAR851972 FKN851971:FKN851972 FUJ851971:FUJ851972 GEF851971:GEF851972 GOB851971:GOB851972 GXX851971:GXX851972 HHT851971:HHT851972 HRP851971:HRP851972 IBL851971:IBL851972 ILH851971:ILH851972 IVD851971:IVD851972 JEZ851971:JEZ851972 JOV851971:JOV851972 JYR851971:JYR851972 KIN851971:KIN851972 KSJ851971:KSJ851972 LCF851971:LCF851972 LMB851971:LMB851972 LVX851971:LVX851972 MFT851971:MFT851972 MPP851971:MPP851972 MZL851971:MZL851972 NJH851971:NJH851972 NTD851971:NTD851972 OCZ851971:OCZ851972 OMV851971:OMV851972 OWR851971:OWR851972 PGN851971:PGN851972 PQJ851971:PQJ851972 QAF851971:QAF851972 QKB851971:QKB851972 QTX851971:QTX851972 RDT851971:RDT851972 RNP851971:RNP851972 RXL851971:RXL851972 SHH851971:SHH851972 SRD851971:SRD851972 TAZ851971:TAZ851972 TKV851971:TKV851972 TUR851971:TUR851972 UEN851971:UEN851972 UOJ851971:UOJ851972 UYF851971:UYF851972 VIB851971:VIB851972 VRX851971:VRX851972 WBT851971:WBT851972 WLP851971:WLP851972 WVL851971:WVL851972 D917507:D917508 IZ917507:IZ917508 SV917507:SV917508 ACR917507:ACR917508 AMN917507:AMN917508 AWJ917507:AWJ917508 BGF917507:BGF917508 BQB917507:BQB917508 BZX917507:BZX917508 CJT917507:CJT917508 CTP917507:CTP917508 DDL917507:DDL917508 DNH917507:DNH917508 DXD917507:DXD917508 EGZ917507:EGZ917508 EQV917507:EQV917508 FAR917507:FAR917508 FKN917507:FKN917508 FUJ917507:FUJ917508 GEF917507:GEF917508 GOB917507:GOB917508 GXX917507:GXX917508 HHT917507:HHT917508 HRP917507:HRP917508 IBL917507:IBL917508 ILH917507:ILH917508 IVD917507:IVD917508 JEZ917507:JEZ917508 JOV917507:JOV917508 JYR917507:JYR917508 KIN917507:KIN917508 KSJ917507:KSJ917508 LCF917507:LCF917508 LMB917507:LMB917508 LVX917507:LVX917508 MFT917507:MFT917508 MPP917507:MPP917508 MZL917507:MZL917508 NJH917507:NJH917508 NTD917507:NTD917508 OCZ917507:OCZ917508 OMV917507:OMV917508 OWR917507:OWR917508 PGN917507:PGN917508 PQJ917507:PQJ917508 QAF917507:QAF917508 QKB917507:QKB917508 QTX917507:QTX917508 RDT917507:RDT917508 RNP917507:RNP917508 RXL917507:RXL917508 SHH917507:SHH917508 SRD917507:SRD917508 TAZ917507:TAZ917508 TKV917507:TKV917508 TUR917507:TUR917508 UEN917507:UEN917508 UOJ917507:UOJ917508 UYF917507:UYF917508 VIB917507:VIB917508 VRX917507:VRX917508 WBT917507:WBT917508 WLP917507:WLP917508 WVL917507:WVL917508" xr:uid="{00000000-0002-0000-0600-00000E000000}"/>
    <dataValidation allowBlank="1" showInputMessage="1" showErrorMessage="1" promptTitle="Available Flag" prompt="Input Yes if available, No if temporarily out of stock, or Guaranteed if unlimited stock." sqref="C983043:C983044 IY983043:IY983044 SU983043:SU983044 ACQ983043:ACQ983044 AMM983043:AMM983044 AWI983043:AWI983044 BGE983043:BGE983044 BQA983043:BQA983044 BZW983043:BZW983044 CJS983043:CJS983044 CTO983043:CTO983044 DDK983043:DDK983044 DNG983043:DNG983044 DXC983043:DXC983044 EGY983043:EGY983044 EQU983043:EQU983044 FAQ983043:FAQ983044 FKM983043:FKM983044 FUI983043:FUI983044 GEE983043:GEE983044 GOA983043:GOA983044 GXW983043:GXW983044 HHS983043:HHS983044 HRO983043:HRO983044 IBK983043:IBK983044 ILG983043:ILG983044 IVC983043:IVC983044 JEY983043:JEY983044 JOU983043:JOU983044 JYQ983043:JYQ983044 KIM983043:KIM983044 KSI983043:KSI983044 LCE983043:LCE983044 LMA983043:LMA983044 LVW983043:LVW983044 MFS983043:MFS983044 MPO983043:MPO983044 MZK983043:MZK983044 NJG983043:NJG983044 NTC983043:NTC983044 OCY983043:OCY983044 OMU983043:OMU983044 OWQ983043:OWQ983044 PGM983043:PGM983044 PQI983043:PQI983044 QAE983043:QAE983044 QKA983043:QKA983044 QTW983043:QTW983044 RDS983043:RDS983044 RNO983043:RNO983044 RXK983043:RXK983044 SHG983043:SHG983044 SRC983043:SRC983044 TAY983043:TAY983044 TKU983043:TKU983044 TUQ983043:TUQ983044 UEM983043:UEM983044 UOI983043:UOI983044 UYE983043:UYE983044 VIA983043:VIA983044 VRW983043:VRW983044 WBS983043:WBS983044 WLO983043:WLO983044 WVK983043:WVK983044 C65539:C65540 IY65539:IY65540 SU65539:SU65540 ACQ65539:ACQ65540 AMM65539:AMM65540 AWI65539:AWI65540 BGE65539:BGE65540 BQA65539:BQA65540 BZW65539:BZW65540 CJS65539:CJS65540 CTO65539:CTO65540 DDK65539:DDK65540 DNG65539:DNG65540 DXC65539:DXC65540 EGY65539:EGY65540 EQU65539:EQU65540 FAQ65539:FAQ65540 FKM65539:FKM65540 FUI65539:FUI65540 GEE65539:GEE65540 GOA65539:GOA65540 GXW65539:GXW65540 HHS65539:HHS65540 HRO65539:HRO65540 IBK65539:IBK65540 ILG65539:ILG65540 IVC65539:IVC65540 JEY65539:JEY65540 JOU65539:JOU65540 JYQ65539:JYQ65540 KIM65539:KIM65540 KSI65539:KSI65540 LCE65539:LCE65540 LMA65539:LMA65540 LVW65539:LVW65540 MFS65539:MFS65540 MPO65539:MPO65540 MZK65539:MZK65540 NJG65539:NJG65540 NTC65539:NTC65540 OCY65539:OCY65540 OMU65539:OMU65540 OWQ65539:OWQ65540 PGM65539:PGM65540 PQI65539:PQI65540 QAE65539:QAE65540 QKA65539:QKA65540 QTW65539:QTW65540 RDS65539:RDS65540 RNO65539:RNO65540 RXK65539:RXK65540 SHG65539:SHG65540 SRC65539:SRC65540 TAY65539:TAY65540 TKU65539:TKU65540 TUQ65539:TUQ65540 UEM65539:UEM65540 UOI65539:UOI65540 UYE65539:UYE65540 VIA65539:VIA65540 VRW65539:VRW65540 WBS65539:WBS65540 WLO65539:WLO65540 WVK65539:WVK65540 C131075:C131076 IY131075:IY131076 SU131075:SU131076 ACQ131075:ACQ131076 AMM131075:AMM131076 AWI131075:AWI131076 BGE131075:BGE131076 BQA131075:BQA131076 BZW131075:BZW131076 CJS131075:CJS131076 CTO131075:CTO131076 DDK131075:DDK131076 DNG131075:DNG131076 DXC131075:DXC131076 EGY131075:EGY131076 EQU131075:EQU131076 FAQ131075:FAQ131076 FKM131075:FKM131076 FUI131075:FUI131076 GEE131075:GEE131076 GOA131075:GOA131076 GXW131075:GXW131076 HHS131075:HHS131076 HRO131075:HRO131076 IBK131075:IBK131076 ILG131075:ILG131076 IVC131075:IVC131076 JEY131075:JEY131076 JOU131075:JOU131076 JYQ131075:JYQ131076 KIM131075:KIM131076 KSI131075:KSI131076 LCE131075:LCE131076 LMA131075:LMA131076 LVW131075:LVW131076 MFS131075:MFS131076 MPO131075:MPO131076 MZK131075:MZK131076 NJG131075:NJG131076 NTC131075:NTC131076 OCY131075:OCY131076 OMU131075:OMU131076 OWQ131075:OWQ131076 PGM131075:PGM131076 PQI131075:PQI131076 QAE131075:QAE131076 QKA131075:QKA131076 QTW131075:QTW131076 RDS131075:RDS131076 RNO131075:RNO131076 RXK131075:RXK131076 SHG131075:SHG131076 SRC131075:SRC131076 TAY131075:TAY131076 TKU131075:TKU131076 TUQ131075:TUQ131076 UEM131075:UEM131076 UOI131075:UOI131076 UYE131075:UYE131076 VIA131075:VIA131076 VRW131075:VRW131076 WBS131075:WBS131076 WLO131075:WLO131076 WVK131075:WVK131076 C196611:C196612 IY196611:IY196612 SU196611:SU196612 ACQ196611:ACQ196612 AMM196611:AMM196612 AWI196611:AWI196612 BGE196611:BGE196612 BQA196611:BQA196612 BZW196611:BZW196612 CJS196611:CJS196612 CTO196611:CTO196612 DDK196611:DDK196612 DNG196611:DNG196612 DXC196611:DXC196612 EGY196611:EGY196612 EQU196611:EQU196612 FAQ196611:FAQ196612 FKM196611:FKM196612 FUI196611:FUI196612 GEE196611:GEE196612 GOA196611:GOA196612 GXW196611:GXW196612 HHS196611:HHS196612 HRO196611:HRO196612 IBK196611:IBK196612 ILG196611:ILG196612 IVC196611:IVC196612 JEY196611:JEY196612 JOU196611:JOU196612 JYQ196611:JYQ196612 KIM196611:KIM196612 KSI196611:KSI196612 LCE196611:LCE196612 LMA196611:LMA196612 LVW196611:LVW196612 MFS196611:MFS196612 MPO196611:MPO196612 MZK196611:MZK196612 NJG196611:NJG196612 NTC196611:NTC196612 OCY196611:OCY196612 OMU196611:OMU196612 OWQ196611:OWQ196612 PGM196611:PGM196612 PQI196611:PQI196612 QAE196611:QAE196612 QKA196611:QKA196612 QTW196611:QTW196612 RDS196611:RDS196612 RNO196611:RNO196612 RXK196611:RXK196612 SHG196611:SHG196612 SRC196611:SRC196612 TAY196611:TAY196612 TKU196611:TKU196612 TUQ196611:TUQ196612 UEM196611:UEM196612 UOI196611:UOI196612 UYE196611:UYE196612 VIA196611:VIA196612 VRW196611:VRW196612 WBS196611:WBS196612 WLO196611:WLO196612 WVK196611:WVK196612 C262147:C262148 IY262147:IY262148 SU262147:SU262148 ACQ262147:ACQ262148 AMM262147:AMM262148 AWI262147:AWI262148 BGE262147:BGE262148 BQA262147:BQA262148 BZW262147:BZW262148 CJS262147:CJS262148 CTO262147:CTO262148 DDK262147:DDK262148 DNG262147:DNG262148 DXC262147:DXC262148 EGY262147:EGY262148 EQU262147:EQU262148 FAQ262147:FAQ262148 FKM262147:FKM262148 FUI262147:FUI262148 GEE262147:GEE262148 GOA262147:GOA262148 GXW262147:GXW262148 HHS262147:HHS262148 HRO262147:HRO262148 IBK262147:IBK262148 ILG262147:ILG262148 IVC262147:IVC262148 JEY262147:JEY262148 JOU262147:JOU262148 JYQ262147:JYQ262148 KIM262147:KIM262148 KSI262147:KSI262148 LCE262147:LCE262148 LMA262147:LMA262148 LVW262147:LVW262148 MFS262147:MFS262148 MPO262147:MPO262148 MZK262147:MZK262148 NJG262147:NJG262148 NTC262147:NTC262148 OCY262147:OCY262148 OMU262147:OMU262148 OWQ262147:OWQ262148 PGM262147:PGM262148 PQI262147:PQI262148 QAE262147:QAE262148 QKA262147:QKA262148 QTW262147:QTW262148 RDS262147:RDS262148 RNO262147:RNO262148 RXK262147:RXK262148 SHG262147:SHG262148 SRC262147:SRC262148 TAY262147:TAY262148 TKU262147:TKU262148 TUQ262147:TUQ262148 UEM262147:UEM262148 UOI262147:UOI262148 UYE262147:UYE262148 VIA262147:VIA262148 VRW262147:VRW262148 WBS262147:WBS262148 WLO262147:WLO262148 WVK262147:WVK262148 C327683:C327684 IY327683:IY327684 SU327683:SU327684 ACQ327683:ACQ327684 AMM327683:AMM327684 AWI327683:AWI327684 BGE327683:BGE327684 BQA327683:BQA327684 BZW327683:BZW327684 CJS327683:CJS327684 CTO327683:CTO327684 DDK327683:DDK327684 DNG327683:DNG327684 DXC327683:DXC327684 EGY327683:EGY327684 EQU327683:EQU327684 FAQ327683:FAQ327684 FKM327683:FKM327684 FUI327683:FUI327684 GEE327683:GEE327684 GOA327683:GOA327684 GXW327683:GXW327684 HHS327683:HHS327684 HRO327683:HRO327684 IBK327683:IBK327684 ILG327683:ILG327684 IVC327683:IVC327684 JEY327683:JEY327684 JOU327683:JOU327684 JYQ327683:JYQ327684 KIM327683:KIM327684 KSI327683:KSI327684 LCE327683:LCE327684 LMA327683:LMA327684 LVW327683:LVW327684 MFS327683:MFS327684 MPO327683:MPO327684 MZK327683:MZK327684 NJG327683:NJG327684 NTC327683:NTC327684 OCY327683:OCY327684 OMU327683:OMU327684 OWQ327683:OWQ327684 PGM327683:PGM327684 PQI327683:PQI327684 QAE327683:QAE327684 QKA327683:QKA327684 QTW327683:QTW327684 RDS327683:RDS327684 RNO327683:RNO327684 RXK327683:RXK327684 SHG327683:SHG327684 SRC327683:SRC327684 TAY327683:TAY327684 TKU327683:TKU327684 TUQ327683:TUQ327684 UEM327683:UEM327684 UOI327683:UOI327684 UYE327683:UYE327684 VIA327683:VIA327684 VRW327683:VRW327684 WBS327683:WBS327684 WLO327683:WLO327684 WVK327683:WVK327684 C393219:C393220 IY393219:IY393220 SU393219:SU393220 ACQ393219:ACQ393220 AMM393219:AMM393220 AWI393219:AWI393220 BGE393219:BGE393220 BQA393219:BQA393220 BZW393219:BZW393220 CJS393219:CJS393220 CTO393219:CTO393220 DDK393219:DDK393220 DNG393219:DNG393220 DXC393219:DXC393220 EGY393219:EGY393220 EQU393219:EQU393220 FAQ393219:FAQ393220 FKM393219:FKM393220 FUI393219:FUI393220 GEE393219:GEE393220 GOA393219:GOA393220 GXW393219:GXW393220 HHS393219:HHS393220 HRO393219:HRO393220 IBK393219:IBK393220 ILG393219:ILG393220 IVC393219:IVC393220 JEY393219:JEY393220 JOU393219:JOU393220 JYQ393219:JYQ393220 KIM393219:KIM393220 KSI393219:KSI393220 LCE393219:LCE393220 LMA393219:LMA393220 LVW393219:LVW393220 MFS393219:MFS393220 MPO393219:MPO393220 MZK393219:MZK393220 NJG393219:NJG393220 NTC393219:NTC393220 OCY393219:OCY393220 OMU393219:OMU393220 OWQ393219:OWQ393220 PGM393219:PGM393220 PQI393219:PQI393220 QAE393219:QAE393220 QKA393219:QKA393220 QTW393219:QTW393220 RDS393219:RDS393220 RNO393219:RNO393220 RXK393219:RXK393220 SHG393219:SHG393220 SRC393219:SRC393220 TAY393219:TAY393220 TKU393219:TKU393220 TUQ393219:TUQ393220 UEM393219:UEM393220 UOI393219:UOI393220 UYE393219:UYE393220 VIA393219:VIA393220 VRW393219:VRW393220 WBS393219:WBS393220 WLO393219:WLO393220 WVK393219:WVK393220 C458755:C458756 IY458755:IY458756 SU458755:SU458756 ACQ458755:ACQ458756 AMM458755:AMM458756 AWI458755:AWI458756 BGE458755:BGE458756 BQA458755:BQA458756 BZW458755:BZW458756 CJS458755:CJS458756 CTO458755:CTO458756 DDK458755:DDK458756 DNG458755:DNG458756 DXC458755:DXC458756 EGY458755:EGY458756 EQU458755:EQU458756 FAQ458755:FAQ458756 FKM458755:FKM458756 FUI458755:FUI458756 GEE458755:GEE458756 GOA458755:GOA458756 GXW458755:GXW458756 HHS458755:HHS458756 HRO458755:HRO458756 IBK458755:IBK458756 ILG458755:ILG458756 IVC458755:IVC458756 JEY458755:JEY458756 JOU458755:JOU458756 JYQ458755:JYQ458756 KIM458755:KIM458756 KSI458755:KSI458756 LCE458755:LCE458756 LMA458755:LMA458756 LVW458755:LVW458756 MFS458755:MFS458756 MPO458755:MPO458756 MZK458755:MZK458756 NJG458755:NJG458756 NTC458755:NTC458756 OCY458755:OCY458756 OMU458755:OMU458756 OWQ458755:OWQ458756 PGM458755:PGM458756 PQI458755:PQI458756 QAE458755:QAE458756 QKA458755:QKA458756 QTW458755:QTW458756 RDS458755:RDS458756 RNO458755:RNO458756 RXK458755:RXK458756 SHG458755:SHG458756 SRC458755:SRC458756 TAY458755:TAY458756 TKU458755:TKU458756 TUQ458755:TUQ458756 UEM458755:UEM458756 UOI458755:UOI458756 UYE458755:UYE458756 VIA458755:VIA458756 VRW458755:VRW458756 WBS458755:WBS458756 WLO458755:WLO458756 WVK458755:WVK458756 C524291:C524292 IY524291:IY524292 SU524291:SU524292 ACQ524291:ACQ524292 AMM524291:AMM524292 AWI524291:AWI524292 BGE524291:BGE524292 BQA524291:BQA524292 BZW524291:BZW524292 CJS524291:CJS524292 CTO524291:CTO524292 DDK524291:DDK524292 DNG524291:DNG524292 DXC524291:DXC524292 EGY524291:EGY524292 EQU524291:EQU524292 FAQ524291:FAQ524292 FKM524291:FKM524292 FUI524291:FUI524292 GEE524291:GEE524292 GOA524291:GOA524292 GXW524291:GXW524292 HHS524291:HHS524292 HRO524291:HRO524292 IBK524291:IBK524292 ILG524291:ILG524292 IVC524291:IVC524292 JEY524291:JEY524292 JOU524291:JOU524292 JYQ524291:JYQ524292 KIM524291:KIM524292 KSI524291:KSI524292 LCE524291:LCE524292 LMA524291:LMA524292 LVW524291:LVW524292 MFS524291:MFS524292 MPO524291:MPO524292 MZK524291:MZK524292 NJG524291:NJG524292 NTC524291:NTC524292 OCY524291:OCY524292 OMU524291:OMU524292 OWQ524291:OWQ524292 PGM524291:PGM524292 PQI524291:PQI524292 QAE524291:QAE524292 QKA524291:QKA524292 QTW524291:QTW524292 RDS524291:RDS524292 RNO524291:RNO524292 RXK524291:RXK524292 SHG524291:SHG524292 SRC524291:SRC524292 TAY524291:TAY524292 TKU524291:TKU524292 TUQ524291:TUQ524292 UEM524291:UEM524292 UOI524291:UOI524292 UYE524291:UYE524292 VIA524291:VIA524292 VRW524291:VRW524292 WBS524291:WBS524292 WLO524291:WLO524292 WVK524291:WVK524292 C589827:C589828 IY589827:IY589828 SU589827:SU589828 ACQ589827:ACQ589828 AMM589827:AMM589828 AWI589827:AWI589828 BGE589827:BGE589828 BQA589827:BQA589828 BZW589827:BZW589828 CJS589827:CJS589828 CTO589827:CTO589828 DDK589827:DDK589828 DNG589827:DNG589828 DXC589827:DXC589828 EGY589827:EGY589828 EQU589827:EQU589828 FAQ589827:FAQ589828 FKM589827:FKM589828 FUI589827:FUI589828 GEE589827:GEE589828 GOA589827:GOA589828 GXW589827:GXW589828 HHS589827:HHS589828 HRO589827:HRO589828 IBK589827:IBK589828 ILG589827:ILG589828 IVC589827:IVC589828 JEY589827:JEY589828 JOU589827:JOU589828 JYQ589827:JYQ589828 KIM589827:KIM589828 KSI589827:KSI589828 LCE589827:LCE589828 LMA589827:LMA589828 LVW589827:LVW589828 MFS589827:MFS589828 MPO589827:MPO589828 MZK589827:MZK589828 NJG589827:NJG589828 NTC589827:NTC589828 OCY589827:OCY589828 OMU589827:OMU589828 OWQ589827:OWQ589828 PGM589827:PGM589828 PQI589827:PQI589828 QAE589827:QAE589828 QKA589827:QKA589828 QTW589827:QTW589828 RDS589827:RDS589828 RNO589827:RNO589828 RXK589827:RXK589828 SHG589827:SHG589828 SRC589827:SRC589828 TAY589827:TAY589828 TKU589827:TKU589828 TUQ589827:TUQ589828 UEM589827:UEM589828 UOI589827:UOI589828 UYE589827:UYE589828 VIA589827:VIA589828 VRW589827:VRW589828 WBS589827:WBS589828 WLO589827:WLO589828 WVK589827:WVK589828 C655363:C655364 IY655363:IY655364 SU655363:SU655364 ACQ655363:ACQ655364 AMM655363:AMM655364 AWI655363:AWI655364 BGE655363:BGE655364 BQA655363:BQA655364 BZW655363:BZW655364 CJS655363:CJS655364 CTO655363:CTO655364 DDK655363:DDK655364 DNG655363:DNG655364 DXC655363:DXC655364 EGY655363:EGY655364 EQU655363:EQU655364 FAQ655363:FAQ655364 FKM655363:FKM655364 FUI655363:FUI655364 GEE655363:GEE655364 GOA655363:GOA655364 GXW655363:GXW655364 HHS655363:HHS655364 HRO655363:HRO655364 IBK655363:IBK655364 ILG655363:ILG655364 IVC655363:IVC655364 JEY655363:JEY655364 JOU655363:JOU655364 JYQ655363:JYQ655364 KIM655363:KIM655364 KSI655363:KSI655364 LCE655363:LCE655364 LMA655363:LMA655364 LVW655363:LVW655364 MFS655363:MFS655364 MPO655363:MPO655364 MZK655363:MZK655364 NJG655363:NJG655364 NTC655363:NTC655364 OCY655363:OCY655364 OMU655363:OMU655364 OWQ655363:OWQ655364 PGM655363:PGM655364 PQI655363:PQI655364 QAE655363:QAE655364 QKA655363:QKA655364 QTW655363:QTW655364 RDS655363:RDS655364 RNO655363:RNO655364 RXK655363:RXK655364 SHG655363:SHG655364 SRC655363:SRC655364 TAY655363:TAY655364 TKU655363:TKU655364 TUQ655363:TUQ655364 UEM655363:UEM655364 UOI655363:UOI655364 UYE655363:UYE655364 VIA655363:VIA655364 VRW655363:VRW655364 WBS655363:WBS655364 WLO655363:WLO655364 WVK655363:WVK655364 C720899:C720900 IY720899:IY720900 SU720899:SU720900 ACQ720899:ACQ720900 AMM720899:AMM720900 AWI720899:AWI720900 BGE720899:BGE720900 BQA720899:BQA720900 BZW720899:BZW720900 CJS720899:CJS720900 CTO720899:CTO720900 DDK720899:DDK720900 DNG720899:DNG720900 DXC720899:DXC720900 EGY720899:EGY720900 EQU720899:EQU720900 FAQ720899:FAQ720900 FKM720899:FKM720900 FUI720899:FUI720900 GEE720899:GEE720900 GOA720899:GOA720900 GXW720899:GXW720900 HHS720899:HHS720900 HRO720899:HRO720900 IBK720899:IBK720900 ILG720899:ILG720900 IVC720899:IVC720900 JEY720899:JEY720900 JOU720899:JOU720900 JYQ720899:JYQ720900 KIM720899:KIM720900 KSI720899:KSI720900 LCE720899:LCE720900 LMA720899:LMA720900 LVW720899:LVW720900 MFS720899:MFS720900 MPO720899:MPO720900 MZK720899:MZK720900 NJG720899:NJG720900 NTC720899:NTC720900 OCY720899:OCY720900 OMU720899:OMU720900 OWQ720899:OWQ720900 PGM720899:PGM720900 PQI720899:PQI720900 QAE720899:QAE720900 QKA720899:QKA720900 QTW720899:QTW720900 RDS720899:RDS720900 RNO720899:RNO720900 RXK720899:RXK720900 SHG720899:SHG720900 SRC720899:SRC720900 TAY720899:TAY720900 TKU720899:TKU720900 TUQ720899:TUQ720900 UEM720899:UEM720900 UOI720899:UOI720900 UYE720899:UYE720900 VIA720899:VIA720900 VRW720899:VRW720900 WBS720899:WBS720900 WLO720899:WLO720900 WVK720899:WVK720900 C786435:C786436 IY786435:IY786436 SU786435:SU786436 ACQ786435:ACQ786436 AMM786435:AMM786436 AWI786435:AWI786436 BGE786435:BGE786436 BQA786435:BQA786436 BZW786435:BZW786436 CJS786435:CJS786436 CTO786435:CTO786436 DDK786435:DDK786436 DNG786435:DNG786436 DXC786435:DXC786436 EGY786435:EGY786436 EQU786435:EQU786436 FAQ786435:FAQ786436 FKM786435:FKM786436 FUI786435:FUI786436 GEE786435:GEE786436 GOA786435:GOA786436 GXW786435:GXW786436 HHS786435:HHS786436 HRO786435:HRO786436 IBK786435:IBK786436 ILG786435:ILG786436 IVC786435:IVC786436 JEY786435:JEY786436 JOU786435:JOU786436 JYQ786435:JYQ786436 KIM786435:KIM786436 KSI786435:KSI786436 LCE786435:LCE786436 LMA786435:LMA786436 LVW786435:LVW786436 MFS786435:MFS786436 MPO786435:MPO786436 MZK786435:MZK786436 NJG786435:NJG786436 NTC786435:NTC786436 OCY786435:OCY786436 OMU786435:OMU786436 OWQ786435:OWQ786436 PGM786435:PGM786436 PQI786435:PQI786436 QAE786435:QAE786436 QKA786435:QKA786436 QTW786435:QTW786436 RDS786435:RDS786436 RNO786435:RNO786436 RXK786435:RXK786436 SHG786435:SHG786436 SRC786435:SRC786436 TAY786435:TAY786436 TKU786435:TKU786436 TUQ786435:TUQ786436 UEM786435:UEM786436 UOI786435:UOI786436 UYE786435:UYE786436 VIA786435:VIA786436 VRW786435:VRW786436 WBS786435:WBS786436 WLO786435:WLO786436 WVK786435:WVK786436 C851971:C851972 IY851971:IY851972 SU851971:SU851972 ACQ851971:ACQ851972 AMM851971:AMM851972 AWI851971:AWI851972 BGE851971:BGE851972 BQA851971:BQA851972 BZW851971:BZW851972 CJS851971:CJS851972 CTO851971:CTO851972 DDK851971:DDK851972 DNG851971:DNG851972 DXC851971:DXC851972 EGY851971:EGY851972 EQU851971:EQU851972 FAQ851971:FAQ851972 FKM851971:FKM851972 FUI851971:FUI851972 GEE851971:GEE851972 GOA851971:GOA851972 GXW851971:GXW851972 HHS851971:HHS851972 HRO851971:HRO851972 IBK851971:IBK851972 ILG851971:ILG851972 IVC851971:IVC851972 JEY851971:JEY851972 JOU851971:JOU851972 JYQ851971:JYQ851972 KIM851971:KIM851972 KSI851971:KSI851972 LCE851971:LCE851972 LMA851971:LMA851972 LVW851971:LVW851972 MFS851971:MFS851972 MPO851971:MPO851972 MZK851971:MZK851972 NJG851971:NJG851972 NTC851971:NTC851972 OCY851971:OCY851972 OMU851971:OMU851972 OWQ851971:OWQ851972 PGM851971:PGM851972 PQI851971:PQI851972 QAE851971:QAE851972 QKA851971:QKA851972 QTW851971:QTW851972 RDS851971:RDS851972 RNO851971:RNO851972 RXK851971:RXK851972 SHG851971:SHG851972 SRC851971:SRC851972 TAY851971:TAY851972 TKU851971:TKU851972 TUQ851971:TUQ851972 UEM851971:UEM851972 UOI851971:UOI851972 UYE851971:UYE851972 VIA851971:VIA851972 VRW851971:VRW851972 WBS851971:WBS851972 WLO851971:WLO851972 WVK851971:WVK851972 C917507:C917508 IY917507:IY917508 SU917507:SU917508 ACQ917507:ACQ917508 AMM917507:AMM917508 AWI917507:AWI917508 BGE917507:BGE917508 BQA917507:BQA917508 BZW917507:BZW917508 CJS917507:CJS917508 CTO917507:CTO917508 DDK917507:DDK917508 DNG917507:DNG917508 DXC917507:DXC917508 EGY917507:EGY917508 EQU917507:EQU917508 FAQ917507:FAQ917508 FKM917507:FKM917508 FUI917507:FUI917508 GEE917507:GEE917508 GOA917507:GOA917508 GXW917507:GXW917508 HHS917507:HHS917508 HRO917507:HRO917508 IBK917507:IBK917508 ILG917507:ILG917508 IVC917507:IVC917508 JEY917507:JEY917508 JOU917507:JOU917508 JYQ917507:JYQ917508 KIM917507:KIM917508 KSI917507:KSI917508 LCE917507:LCE917508 LMA917507:LMA917508 LVW917507:LVW917508 MFS917507:MFS917508 MPO917507:MPO917508 MZK917507:MZK917508 NJG917507:NJG917508 NTC917507:NTC917508 OCY917507:OCY917508 OMU917507:OMU917508 OWQ917507:OWQ917508 PGM917507:PGM917508 PQI917507:PQI917508 QAE917507:QAE917508 QKA917507:QKA917508 QTW917507:QTW917508 RDS917507:RDS917508 RNO917507:RNO917508 RXK917507:RXK917508 SHG917507:SHG917508 SRC917507:SRC917508 TAY917507:TAY917508 TKU917507:TKU917508 TUQ917507:TUQ917508 UEM917507:UEM917508 UOI917507:UOI917508 UYE917507:UYE917508 VIA917507:VIA917508 VRW917507:VRW917508 WBS917507:WBS917508 WLO917507:WLO917508 WVK917507:WVK917508 C3:C290 IY3:IY290 SU3:SU290 ACQ3:ACQ290 AMM3:AMM290 AWI3:AWI290 BGE3:BGE290 BQA3:BQA290 BZW3:BZW290 CJS3:CJS290 CTO3:CTO290 DDK3:DDK290 DNG3:DNG290 DXC3:DXC290 EGY3:EGY290 EQU3:EQU290 FAQ3:FAQ290 FKM3:FKM290 FUI3:FUI290 GEE3:GEE290 GOA3:GOA290 GXW3:GXW290 HHS3:HHS290 HRO3:HRO290 IBK3:IBK290 ILG3:ILG290 IVC3:IVC290 JEY3:JEY290 JOU3:JOU290 JYQ3:JYQ290 KIM3:KIM290 KSI3:KSI290 LCE3:LCE290 LMA3:LMA290 LVW3:LVW290 MFS3:MFS290 MPO3:MPO290 MZK3:MZK290 NJG3:NJG290 NTC3:NTC290 OCY3:OCY290 OMU3:OMU290 OWQ3:OWQ290 PGM3:PGM290 PQI3:PQI290 QAE3:QAE290 QKA3:QKA290 QTW3:QTW290 RDS3:RDS290 RNO3:RNO290 RXK3:RXK290 SHG3:SHG290 SRC3:SRC290 TAY3:TAY290 TKU3:TKU290 TUQ3:TUQ290 UEM3:UEM290 UOI3:UOI290 UYE3:UYE290 VIA3:VIA290 VRW3:VRW290 WBS3:WBS290 WLO3:WLO290 WVK3:WVK290" xr:uid="{00000000-0002-0000-0600-00000F000000}"/>
    <dataValidation allowBlank="1" showInputMessage="1" showErrorMessage="1" promptTitle="Vendor SKU" prompt="This is a unique identifier defined by you the supplier for your product." sqref="B983043:B983044 IX983043:IX983044 ST983043:ST983044 ACP983043:ACP983044 AML983043:AML983044 AWH983043:AWH983044 BGD983043:BGD983044 BPZ983043:BPZ983044 BZV983043:BZV983044 CJR983043:CJR983044 CTN983043:CTN983044 DDJ983043:DDJ983044 DNF983043:DNF983044 DXB983043:DXB983044 EGX983043:EGX983044 EQT983043:EQT983044 FAP983043:FAP983044 FKL983043:FKL983044 FUH983043:FUH983044 GED983043:GED983044 GNZ983043:GNZ983044 GXV983043:GXV983044 HHR983043:HHR983044 HRN983043:HRN983044 IBJ983043:IBJ983044 ILF983043:ILF983044 IVB983043:IVB983044 JEX983043:JEX983044 JOT983043:JOT983044 JYP983043:JYP983044 KIL983043:KIL983044 KSH983043:KSH983044 LCD983043:LCD983044 LLZ983043:LLZ983044 LVV983043:LVV983044 MFR983043:MFR983044 MPN983043:MPN983044 MZJ983043:MZJ983044 NJF983043:NJF983044 NTB983043:NTB983044 OCX983043:OCX983044 OMT983043:OMT983044 OWP983043:OWP983044 PGL983043:PGL983044 PQH983043:PQH983044 QAD983043:QAD983044 QJZ983043:QJZ983044 QTV983043:QTV983044 RDR983043:RDR983044 RNN983043:RNN983044 RXJ983043:RXJ983044 SHF983043:SHF983044 SRB983043:SRB983044 TAX983043:TAX983044 TKT983043:TKT983044 TUP983043:TUP983044 UEL983043:UEL983044 UOH983043:UOH983044 UYD983043:UYD983044 VHZ983043:VHZ983044 VRV983043:VRV983044 WBR983043:WBR983044 WLN983043:WLN983044 WVJ983043:WVJ983044 B65539:B65540 IX65539:IX65540 ST65539:ST65540 ACP65539:ACP65540 AML65539:AML65540 AWH65539:AWH65540 BGD65539:BGD65540 BPZ65539:BPZ65540 BZV65539:BZV65540 CJR65539:CJR65540 CTN65539:CTN65540 DDJ65539:DDJ65540 DNF65539:DNF65540 DXB65539:DXB65540 EGX65539:EGX65540 EQT65539:EQT65540 FAP65539:FAP65540 FKL65539:FKL65540 FUH65539:FUH65540 GED65539:GED65540 GNZ65539:GNZ65540 GXV65539:GXV65540 HHR65539:HHR65540 HRN65539:HRN65540 IBJ65539:IBJ65540 ILF65539:ILF65540 IVB65539:IVB65540 JEX65539:JEX65540 JOT65539:JOT65540 JYP65539:JYP65540 KIL65539:KIL65540 KSH65539:KSH65540 LCD65539:LCD65540 LLZ65539:LLZ65540 LVV65539:LVV65540 MFR65539:MFR65540 MPN65539:MPN65540 MZJ65539:MZJ65540 NJF65539:NJF65540 NTB65539:NTB65540 OCX65539:OCX65540 OMT65539:OMT65540 OWP65539:OWP65540 PGL65539:PGL65540 PQH65539:PQH65540 QAD65539:QAD65540 QJZ65539:QJZ65540 QTV65539:QTV65540 RDR65539:RDR65540 RNN65539:RNN65540 RXJ65539:RXJ65540 SHF65539:SHF65540 SRB65539:SRB65540 TAX65539:TAX65540 TKT65539:TKT65540 TUP65539:TUP65540 UEL65539:UEL65540 UOH65539:UOH65540 UYD65539:UYD65540 VHZ65539:VHZ65540 VRV65539:VRV65540 WBR65539:WBR65540 WLN65539:WLN65540 WVJ65539:WVJ65540 B131075:B131076 IX131075:IX131076 ST131075:ST131076 ACP131075:ACP131076 AML131075:AML131076 AWH131075:AWH131076 BGD131075:BGD131076 BPZ131075:BPZ131076 BZV131075:BZV131076 CJR131075:CJR131076 CTN131075:CTN131076 DDJ131075:DDJ131076 DNF131075:DNF131076 DXB131075:DXB131076 EGX131075:EGX131076 EQT131075:EQT131076 FAP131075:FAP131076 FKL131075:FKL131076 FUH131075:FUH131076 GED131075:GED131076 GNZ131075:GNZ131076 GXV131075:GXV131076 HHR131075:HHR131076 HRN131075:HRN131076 IBJ131075:IBJ131076 ILF131075:ILF131076 IVB131075:IVB131076 JEX131075:JEX131076 JOT131075:JOT131076 JYP131075:JYP131076 KIL131075:KIL131076 KSH131075:KSH131076 LCD131075:LCD131076 LLZ131075:LLZ131076 LVV131075:LVV131076 MFR131075:MFR131076 MPN131075:MPN131076 MZJ131075:MZJ131076 NJF131075:NJF131076 NTB131075:NTB131076 OCX131075:OCX131076 OMT131075:OMT131076 OWP131075:OWP131076 PGL131075:PGL131076 PQH131075:PQH131076 QAD131075:QAD131076 QJZ131075:QJZ131076 QTV131075:QTV131076 RDR131075:RDR131076 RNN131075:RNN131076 RXJ131075:RXJ131076 SHF131075:SHF131076 SRB131075:SRB131076 TAX131075:TAX131076 TKT131075:TKT131076 TUP131075:TUP131076 UEL131075:UEL131076 UOH131075:UOH131076 UYD131075:UYD131076 VHZ131075:VHZ131076 VRV131075:VRV131076 WBR131075:WBR131076 WLN131075:WLN131076 WVJ131075:WVJ131076 B196611:B196612 IX196611:IX196612 ST196611:ST196612 ACP196611:ACP196612 AML196611:AML196612 AWH196611:AWH196612 BGD196611:BGD196612 BPZ196611:BPZ196612 BZV196611:BZV196612 CJR196611:CJR196612 CTN196611:CTN196612 DDJ196611:DDJ196612 DNF196611:DNF196612 DXB196611:DXB196612 EGX196611:EGX196612 EQT196611:EQT196612 FAP196611:FAP196612 FKL196611:FKL196612 FUH196611:FUH196612 GED196611:GED196612 GNZ196611:GNZ196612 GXV196611:GXV196612 HHR196611:HHR196612 HRN196611:HRN196612 IBJ196611:IBJ196612 ILF196611:ILF196612 IVB196611:IVB196612 JEX196611:JEX196612 JOT196611:JOT196612 JYP196611:JYP196612 KIL196611:KIL196612 KSH196611:KSH196612 LCD196611:LCD196612 LLZ196611:LLZ196612 LVV196611:LVV196612 MFR196611:MFR196612 MPN196611:MPN196612 MZJ196611:MZJ196612 NJF196611:NJF196612 NTB196611:NTB196612 OCX196611:OCX196612 OMT196611:OMT196612 OWP196611:OWP196612 PGL196611:PGL196612 PQH196611:PQH196612 QAD196611:QAD196612 QJZ196611:QJZ196612 QTV196611:QTV196612 RDR196611:RDR196612 RNN196611:RNN196612 RXJ196611:RXJ196612 SHF196611:SHF196612 SRB196611:SRB196612 TAX196611:TAX196612 TKT196611:TKT196612 TUP196611:TUP196612 UEL196611:UEL196612 UOH196611:UOH196612 UYD196611:UYD196612 VHZ196611:VHZ196612 VRV196611:VRV196612 WBR196611:WBR196612 WLN196611:WLN196612 WVJ196611:WVJ196612 B262147:B262148 IX262147:IX262148 ST262147:ST262148 ACP262147:ACP262148 AML262147:AML262148 AWH262147:AWH262148 BGD262147:BGD262148 BPZ262147:BPZ262148 BZV262147:BZV262148 CJR262147:CJR262148 CTN262147:CTN262148 DDJ262147:DDJ262148 DNF262147:DNF262148 DXB262147:DXB262148 EGX262147:EGX262148 EQT262147:EQT262148 FAP262147:FAP262148 FKL262147:FKL262148 FUH262147:FUH262148 GED262147:GED262148 GNZ262147:GNZ262148 GXV262147:GXV262148 HHR262147:HHR262148 HRN262147:HRN262148 IBJ262147:IBJ262148 ILF262147:ILF262148 IVB262147:IVB262148 JEX262147:JEX262148 JOT262147:JOT262148 JYP262147:JYP262148 KIL262147:KIL262148 KSH262147:KSH262148 LCD262147:LCD262148 LLZ262147:LLZ262148 LVV262147:LVV262148 MFR262147:MFR262148 MPN262147:MPN262148 MZJ262147:MZJ262148 NJF262147:NJF262148 NTB262147:NTB262148 OCX262147:OCX262148 OMT262147:OMT262148 OWP262147:OWP262148 PGL262147:PGL262148 PQH262147:PQH262148 QAD262147:QAD262148 QJZ262147:QJZ262148 QTV262147:QTV262148 RDR262147:RDR262148 RNN262147:RNN262148 RXJ262147:RXJ262148 SHF262147:SHF262148 SRB262147:SRB262148 TAX262147:TAX262148 TKT262147:TKT262148 TUP262147:TUP262148 UEL262147:UEL262148 UOH262147:UOH262148 UYD262147:UYD262148 VHZ262147:VHZ262148 VRV262147:VRV262148 WBR262147:WBR262148 WLN262147:WLN262148 WVJ262147:WVJ262148 B327683:B327684 IX327683:IX327684 ST327683:ST327684 ACP327683:ACP327684 AML327683:AML327684 AWH327683:AWH327684 BGD327683:BGD327684 BPZ327683:BPZ327684 BZV327683:BZV327684 CJR327683:CJR327684 CTN327683:CTN327684 DDJ327683:DDJ327684 DNF327683:DNF327684 DXB327683:DXB327684 EGX327683:EGX327684 EQT327683:EQT327684 FAP327683:FAP327684 FKL327683:FKL327684 FUH327683:FUH327684 GED327683:GED327684 GNZ327683:GNZ327684 GXV327683:GXV327684 HHR327683:HHR327684 HRN327683:HRN327684 IBJ327683:IBJ327684 ILF327683:ILF327684 IVB327683:IVB327684 JEX327683:JEX327684 JOT327683:JOT327684 JYP327683:JYP327684 KIL327683:KIL327684 KSH327683:KSH327684 LCD327683:LCD327684 LLZ327683:LLZ327684 LVV327683:LVV327684 MFR327683:MFR327684 MPN327683:MPN327684 MZJ327683:MZJ327684 NJF327683:NJF327684 NTB327683:NTB327684 OCX327683:OCX327684 OMT327683:OMT327684 OWP327683:OWP327684 PGL327683:PGL327684 PQH327683:PQH327684 QAD327683:QAD327684 QJZ327683:QJZ327684 QTV327683:QTV327684 RDR327683:RDR327684 RNN327683:RNN327684 RXJ327683:RXJ327684 SHF327683:SHF327684 SRB327683:SRB327684 TAX327683:TAX327684 TKT327683:TKT327684 TUP327683:TUP327684 UEL327683:UEL327684 UOH327683:UOH327684 UYD327683:UYD327684 VHZ327683:VHZ327684 VRV327683:VRV327684 WBR327683:WBR327684 WLN327683:WLN327684 WVJ327683:WVJ327684 B393219:B393220 IX393219:IX393220 ST393219:ST393220 ACP393219:ACP393220 AML393219:AML393220 AWH393219:AWH393220 BGD393219:BGD393220 BPZ393219:BPZ393220 BZV393219:BZV393220 CJR393219:CJR393220 CTN393219:CTN393220 DDJ393219:DDJ393220 DNF393219:DNF393220 DXB393219:DXB393220 EGX393219:EGX393220 EQT393219:EQT393220 FAP393219:FAP393220 FKL393219:FKL393220 FUH393219:FUH393220 GED393219:GED393220 GNZ393219:GNZ393220 GXV393219:GXV393220 HHR393219:HHR393220 HRN393219:HRN393220 IBJ393219:IBJ393220 ILF393219:ILF393220 IVB393219:IVB393220 JEX393219:JEX393220 JOT393219:JOT393220 JYP393219:JYP393220 KIL393219:KIL393220 KSH393219:KSH393220 LCD393219:LCD393220 LLZ393219:LLZ393220 LVV393219:LVV393220 MFR393219:MFR393220 MPN393219:MPN393220 MZJ393219:MZJ393220 NJF393219:NJF393220 NTB393219:NTB393220 OCX393219:OCX393220 OMT393219:OMT393220 OWP393219:OWP393220 PGL393219:PGL393220 PQH393219:PQH393220 QAD393219:QAD393220 QJZ393219:QJZ393220 QTV393219:QTV393220 RDR393219:RDR393220 RNN393219:RNN393220 RXJ393219:RXJ393220 SHF393219:SHF393220 SRB393219:SRB393220 TAX393219:TAX393220 TKT393219:TKT393220 TUP393219:TUP393220 UEL393219:UEL393220 UOH393219:UOH393220 UYD393219:UYD393220 VHZ393219:VHZ393220 VRV393219:VRV393220 WBR393219:WBR393220 WLN393219:WLN393220 WVJ393219:WVJ393220 B458755:B458756 IX458755:IX458756 ST458755:ST458756 ACP458755:ACP458756 AML458755:AML458756 AWH458755:AWH458756 BGD458755:BGD458756 BPZ458755:BPZ458756 BZV458755:BZV458756 CJR458755:CJR458756 CTN458755:CTN458756 DDJ458755:DDJ458756 DNF458755:DNF458756 DXB458755:DXB458756 EGX458755:EGX458756 EQT458755:EQT458756 FAP458755:FAP458756 FKL458755:FKL458756 FUH458755:FUH458756 GED458755:GED458756 GNZ458755:GNZ458756 GXV458755:GXV458756 HHR458755:HHR458756 HRN458755:HRN458756 IBJ458755:IBJ458756 ILF458755:ILF458756 IVB458755:IVB458756 JEX458755:JEX458756 JOT458755:JOT458756 JYP458755:JYP458756 KIL458755:KIL458756 KSH458755:KSH458756 LCD458755:LCD458756 LLZ458755:LLZ458756 LVV458755:LVV458756 MFR458755:MFR458756 MPN458755:MPN458756 MZJ458755:MZJ458756 NJF458755:NJF458756 NTB458755:NTB458756 OCX458755:OCX458756 OMT458755:OMT458756 OWP458755:OWP458756 PGL458755:PGL458756 PQH458755:PQH458756 QAD458755:QAD458756 QJZ458755:QJZ458756 QTV458755:QTV458756 RDR458755:RDR458756 RNN458755:RNN458756 RXJ458755:RXJ458756 SHF458755:SHF458756 SRB458755:SRB458756 TAX458755:TAX458756 TKT458755:TKT458756 TUP458755:TUP458756 UEL458755:UEL458756 UOH458755:UOH458756 UYD458755:UYD458756 VHZ458755:VHZ458756 VRV458755:VRV458756 WBR458755:WBR458756 WLN458755:WLN458756 WVJ458755:WVJ458756 B524291:B524292 IX524291:IX524292 ST524291:ST524292 ACP524291:ACP524292 AML524291:AML524292 AWH524291:AWH524292 BGD524291:BGD524292 BPZ524291:BPZ524292 BZV524291:BZV524292 CJR524291:CJR524292 CTN524291:CTN524292 DDJ524291:DDJ524292 DNF524291:DNF524292 DXB524291:DXB524292 EGX524291:EGX524292 EQT524291:EQT524292 FAP524291:FAP524292 FKL524291:FKL524292 FUH524291:FUH524292 GED524291:GED524292 GNZ524291:GNZ524292 GXV524291:GXV524292 HHR524291:HHR524292 HRN524291:HRN524292 IBJ524291:IBJ524292 ILF524291:ILF524292 IVB524291:IVB524292 JEX524291:JEX524292 JOT524291:JOT524292 JYP524291:JYP524292 KIL524291:KIL524292 KSH524291:KSH524292 LCD524291:LCD524292 LLZ524291:LLZ524292 LVV524291:LVV524292 MFR524291:MFR524292 MPN524291:MPN524292 MZJ524291:MZJ524292 NJF524291:NJF524292 NTB524291:NTB524292 OCX524291:OCX524292 OMT524291:OMT524292 OWP524291:OWP524292 PGL524291:PGL524292 PQH524291:PQH524292 QAD524291:QAD524292 QJZ524291:QJZ524292 QTV524291:QTV524292 RDR524291:RDR524292 RNN524291:RNN524292 RXJ524291:RXJ524292 SHF524291:SHF524292 SRB524291:SRB524292 TAX524291:TAX524292 TKT524291:TKT524292 TUP524291:TUP524292 UEL524291:UEL524292 UOH524291:UOH524292 UYD524291:UYD524292 VHZ524291:VHZ524292 VRV524291:VRV524292 WBR524291:WBR524292 WLN524291:WLN524292 WVJ524291:WVJ524292 B589827:B589828 IX589827:IX589828 ST589827:ST589828 ACP589827:ACP589828 AML589827:AML589828 AWH589827:AWH589828 BGD589827:BGD589828 BPZ589827:BPZ589828 BZV589827:BZV589828 CJR589827:CJR589828 CTN589827:CTN589828 DDJ589827:DDJ589828 DNF589827:DNF589828 DXB589827:DXB589828 EGX589827:EGX589828 EQT589827:EQT589828 FAP589827:FAP589828 FKL589827:FKL589828 FUH589827:FUH589828 GED589827:GED589828 GNZ589827:GNZ589828 GXV589827:GXV589828 HHR589827:HHR589828 HRN589827:HRN589828 IBJ589827:IBJ589828 ILF589827:ILF589828 IVB589827:IVB589828 JEX589827:JEX589828 JOT589827:JOT589828 JYP589827:JYP589828 KIL589827:KIL589828 KSH589827:KSH589828 LCD589827:LCD589828 LLZ589827:LLZ589828 LVV589827:LVV589828 MFR589827:MFR589828 MPN589827:MPN589828 MZJ589827:MZJ589828 NJF589827:NJF589828 NTB589827:NTB589828 OCX589827:OCX589828 OMT589827:OMT589828 OWP589827:OWP589828 PGL589827:PGL589828 PQH589827:PQH589828 QAD589827:QAD589828 QJZ589827:QJZ589828 QTV589827:QTV589828 RDR589827:RDR589828 RNN589827:RNN589828 RXJ589827:RXJ589828 SHF589827:SHF589828 SRB589827:SRB589828 TAX589827:TAX589828 TKT589827:TKT589828 TUP589827:TUP589828 UEL589827:UEL589828 UOH589827:UOH589828 UYD589827:UYD589828 VHZ589827:VHZ589828 VRV589827:VRV589828 WBR589827:WBR589828 WLN589827:WLN589828 WVJ589827:WVJ589828 B655363:B655364 IX655363:IX655364 ST655363:ST655364 ACP655363:ACP655364 AML655363:AML655364 AWH655363:AWH655364 BGD655363:BGD655364 BPZ655363:BPZ655364 BZV655363:BZV655364 CJR655363:CJR655364 CTN655363:CTN655364 DDJ655363:DDJ655364 DNF655363:DNF655364 DXB655363:DXB655364 EGX655363:EGX655364 EQT655363:EQT655364 FAP655363:FAP655364 FKL655363:FKL655364 FUH655363:FUH655364 GED655363:GED655364 GNZ655363:GNZ655364 GXV655363:GXV655364 HHR655363:HHR655364 HRN655363:HRN655364 IBJ655363:IBJ655364 ILF655363:ILF655364 IVB655363:IVB655364 JEX655363:JEX655364 JOT655363:JOT655364 JYP655363:JYP655364 KIL655363:KIL655364 KSH655363:KSH655364 LCD655363:LCD655364 LLZ655363:LLZ655364 LVV655363:LVV655364 MFR655363:MFR655364 MPN655363:MPN655364 MZJ655363:MZJ655364 NJF655363:NJF655364 NTB655363:NTB655364 OCX655363:OCX655364 OMT655363:OMT655364 OWP655363:OWP655364 PGL655363:PGL655364 PQH655363:PQH655364 QAD655363:QAD655364 QJZ655363:QJZ655364 QTV655363:QTV655364 RDR655363:RDR655364 RNN655363:RNN655364 RXJ655363:RXJ655364 SHF655363:SHF655364 SRB655363:SRB655364 TAX655363:TAX655364 TKT655363:TKT655364 TUP655363:TUP655364 UEL655363:UEL655364 UOH655363:UOH655364 UYD655363:UYD655364 VHZ655363:VHZ655364 VRV655363:VRV655364 WBR655363:WBR655364 WLN655363:WLN655364 WVJ655363:WVJ655364 B720899:B720900 IX720899:IX720900 ST720899:ST720900 ACP720899:ACP720900 AML720899:AML720900 AWH720899:AWH720900 BGD720899:BGD720900 BPZ720899:BPZ720900 BZV720899:BZV720900 CJR720899:CJR720900 CTN720899:CTN720900 DDJ720899:DDJ720900 DNF720899:DNF720900 DXB720899:DXB720900 EGX720899:EGX720900 EQT720899:EQT720900 FAP720899:FAP720900 FKL720899:FKL720900 FUH720899:FUH720900 GED720899:GED720900 GNZ720899:GNZ720900 GXV720899:GXV720900 HHR720899:HHR720900 HRN720899:HRN720900 IBJ720899:IBJ720900 ILF720899:ILF720900 IVB720899:IVB720900 JEX720899:JEX720900 JOT720899:JOT720900 JYP720899:JYP720900 KIL720899:KIL720900 KSH720899:KSH720900 LCD720899:LCD720900 LLZ720899:LLZ720900 LVV720899:LVV720900 MFR720899:MFR720900 MPN720899:MPN720900 MZJ720899:MZJ720900 NJF720899:NJF720900 NTB720899:NTB720900 OCX720899:OCX720900 OMT720899:OMT720900 OWP720899:OWP720900 PGL720899:PGL720900 PQH720899:PQH720900 QAD720899:QAD720900 QJZ720899:QJZ720900 QTV720899:QTV720900 RDR720899:RDR720900 RNN720899:RNN720900 RXJ720899:RXJ720900 SHF720899:SHF720900 SRB720899:SRB720900 TAX720899:TAX720900 TKT720899:TKT720900 TUP720899:TUP720900 UEL720899:UEL720900 UOH720899:UOH720900 UYD720899:UYD720900 VHZ720899:VHZ720900 VRV720899:VRV720900 WBR720899:WBR720900 WLN720899:WLN720900 WVJ720899:WVJ720900 B786435:B786436 IX786435:IX786436 ST786435:ST786436 ACP786435:ACP786436 AML786435:AML786436 AWH786435:AWH786436 BGD786435:BGD786436 BPZ786435:BPZ786436 BZV786435:BZV786436 CJR786435:CJR786436 CTN786435:CTN786436 DDJ786435:DDJ786436 DNF786435:DNF786436 DXB786435:DXB786436 EGX786435:EGX786436 EQT786435:EQT786436 FAP786435:FAP786436 FKL786435:FKL786436 FUH786435:FUH786436 GED786435:GED786436 GNZ786435:GNZ786436 GXV786435:GXV786436 HHR786435:HHR786436 HRN786435:HRN786436 IBJ786435:IBJ786436 ILF786435:ILF786436 IVB786435:IVB786436 JEX786435:JEX786436 JOT786435:JOT786436 JYP786435:JYP786436 KIL786435:KIL786436 KSH786435:KSH786436 LCD786435:LCD786436 LLZ786435:LLZ786436 LVV786435:LVV786436 MFR786435:MFR786436 MPN786435:MPN786436 MZJ786435:MZJ786436 NJF786435:NJF786436 NTB786435:NTB786436 OCX786435:OCX786436 OMT786435:OMT786436 OWP786435:OWP786436 PGL786435:PGL786436 PQH786435:PQH786436 QAD786435:QAD786436 QJZ786435:QJZ786436 QTV786435:QTV786436 RDR786435:RDR786436 RNN786435:RNN786436 RXJ786435:RXJ786436 SHF786435:SHF786436 SRB786435:SRB786436 TAX786435:TAX786436 TKT786435:TKT786436 TUP786435:TUP786436 UEL786435:UEL786436 UOH786435:UOH786436 UYD786435:UYD786436 VHZ786435:VHZ786436 VRV786435:VRV786436 WBR786435:WBR786436 WLN786435:WLN786436 WVJ786435:WVJ786436 B851971:B851972 IX851971:IX851972 ST851971:ST851972 ACP851971:ACP851972 AML851971:AML851972 AWH851971:AWH851972 BGD851971:BGD851972 BPZ851971:BPZ851972 BZV851971:BZV851972 CJR851971:CJR851972 CTN851971:CTN851972 DDJ851971:DDJ851972 DNF851971:DNF851972 DXB851971:DXB851972 EGX851971:EGX851972 EQT851971:EQT851972 FAP851971:FAP851972 FKL851971:FKL851972 FUH851971:FUH851972 GED851971:GED851972 GNZ851971:GNZ851972 GXV851971:GXV851972 HHR851971:HHR851972 HRN851971:HRN851972 IBJ851971:IBJ851972 ILF851971:ILF851972 IVB851971:IVB851972 JEX851971:JEX851972 JOT851971:JOT851972 JYP851971:JYP851972 KIL851971:KIL851972 KSH851971:KSH851972 LCD851971:LCD851972 LLZ851971:LLZ851972 LVV851971:LVV851972 MFR851971:MFR851972 MPN851971:MPN851972 MZJ851971:MZJ851972 NJF851971:NJF851972 NTB851971:NTB851972 OCX851971:OCX851972 OMT851971:OMT851972 OWP851971:OWP851972 PGL851971:PGL851972 PQH851971:PQH851972 QAD851971:QAD851972 QJZ851971:QJZ851972 QTV851971:QTV851972 RDR851971:RDR851972 RNN851971:RNN851972 RXJ851971:RXJ851972 SHF851971:SHF851972 SRB851971:SRB851972 TAX851971:TAX851972 TKT851971:TKT851972 TUP851971:TUP851972 UEL851971:UEL851972 UOH851971:UOH851972 UYD851971:UYD851972 VHZ851971:VHZ851972 VRV851971:VRV851972 WBR851971:WBR851972 WLN851971:WLN851972 WVJ851971:WVJ851972 B917507:B917508 IX917507:IX917508 ST917507:ST917508 ACP917507:ACP917508 AML917507:AML917508 AWH917507:AWH917508 BGD917507:BGD917508 BPZ917507:BPZ917508 BZV917507:BZV917508 CJR917507:CJR917508 CTN917507:CTN917508 DDJ917507:DDJ917508 DNF917507:DNF917508 DXB917507:DXB917508 EGX917507:EGX917508 EQT917507:EQT917508 FAP917507:FAP917508 FKL917507:FKL917508 FUH917507:FUH917508 GED917507:GED917508 GNZ917507:GNZ917508 GXV917507:GXV917508 HHR917507:HHR917508 HRN917507:HRN917508 IBJ917507:IBJ917508 ILF917507:ILF917508 IVB917507:IVB917508 JEX917507:JEX917508 JOT917507:JOT917508 JYP917507:JYP917508 KIL917507:KIL917508 KSH917507:KSH917508 LCD917507:LCD917508 LLZ917507:LLZ917508 LVV917507:LVV917508 MFR917507:MFR917508 MPN917507:MPN917508 MZJ917507:MZJ917508 NJF917507:NJF917508 NTB917507:NTB917508 OCX917507:OCX917508 OMT917507:OMT917508 OWP917507:OWP917508 PGL917507:PGL917508 PQH917507:PQH917508 QAD917507:QAD917508 QJZ917507:QJZ917508 QTV917507:QTV917508 RDR917507:RDR917508 RNN917507:RNN917508 RXJ917507:RXJ917508 SHF917507:SHF917508 SRB917507:SRB917508 TAX917507:TAX917508 TKT917507:TKT917508 TUP917507:TUP917508 UEL917507:UEL917508 UOH917507:UOH917508 UYD917507:UYD917508 VHZ917507:VHZ917508 VRV917507:VRV917508 WBR917507:WBR917508 WLN917507:WLN917508 WVJ917507:WVJ917508" xr:uid="{00000000-0002-0000-0600-000010000000}"/>
    <dataValidation allowBlank="1" showInputMessage="1" showErrorMessage="1" promptTitle="File Type" prompt="This is a hard coded value of 'IN' for each row." sqref="A983043:A983044 IW983043:IW983044 SS983043:SS983044 ACO983043:ACO983044 AMK983043:AMK983044 AWG983043:AWG983044 BGC983043:BGC983044 BPY983043:BPY983044 BZU983043:BZU983044 CJQ983043:CJQ983044 CTM983043:CTM983044 DDI983043:DDI983044 DNE983043:DNE983044 DXA983043:DXA983044 EGW983043:EGW983044 EQS983043:EQS983044 FAO983043:FAO983044 FKK983043:FKK983044 FUG983043:FUG983044 GEC983043:GEC983044 GNY983043:GNY983044 GXU983043:GXU983044 HHQ983043:HHQ983044 HRM983043:HRM983044 IBI983043:IBI983044 ILE983043:ILE983044 IVA983043:IVA983044 JEW983043:JEW983044 JOS983043:JOS983044 JYO983043:JYO983044 KIK983043:KIK983044 KSG983043:KSG983044 LCC983043:LCC983044 LLY983043:LLY983044 LVU983043:LVU983044 MFQ983043:MFQ983044 MPM983043:MPM983044 MZI983043:MZI983044 NJE983043:NJE983044 NTA983043:NTA983044 OCW983043:OCW983044 OMS983043:OMS983044 OWO983043:OWO983044 PGK983043:PGK983044 PQG983043:PQG983044 QAC983043:QAC983044 QJY983043:QJY983044 QTU983043:QTU983044 RDQ983043:RDQ983044 RNM983043:RNM983044 RXI983043:RXI983044 SHE983043:SHE983044 SRA983043:SRA983044 TAW983043:TAW983044 TKS983043:TKS983044 TUO983043:TUO983044 UEK983043:UEK983044 UOG983043:UOG983044 UYC983043:UYC983044 VHY983043:VHY983044 VRU983043:VRU983044 WBQ983043:WBQ983044 WLM983043:WLM983044 WVI983043:WVI983044 A65539:A65540 IW65539:IW65540 SS65539:SS65540 ACO65539:ACO65540 AMK65539:AMK65540 AWG65539:AWG65540 BGC65539:BGC65540 BPY65539:BPY65540 BZU65539:BZU65540 CJQ65539:CJQ65540 CTM65539:CTM65540 DDI65539:DDI65540 DNE65539:DNE65540 DXA65539:DXA65540 EGW65539:EGW65540 EQS65539:EQS65540 FAO65539:FAO65540 FKK65539:FKK65540 FUG65539:FUG65540 GEC65539:GEC65540 GNY65539:GNY65540 GXU65539:GXU65540 HHQ65539:HHQ65540 HRM65539:HRM65540 IBI65539:IBI65540 ILE65539:ILE65540 IVA65539:IVA65540 JEW65539:JEW65540 JOS65539:JOS65540 JYO65539:JYO65540 KIK65539:KIK65540 KSG65539:KSG65540 LCC65539:LCC65540 LLY65539:LLY65540 LVU65539:LVU65540 MFQ65539:MFQ65540 MPM65539:MPM65540 MZI65539:MZI65540 NJE65539:NJE65540 NTA65539:NTA65540 OCW65539:OCW65540 OMS65539:OMS65540 OWO65539:OWO65540 PGK65539:PGK65540 PQG65539:PQG65540 QAC65539:QAC65540 QJY65539:QJY65540 QTU65539:QTU65540 RDQ65539:RDQ65540 RNM65539:RNM65540 RXI65539:RXI65540 SHE65539:SHE65540 SRA65539:SRA65540 TAW65539:TAW65540 TKS65539:TKS65540 TUO65539:TUO65540 UEK65539:UEK65540 UOG65539:UOG65540 UYC65539:UYC65540 VHY65539:VHY65540 VRU65539:VRU65540 WBQ65539:WBQ65540 WLM65539:WLM65540 WVI65539:WVI65540 A131075:A131076 IW131075:IW131076 SS131075:SS131076 ACO131075:ACO131076 AMK131075:AMK131076 AWG131075:AWG131076 BGC131075:BGC131076 BPY131075:BPY131076 BZU131075:BZU131076 CJQ131075:CJQ131076 CTM131075:CTM131076 DDI131075:DDI131076 DNE131075:DNE131076 DXA131075:DXA131076 EGW131075:EGW131076 EQS131075:EQS131076 FAO131075:FAO131076 FKK131075:FKK131076 FUG131075:FUG131076 GEC131075:GEC131076 GNY131075:GNY131076 GXU131075:GXU131076 HHQ131075:HHQ131076 HRM131075:HRM131076 IBI131075:IBI131076 ILE131075:ILE131076 IVA131075:IVA131076 JEW131075:JEW131076 JOS131075:JOS131076 JYO131075:JYO131076 KIK131075:KIK131076 KSG131075:KSG131076 LCC131075:LCC131076 LLY131075:LLY131076 LVU131075:LVU131076 MFQ131075:MFQ131076 MPM131075:MPM131076 MZI131075:MZI131076 NJE131075:NJE131076 NTA131075:NTA131076 OCW131075:OCW131076 OMS131075:OMS131076 OWO131075:OWO131076 PGK131075:PGK131076 PQG131075:PQG131076 QAC131075:QAC131076 QJY131075:QJY131076 QTU131075:QTU131076 RDQ131075:RDQ131076 RNM131075:RNM131076 RXI131075:RXI131076 SHE131075:SHE131076 SRA131075:SRA131076 TAW131075:TAW131076 TKS131075:TKS131076 TUO131075:TUO131076 UEK131075:UEK131076 UOG131075:UOG131076 UYC131075:UYC131076 VHY131075:VHY131076 VRU131075:VRU131076 WBQ131075:WBQ131076 WLM131075:WLM131076 WVI131075:WVI131076 A196611:A196612 IW196611:IW196612 SS196611:SS196612 ACO196611:ACO196612 AMK196611:AMK196612 AWG196611:AWG196612 BGC196611:BGC196612 BPY196611:BPY196612 BZU196611:BZU196612 CJQ196611:CJQ196612 CTM196611:CTM196612 DDI196611:DDI196612 DNE196611:DNE196612 DXA196611:DXA196612 EGW196611:EGW196612 EQS196611:EQS196612 FAO196611:FAO196612 FKK196611:FKK196612 FUG196611:FUG196612 GEC196611:GEC196612 GNY196611:GNY196612 GXU196611:GXU196612 HHQ196611:HHQ196612 HRM196611:HRM196612 IBI196611:IBI196612 ILE196611:ILE196612 IVA196611:IVA196612 JEW196611:JEW196612 JOS196611:JOS196612 JYO196611:JYO196612 KIK196611:KIK196612 KSG196611:KSG196612 LCC196611:LCC196612 LLY196611:LLY196612 LVU196611:LVU196612 MFQ196611:MFQ196612 MPM196611:MPM196612 MZI196611:MZI196612 NJE196611:NJE196612 NTA196611:NTA196612 OCW196611:OCW196612 OMS196611:OMS196612 OWO196611:OWO196612 PGK196611:PGK196612 PQG196611:PQG196612 QAC196611:QAC196612 QJY196611:QJY196612 QTU196611:QTU196612 RDQ196611:RDQ196612 RNM196611:RNM196612 RXI196611:RXI196612 SHE196611:SHE196612 SRA196611:SRA196612 TAW196611:TAW196612 TKS196611:TKS196612 TUO196611:TUO196612 UEK196611:UEK196612 UOG196611:UOG196612 UYC196611:UYC196612 VHY196611:VHY196612 VRU196611:VRU196612 WBQ196611:WBQ196612 WLM196611:WLM196612 WVI196611:WVI196612 A262147:A262148 IW262147:IW262148 SS262147:SS262148 ACO262147:ACO262148 AMK262147:AMK262148 AWG262147:AWG262148 BGC262147:BGC262148 BPY262147:BPY262148 BZU262147:BZU262148 CJQ262147:CJQ262148 CTM262147:CTM262148 DDI262147:DDI262148 DNE262147:DNE262148 DXA262147:DXA262148 EGW262147:EGW262148 EQS262147:EQS262148 FAO262147:FAO262148 FKK262147:FKK262148 FUG262147:FUG262148 GEC262147:GEC262148 GNY262147:GNY262148 GXU262147:GXU262148 HHQ262147:HHQ262148 HRM262147:HRM262148 IBI262147:IBI262148 ILE262147:ILE262148 IVA262147:IVA262148 JEW262147:JEW262148 JOS262147:JOS262148 JYO262147:JYO262148 KIK262147:KIK262148 KSG262147:KSG262148 LCC262147:LCC262148 LLY262147:LLY262148 LVU262147:LVU262148 MFQ262147:MFQ262148 MPM262147:MPM262148 MZI262147:MZI262148 NJE262147:NJE262148 NTA262147:NTA262148 OCW262147:OCW262148 OMS262147:OMS262148 OWO262147:OWO262148 PGK262147:PGK262148 PQG262147:PQG262148 QAC262147:QAC262148 QJY262147:QJY262148 QTU262147:QTU262148 RDQ262147:RDQ262148 RNM262147:RNM262148 RXI262147:RXI262148 SHE262147:SHE262148 SRA262147:SRA262148 TAW262147:TAW262148 TKS262147:TKS262148 TUO262147:TUO262148 UEK262147:UEK262148 UOG262147:UOG262148 UYC262147:UYC262148 VHY262147:VHY262148 VRU262147:VRU262148 WBQ262147:WBQ262148 WLM262147:WLM262148 WVI262147:WVI262148 A327683:A327684 IW327683:IW327684 SS327683:SS327684 ACO327683:ACO327684 AMK327683:AMK327684 AWG327683:AWG327684 BGC327683:BGC327684 BPY327683:BPY327684 BZU327683:BZU327684 CJQ327683:CJQ327684 CTM327683:CTM327684 DDI327683:DDI327684 DNE327683:DNE327684 DXA327683:DXA327684 EGW327683:EGW327684 EQS327683:EQS327684 FAO327683:FAO327684 FKK327683:FKK327684 FUG327683:FUG327684 GEC327683:GEC327684 GNY327683:GNY327684 GXU327683:GXU327684 HHQ327683:HHQ327684 HRM327683:HRM327684 IBI327683:IBI327684 ILE327683:ILE327684 IVA327683:IVA327684 JEW327683:JEW327684 JOS327683:JOS327684 JYO327683:JYO327684 KIK327683:KIK327684 KSG327683:KSG327684 LCC327683:LCC327684 LLY327683:LLY327684 LVU327683:LVU327684 MFQ327683:MFQ327684 MPM327683:MPM327684 MZI327683:MZI327684 NJE327683:NJE327684 NTA327683:NTA327684 OCW327683:OCW327684 OMS327683:OMS327684 OWO327683:OWO327684 PGK327683:PGK327684 PQG327683:PQG327684 QAC327683:QAC327684 QJY327683:QJY327684 QTU327683:QTU327684 RDQ327683:RDQ327684 RNM327683:RNM327684 RXI327683:RXI327684 SHE327683:SHE327684 SRA327683:SRA327684 TAW327683:TAW327684 TKS327683:TKS327684 TUO327683:TUO327684 UEK327683:UEK327684 UOG327683:UOG327684 UYC327683:UYC327684 VHY327683:VHY327684 VRU327683:VRU327684 WBQ327683:WBQ327684 WLM327683:WLM327684 WVI327683:WVI327684 A393219:A393220 IW393219:IW393220 SS393219:SS393220 ACO393219:ACO393220 AMK393219:AMK393220 AWG393219:AWG393220 BGC393219:BGC393220 BPY393219:BPY393220 BZU393219:BZU393220 CJQ393219:CJQ393220 CTM393219:CTM393220 DDI393219:DDI393220 DNE393219:DNE393220 DXA393219:DXA393220 EGW393219:EGW393220 EQS393219:EQS393220 FAO393219:FAO393220 FKK393219:FKK393220 FUG393219:FUG393220 GEC393219:GEC393220 GNY393219:GNY393220 GXU393219:GXU393220 HHQ393219:HHQ393220 HRM393219:HRM393220 IBI393219:IBI393220 ILE393219:ILE393220 IVA393219:IVA393220 JEW393219:JEW393220 JOS393219:JOS393220 JYO393219:JYO393220 KIK393219:KIK393220 KSG393219:KSG393220 LCC393219:LCC393220 LLY393219:LLY393220 LVU393219:LVU393220 MFQ393219:MFQ393220 MPM393219:MPM393220 MZI393219:MZI393220 NJE393219:NJE393220 NTA393219:NTA393220 OCW393219:OCW393220 OMS393219:OMS393220 OWO393219:OWO393220 PGK393219:PGK393220 PQG393219:PQG393220 QAC393219:QAC393220 QJY393219:QJY393220 QTU393219:QTU393220 RDQ393219:RDQ393220 RNM393219:RNM393220 RXI393219:RXI393220 SHE393219:SHE393220 SRA393219:SRA393220 TAW393219:TAW393220 TKS393219:TKS393220 TUO393219:TUO393220 UEK393219:UEK393220 UOG393219:UOG393220 UYC393219:UYC393220 VHY393219:VHY393220 VRU393219:VRU393220 WBQ393219:WBQ393220 WLM393219:WLM393220 WVI393219:WVI393220 A458755:A458756 IW458755:IW458756 SS458755:SS458756 ACO458755:ACO458756 AMK458755:AMK458756 AWG458755:AWG458756 BGC458755:BGC458756 BPY458755:BPY458756 BZU458755:BZU458756 CJQ458755:CJQ458756 CTM458755:CTM458756 DDI458755:DDI458756 DNE458755:DNE458756 DXA458755:DXA458756 EGW458755:EGW458756 EQS458755:EQS458756 FAO458755:FAO458756 FKK458755:FKK458756 FUG458755:FUG458756 GEC458755:GEC458756 GNY458755:GNY458756 GXU458755:GXU458756 HHQ458755:HHQ458756 HRM458755:HRM458756 IBI458755:IBI458756 ILE458755:ILE458756 IVA458755:IVA458756 JEW458755:JEW458756 JOS458755:JOS458756 JYO458755:JYO458756 KIK458755:KIK458756 KSG458755:KSG458756 LCC458755:LCC458756 LLY458755:LLY458756 LVU458755:LVU458756 MFQ458755:MFQ458756 MPM458755:MPM458756 MZI458755:MZI458756 NJE458755:NJE458756 NTA458755:NTA458756 OCW458755:OCW458756 OMS458755:OMS458756 OWO458755:OWO458756 PGK458755:PGK458756 PQG458755:PQG458756 QAC458755:QAC458756 QJY458755:QJY458756 QTU458755:QTU458756 RDQ458755:RDQ458756 RNM458755:RNM458756 RXI458755:RXI458756 SHE458755:SHE458756 SRA458755:SRA458756 TAW458755:TAW458756 TKS458755:TKS458756 TUO458755:TUO458756 UEK458755:UEK458756 UOG458755:UOG458756 UYC458755:UYC458756 VHY458755:VHY458756 VRU458755:VRU458756 WBQ458755:WBQ458756 WLM458755:WLM458756 WVI458755:WVI458756 A524291:A524292 IW524291:IW524292 SS524291:SS524292 ACO524291:ACO524292 AMK524291:AMK524292 AWG524291:AWG524292 BGC524291:BGC524292 BPY524291:BPY524292 BZU524291:BZU524292 CJQ524291:CJQ524292 CTM524291:CTM524292 DDI524291:DDI524292 DNE524291:DNE524292 DXA524291:DXA524292 EGW524291:EGW524292 EQS524291:EQS524292 FAO524291:FAO524292 FKK524291:FKK524292 FUG524291:FUG524292 GEC524291:GEC524292 GNY524291:GNY524292 GXU524291:GXU524292 HHQ524291:HHQ524292 HRM524291:HRM524292 IBI524291:IBI524292 ILE524291:ILE524292 IVA524291:IVA524292 JEW524291:JEW524292 JOS524291:JOS524292 JYO524291:JYO524292 KIK524291:KIK524292 KSG524291:KSG524292 LCC524291:LCC524292 LLY524291:LLY524292 LVU524291:LVU524292 MFQ524291:MFQ524292 MPM524291:MPM524292 MZI524291:MZI524292 NJE524291:NJE524292 NTA524291:NTA524292 OCW524291:OCW524292 OMS524291:OMS524292 OWO524291:OWO524292 PGK524291:PGK524292 PQG524291:PQG524292 QAC524291:QAC524292 QJY524291:QJY524292 QTU524291:QTU524292 RDQ524291:RDQ524292 RNM524291:RNM524292 RXI524291:RXI524292 SHE524291:SHE524292 SRA524291:SRA524292 TAW524291:TAW524292 TKS524291:TKS524292 TUO524291:TUO524292 UEK524291:UEK524292 UOG524291:UOG524292 UYC524291:UYC524292 VHY524291:VHY524292 VRU524291:VRU524292 WBQ524291:WBQ524292 WLM524291:WLM524292 WVI524291:WVI524292 A589827:A589828 IW589827:IW589828 SS589827:SS589828 ACO589827:ACO589828 AMK589827:AMK589828 AWG589827:AWG589828 BGC589827:BGC589828 BPY589827:BPY589828 BZU589827:BZU589828 CJQ589827:CJQ589828 CTM589827:CTM589828 DDI589827:DDI589828 DNE589827:DNE589828 DXA589827:DXA589828 EGW589827:EGW589828 EQS589827:EQS589828 FAO589827:FAO589828 FKK589827:FKK589828 FUG589827:FUG589828 GEC589827:GEC589828 GNY589827:GNY589828 GXU589827:GXU589828 HHQ589827:HHQ589828 HRM589827:HRM589828 IBI589827:IBI589828 ILE589827:ILE589828 IVA589827:IVA589828 JEW589827:JEW589828 JOS589827:JOS589828 JYO589827:JYO589828 KIK589827:KIK589828 KSG589827:KSG589828 LCC589827:LCC589828 LLY589827:LLY589828 LVU589827:LVU589828 MFQ589827:MFQ589828 MPM589827:MPM589828 MZI589827:MZI589828 NJE589827:NJE589828 NTA589827:NTA589828 OCW589827:OCW589828 OMS589827:OMS589828 OWO589827:OWO589828 PGK589827:PGK589828 PQG589827:PQG589828 QAC589827:QAC589828 QJY589827:QJY589828 QTU589827:QTU589828 RDQ589827:RDQ589828 RNM589827:RNM589828 RXI589827:RXI589828 SHE589827:SHE589828 SRA589827:SRA589828 TAW589827:TAW589828 TKS589827:TKS589828 TUO589827:TUO589828 UEK589827:UEK589828 UOG589827:UOG589828 UYC589827:UYC589828 VHY589827:VHY589828 VRU589827:VRU589828 WBQ589827:WBQ589828 WLM589827:WLM589828 WVI589827:WVI589828 A655363:A655364 IW655363:IW655364 SS655363:SS655364 ACO655363:ACO655364 AMK655363:AMK655364 AWG655363:AWG655364 BGC655363:BGC655364 BPY655363:BPY655364 BZU655363:BZU655364 CJQ655363:CJQ655364 CTM655363:CTM655364 DDI655363:DDI655364 DNE655363:DNE655364 DXA655363:DXA655364 EGW655363:EGW655364 EQS655363:EQS655364 FAO655363:FAO655364 FKK655363:FKK655364 FUG655363:FUG655364 GEC655363:GEC655364 GNY655363:GNY655364 GXU655363:GXU655364 HHQ655363:HHQ655364 HRM655363:HRM655364 IBI655363:IBI655364 ILE655363:ILE655364 IVA655363:IVA655364 JEW655363:JEW655364 JOS655363:JOS655364 JYO655363:JYO655364 KIK655363:KIK655364 KSG655363:KSG655364 LCC655363:LCC655364 LLY655363:LLY655364 LVU655363:LVU655364 MFQ655363:MFQ655364 MPM655363:MPM655364 MZI655363:MZI655364 NJE655363:NJE655364 NTA655363:NTA655364 OCW655363:OCW655364 OMS655363:OMS655364 OWO655363:OWO655364 PGK655363:PGK655364 PQG655363:PQG655364 QAC655363:QAC655364 QJY655363:QJY655364 QTU655363:QTU655364 RDQ655363:RDQ655364 RNM655363:RNM655364 RXI655363:RXI655364 SHE655363:SHE655364 SRA655363:SRA655364 TAW655363:TAW655364 TKS655363:TKS655364 TUO655363:TUO655364 UEK655363:UEK655364 UOG655363:UOG655364 UYC655363:UYC655364 VHY655363:VHY655364 VRU655363:VRU655364 WBQ655363:WBQ655364 WLM655363:WLM655364 WVI655363:WVI655364 A720899:A720900 IW720899:IW720900 SS720899:SS720900 ACO720899:ACO720900 AMK720899:AMK720900 AWG720899:AWG720900 BGC720899:BGC720900 BPY720899:BPY720900 BZU720899:BZU720900 CJQ720899:CJQ720900 CTM720899:CTM720900 DDI720899:DDI720900 DNE720899:DNE720900 DXA720899:DXA720900 EGW720899:EGW720900 EQS720899:EQS720900 FAO720899:FAO720900 FKK720899:FKK720900 FUG720899:FUG720900 GEC720899:GEC720900 GNY720899:GNY720900 GXU720899:GXU720900 HHQ720899:HHQ720900 HRM720899:HRM720900 IBI720899:IBI720900 ILE720899:ILE720900 IVA720899:IVA720900 JEW720899:JEW720900 JOS720899:JOS720900 JYO720899:JYO720900 KIK720899:KIK720900 KSG720899:KSG720900 LCC720899:LCC720900 LLY720899:LLY720900 LVU720899:LVU720900 MFQ720899:MFQ720900 MPM720899:MPM720900 MZI720899:MZI720900 NJE720899:NJE720900 NTA720899:NTA720900 OCW720899:OCW720900 OMS720899:OMS720900 OWO720899:OWO720900 PGK720899:PGK720900 PQG720899:PQG720900 QAC720899:QAC720900 QJY720899:QJY720900 QTU720899:QTU720900 RDQ720899:RDQ720900 RNM720899:RNM720900 RXI720899:RXI720900 SHE720899:SHE720900 SRA720899:SRA720900 TAW720899:TAW720900 TKS720899:TKS720900 TUO720899:TUO720900 UEK720899:UEK720900 UOG720899:UOG720900 UYC720899:UYC720900 VHY720899:VHY720900 VRU720899:VRU720900 WBQ720899:WBQ720900 WLM720899:WLM720900 WVI720899:WVI720900 A786435:A786436 IW786435:IW786436 SS786435:SS786436 ACO786435:ACO786436 AMK786435:AMK786436 AWG786435:AWG786436 BGC786435:BGC786436 BPY786435:BPY786436 BZU786435:BZU786436 CJQ786435:CJQ786436 CTM786435:CTM786436 DDI786435:DDI786436 DNE786435:DNE786436 DXA786435:DXA786436 EGW786435:EGW786436 EQS786435:EQS786436 FAO786435:FAO786436 FKK786435:FKK786436 FUG786435:FUG786436 GEC786435:GEC786436 GNY786435:GNY786436 GXU786435:GXU786436 HHQ786435:HHQ786436 HRM786435:HRM786436 IBI786435:IBI786436 ILE786435:ILE786436 IVA786435:IVA786436 JEW786435:JEW786436 JOS786435:JOS786436 JYO786435:JYO786436 KIK786435:KIK786436 KSG786435:KSG786436 LCC786435:LCC786436 LLY786435:LLY786436 LVU786435:LVU786436 MFQ786435:MFQ786436 MPM786435:MPM786436 MZI786435:MZI786436 NJE786435:NJE786436 NTA786435:NTA786436 OCW786435:OCW786436 OMS786435:OMS786436 OWO786435:OWO786436 PGK786435:PGK786436 PQG786435:PQG786436 QAC786435:QAC786436 QJY786435:QJY786436 QTU786435:QTU786436 RDQ786435:RDQ786436 RNM786435:RNM786436 RXI786435:RXI786436 SHE786435:SHE786436 SRA786435:SRA786436 TAW786435:TAW786436 TKS786435:TKS786436 TUO786435:TUO786436 UEK786435:UEK786436 UOG786435:UOG786436 UYC786435:UYC786436 VHY786435:VHY786436 VRU786435:VRU786436 WBQ786435:WBQ786436 WLM786435:WLM786436 WVI786435:WVI786436 A851971:A851972 IW851971:IW851972 SS851971:SS851972 ACO851971:ACO851972 AMK851971:AMK851972 AWG851971:AWG851972 BGC851971:BGC851972 BPY851971:BPY851972 BZU851971:BZU851972 CJQ851971:CJQ851972 CTM851971:CTM851972 DDI851971:DDI851972 DNE851971:DNE851972 DXA851971:DXA851972 EGW851971:EGW851972 EQS851971:EQS851972 FAO851971:FAO851972 FKK851971:FKK851972 FUG851971:FUG851972 GEC851971:GEC851972 GNY851971:GNY851972 GXU851971:GXU851972 HHQ851971:HHQ851972 HRM851971:HRM851972 IBI851971:IBI851972 ILE851971:ILE851972 IVA851971:IVA851972 JEW851971:JEW851972 JOS851971:JOS851972 JYO851971:JYO851972 KIK851971:KIK851972 KSG851971:KSG851972 LCC851971:LCC851972 LLY851971:LLY851972 LVU851971:LVU851972 MFQ851971:MFQ851972 MPM851971:MPM851972 MZI851971:MZI851972 NJE851971:NJE851972 NTA851971:NTA851972 OCW851971:OCW851972 OMS851971:OMS851972 OWO851971:OWO851972 PGK851971:PGK851972 PQG851971:PQG851972 QAC851971:QAC851972 QJY851971:QJY851972 QTU851971:QTU851972 RDQ851971:RDQ851972 RNM851971:RNM851972 RXI851971:RXI851972 SHE851971:SHE851972 SRA851971:SRA851972 TAW851971:TAW851972 TKS851971:TKS851972 TUO851971:TUO851972 UEK851971:UEK851972 UOG851971:UOG851972 UYC851971:UYC851972 VHY851971:VHY851972 VRU851971:VRU851972 WBQ851971:WBQ851972 WLM851971:WLM851972 WVI851971:WVI851972 A917507:A917508 IW917507:IW917508 SS917507:SS917508 ACO917507:ACO917508 AMK917507:AMK917508 AWG917507:AWG917508 BGC917507:BGC917508 BPY917507:BPY917508 BZU917507:BZU917508 CJQ917507:CJQ917508 CTM917507:CTM917508 DDI917507:DDI917508 DNE917507:DNE917508 DXA917507:DXA917508 EGW917507:EGW917508 EQS917507:EQS917508 FAO917507:FAO917508 FKK917507:FKK917508 FUG917507:FUG917508 GEC917507:GEC917508 GNY917507:GNY917508 GXU917507:GXU917508 HHQ917507:HHQ917508 HRM917507:HRM917508 IBI917507:IBI917508 ILE917507:ILE917508 IVA917507:IVA917508 JEW917507:JEW917508 JOS917507:JOS917508 JYO917507:JYO917508 KIK917507:KIK917508 KSG917507:KSG917508 LCC917507:LCC917508 LLY917507:LLY917508 LVU917507:LVU917508 MFQ917507:MFQ917508 MPM917507:MPM917508 MZI917507:MZI917508 NJE917507:NJE917508 NTA917507:NTA917508 OCW917507:OCW917508 OMS917507:OMS917508 OWO917507:OWO917508 PGK917507:PGK917508 PQG917507:PQG917508 QAC917507:QAC917508 QJY917507:QJY917508 QTU917507:QTU917508 RDQ917507:RDQ917508 RNM917507:RNM917508 RXI917507:RXI917508 SHE917507:SHE917508 SRA917507:SRA917508 TAW917507:TAW917508 TKS917507:TKS917508 TUO917507:TUO917508 UEK917507:UEK917508 UOG917507:UOG917508 UYC917507:UYC917508 VHY917507:VHY917508 VRU917507:VRU917508 WBQ917507:WBQ917508 WLM917507:WLM917508 WVI917507:WVI917508 A3:A290 IW3:IW290 SS3:SS290 ACO3:ACO290 AMK3:AMK290 AWG3:AWG290 BGC3:BGC290 BPY3:BPY290 BZU3:BZU290 CJQ3:CJQ290 CTM3:CTM290 DDI3:DDI290 DNE3:DNE290 DXA3:DXA290 EGW3:EGW290 EQS3:EQS290 FAO3:FAO290 FKK3:FKK290 FUG3:FUG290 GEC3:GEC290 GNY3:GNY290 GXU3:GXU290 HHQ3:HHQ290 HRM3:HRM290 IBI3:IBI290 ILE3:ILE290 IVA3:IVA290 JEW3:JEW290 JOS3:JOS290 JYO3:JYO290 KIK3:KIK290 KSG3:KSG290 LCC3:LCC290 LLY3:LLY290 LVU3:LVU290 MFQ3:MFQ290 MPM3:MPM290 MZI3:MZI290 NJE3:NJE290 NTA3:NTA290 OCW3:OCW290 OMS3:OMS290 OWO3:OWO290 PGK3:PGK290 PQG3:PQG290 QAC3:QAC290 QJY3:QJY290 QTU3:QTU290 RDQ3:RDQ290 RNM3:RNM290 RXI3:RXI290 SHE3:SHE290 SRA3:SRA290 TAW3:TAW290 TKS3:TKS290 TUO3:TUO290 UEK3:UEK290 UOG3:UOG290 UYC3:UYC290 VHY3:VHY290 VRU3:VRU290 WBQ3:WBQ290 WLM3:WLM290 WVI3:WVI290" xr:uid="{00000000-0002-0000-0600-000011000000}"/>
    <dataValidation type="textLength" allowBlank="1" showInputMessage="1" showErrorMessage="1" promptTitle="NARRATIVE" prompt="This field can be used to provide a descriptive paragraph about the product or a detailed narrative. This field allos up to 4000 characters." sqref="I3:I290 JE3:JE290 TA3:TA290 ACW3:ACW290 AMS3:AMS290 AWO3:AWO290 BGK3:BGK290 BQG3:BQG290 CAC3:CAC290 CJY3:CJY290 CTU3:CTU290 DDQ3:DDQ290 DNM3:DNM290 DXI3:DXI290 EHE3:EHE290 ERA3:ERA290 FAW3:FAW290 FKS3:FKS290 FUO3:FUO290 GEK3:GEK290 GOG3:GOG290 GYC3:GYC290 HHY3:HHY290 HRU3:HRU290 IBQ3:IBQ290 ILM3:ILM290 IVI3:IVI290 JFE3:JFE290 JPA3:JPA290 JYW3:JYW290 KIS3:KIS290 KSO3:KSO290 LCK3:LCK290 LMG3:LMG290 LWC3:LWC290 MFY3:MFY290 MPU3:MPU290 MZQ3:MZQ290 NJM3:NJM290 NTI3:NTI290 ODE3:ODE290 ONA3:ONA290 OWW3:OWW290 PGS3:PGS290 PQO3:PQO290 QAK3:QAK290 QKG3:QKG290 QUC3:QUC290 RDY3:RDY290 RNU3:RNU290 RXQ3:RXQ290 SHM3:SHM290 SRI3:SRI290 TBE3:TBE290 TLA3:TLA290 TUW3:TUW290 UES3:UES290 UOO3:UOO290 UYK3:UYK290 VIG3:VIG290 VSC3:VSC290 WBY3:WBY290 WLU3:WLU290 WVQ3:WVQ290" xr:uid="{00000000-0002-0000-0600-000012000000}">
      <formula1>1</formula1>
      <formula2>4000</formula2>
    </dataValidation>
    <dataValidation type="textLength" operator="lessThanOrEqual" allowBlank="1" showErrorMessage="1" errorTitle="Exceeded Character Limit" error="You have exceeded the 23 character limit for this field.  Please limit your entry to 23 characters." promptTitle="Vendor Part Number" prompt="Vendor Part Number represents your internal product identifier. It MUST be unique and cannot be longer than 23 characters." sqref="B3:B290 IX3:IX290 ST3:ST290 ACP3:ACP290 AML3:AML290 AWH3:AWH290 BGD3:BGD290 BPZ3:BPZ290 BZV3:BZV290 CJR3:CJR290 CTN3:CTN290 DDJ3:DDJ290 DNF3:DNF290 DXB3:DXB290 EGX3:EGX290 EQT3:EQT290 FAP3:FAP290 FKL3:FKL290 FUH3:FUH290 GED3:GED290 GNZ3:GNZ290 GXV3:GXV290 HHR3:HHR290 HRN3:HRN290 IBJ3:IBJ290 ILF3:ILF290 IVB3:IVB290 JEX3:JEX290 JOT3:JOT290 JYP3:JYP290 KIL3:KIL290 KSH3:KSH290 LCD3:LCD290 LLZ3:LLZ290 LVV3:LVV290 MFR3:MFR290 MPN3:MPN290 MZJ3:MZJ290 NJF3:NJF290 NTB3:NTB290 OCX3:OCX290 OMT3:OMT290 OWP3:OWP290 PGL3:PGL290 PQH3:PQH290 QAD3:QAD290 QJZ3:QJZ290 QTV3:QTV290 RDR3:RDR290 RNN3:RNN290 RXJ3:RXJ290 SHF3:SHF290 SRB3:SRB290 TAX3:TAX290 TKT3:TKT290 TUP3:TUP290 UEL3:UEL290 UOH3:UOH290 UYD3:UYD290 VHZ3:VHZ290 VRV3:VRV290 WBR3:WBR290 WLN3:WLN290 WVJ3:WVJ290" xr:uid="{00000000-0002-0000-0600-000013000000}">
      <formula1>23</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D445"/>
  <sheetViews>
    <sheetView workbookViewId="0">
      <selection activeCell="D2" sqref="D2:D445"/>
    </sheetView>
  </sheetViews>
  <sheetFormatPr baseColWidth="10" defaultColWidth="10.83203125" defaultRowHeight="16"/>
  <cols>
    <col min="1" max="1" width="17.1640625" style="1" bestFit="1" customWidth="1"/>
    <col min="2" max="2" width="10.83203125" style="1"/>
    <col min="3" max="3" width="15" style="137" bestFit="1" customWidth="1"/>
    <col min="4" max="4" width="14" style="1" bestFit="1" customWidth="1"/>
    <col min="5" max="16384" width="10.83203125" style="1"/>
  </cols>
  <sheetData>
    <row r="1" spans="1:4" ht="32">
      <c r="A1" s="135" t="s">
        <v>1942</v>
      </c>
      <c r="B1" s="135" t="s">
        <v>1943</v>
      </c>
      <c r="C1" s="136" t="s">
        <v>1944</v>
      </c>
      <c r="D1" s="135" t="s">
        <v>1945</v>
      </c>
    </row>
    <row r="2" spans="1:4">
      <c r="A2" s="46" t="s">
        <v>156</v>
      </c>
      <c r="B2" s="47"/>
      <c r="C2" s="47">
        <v>25</v>
      </c>
      <c r="D2" s="47" t="s">
        <v>1950</v>
      </c>
    </row>
    <row r="3" spans="1:4">
      <c r="A3" s="46" t="s">
        <v>157</v>
      </c>
      <c r="B3" s="47"/>
      <c r="C3" s="47">
        <v>0</v>
      </c>
      <c r="D3" s="47" t="s">
        <v>1950</v>
      </c>
    </row>
    <row r="4" spans="1:4">
      <c r="A4" s="46" t="s">
        <v>159</v>
      </c>
      <c r="B4" s="47"/>
      <c r="C4" s="47">
        <v>19</v>
      </c>
      <c r="D4" s="47" t="s">
        <v>1950</v>
      </c>
    </row>
    <row r="5" spans="1:4">
      <c r="A5" s="46" t="s">
        <v>160</v>
      </c>
      <c r="B5" s="47"/>
      <c r="C5" s="47">
        <v>6</v>
      </c>
      <c r="D5" s="47" t="s">
        <v>1950</v>
      </c>
    </row>
    <row r="6" spans="1:4">
      <c r="A6" s="46" t="s">
        <v>161</v>
      </c>
      <c r="B6" s="47"/>
      <c r="C6" s="47">
        <v>26</v>
      </c>
      <c r="D6" s="47" t="s">
        <v>1950</v>
      </c>
    </row>
    <row r="7" spans="1:4">
      <c r="A7" s="46" t="s">
        <v>162</v>
      </c>
      <c r="B7" s="47"/>
      <c r="C7" s="47">
        <v>3</v>
      </c>
      <c r="D7" s="47" t="s">
        <v>1950</v>
      </c>
    </row>
    <row r="8" spans="1:4">
      <c r="A8" s="46" t="s">
        <v>163</v>
      </c>
      <c r="B8" s="47"/>
      <c r="C8" s="47">
        <v>6</v>
      </c>
      <c r="D8" s="47" t="s">
        <v>1950</v>
      </c>
    </row>
    <row r="9" spans="1:4">
      <c r="A9" s="46" t="s">
        <v>164</v>
      </c>
      <c r="B9" s="47"/>
      <c r="C9" s="47">
        <v>2</v>
      </c>
      <c r="D9" s="47" t="s">
        <v>1950</v>
      </c>
    </row>
    <row r="10" spans="1:4">
      <c r="A10" s="46" t="s">
        <v>165</v>
      </c>
      <c r="B10" s="47"/>
      <c r="C10" s="47">
        <v>25</v>
      </c>
      <c r="D10" s="47" t="s">
        <v>1950</v>
      </c>
    </row>
    <row r="11" spans="1:4">
      <c r="A11" s="46" t="s">
        <v>166</v>
      </c>
      <c r="B11" s="47"/>
      <c r="C11" s="47">
        <v>0</v>
      </c>
      <c r="D11" s="47" t="s">
        <v>1950</v>
      </c>
    </row>
    <row r="12" spans="1:4">
      <c r="A12" s="46" t="s">
        <v>541</v>
      </c>
      <c r="B12" s="47"/>
      <c r="C12" s="47">
        <v>12</v>
      </c>
      <c r="D12" s="47" t="s">
        <v>1950</v>
      </c>
    </row>
    <row r="13" spans="1:4">
      <c r="A13" s="46" t="s">
        <v>167</v>
      </c>
      <c r="B13" s="47"/>
      <c r="C13" s="47">
        <v>20</v>
      </c>
      <c r="D13" s="47" t="s">
        <v>1950</v>
      </c>
    </row>
    <row r="14" spans="1:4">
      <c r="A14" s="46" t="s">
        <v>168</v>
      </c>
      <c r="B14" s="47"/>
      <c r="C14" s="47">
        <v>0</v>
      </c>
      <c r="D14" s="47" t="s">
        <v>1950</v>
      </c>
    </row>
    <row r="15" spans="1:4">
      <c r="A15" s="46" t="s">
        <v>169</v>
      </c>
      <c r="B15" s="47"/>
      <c r="C15" s="47">
        <v>7</v>
      </c>
      <c r="D15" s="47" t="s">
        <v>1950</v>
      </c>
    </row>
    <row r="16" spans="1:4">
      <c r="A16" s="46" t="s">
        <v>171</v>
      </c>
      <c r="B16" s="47"/>
      <c r="C16" s="47">
        <v>9</v>
      </c>
      <c r="D16" s="47" t="s">
        <v>1950</v>
      </c>
    </row>
    <row r="17" spans="1:4">
      <c r="A17" s="46" t="s">
        <v>172</v>
      </c>
      <c r="B17" s="47"/>
      <c r="C17" s="47">
        <v>0</v>
      </c>
      <c r="D17" s="47" t="s">
        <v>1950</v>
      </c>
    </row>
    <row r="18" spans="1:4">
      <c r="A18" s="46" t="s">
        <v>543</v>
      </c>
      <c r="B18" s="47"/>
      <c r="C18" s="47">
        <v>4</v>
      </c>
      <c r="D18" s="47" t="s">
        <v>1950</v>
      </c>
    </row>
    <row r="19" spans="1:4">
      <c r="A19" s="46" t="s">
        <v>175</v>
      </c>
      <c r="B19" s="47"/>
      <c r="C19" s="47">
        <v>4</v>
      </c>
      <c r="D19" s="47" t="s">
        <v>1950</v>
      </c>
    </row>
    <row r="20" spans="1:4">
      <c r="A20" s="46" t="s">
        <v>176</v>
      </c>
      <c r="B20" s="47"/>
      <c r="C20" s="47">
        <v>15</v>
      </c>
      <c r="D20" s="47" t="s">
        <v>1950</v>
      </c>
    </row>
    <row r="21" spans="1:4">
      <c r="A21" s="46" t="s">
        <v>177</v>
      </c>
      <c r="B21" s="47"/>
      <c r="C21" s="47">
        <v>0</v>
      </c>
      <c r="D21" s="47" t="s">
        <v>1950</v>
      </c>
    </row>
    <row r="22" spans="1:4">
      <c r="A22" s="46" t="s">
        <v>178</v>
      </c>
      <c r="B22" s="47"/>
      <c r="C22" s="47">
        <v>20</v>
      </c>
      <c r="D22" s="47" t="s">
        <v>1950</v>
      </c>
    </row>
    <row r="23" spans="1:4">
      <c r="A23" s="46" t="s">
        <v>179</v>
      </c>
      <c r="B23" s="47"/>
      <c r="C23" s="47">
        <v>5</v>
      </c>
      <c r="D23" s="47" t="s">
        <v>1950</v>
      </c>
    </row>
    <row r="24" spans="1:4">
      <c r="A24" s="46" t="s">
        <v>544</v>
      </c>
      <c r="B24" s="47"/>
      <c r="C24" s="47">
        <v>2</v>
      </c>
      <c r="D24" s="47" t="s">
        <v>1950</v>
      </c>
    </row>
    <row r="25" spans="1:4">
      <c r="A25" s="46" t="s">
        <v>550</v>
      </c>
      <c r="B25" s="47"/>
      <c r="C25" s="47">
        <v>0</v>
      </c>
      <c r="D25" s="47" t="s">
        <v>1950</v>
      </c>
    </row>
    <row r="26" spans="1:4">
      <c r="A26" s="46" t="s">
        <v>181</v>
      </c>
      <c r="B26" s="47"/>
      <c r="C26" s="47">
        <v>6</v>
      </c>
      <c r="D26" s="47" t="s">
        <v>1950</v>
      </c>
    </row>
    <row r="27" spans="1:4">
      <c r="A27" s="46" t="s">
        <v>182</v>
      </c>
      <c r="B27" s="47"/>
      <c r="C27" s="47">
        <v>4</v>
      </c>
      <c r="D27" s="47" t="s">
        <v>1950</v>
      </c>
    </row>
    <row r="28" spans="1:4">
      <c r="A28" s="46" t="s">
        <v>183</v>
      </c>
      <c r="B28" s="47"/>
      <c r="C28" s="47">
        <v>8</v>
      </c>
      <c r="D28" s="47" t="s">
        <v>1950</v>
      </c>
    </row>
    <row r="29" spans="1:4">
      <c r="A29" s="46" t="s">
        <v>184</v>
      </c>
      <c r="B29" s="47"/>
      <c r="C29" s="47">
        <v>20</v>
      </c>
      <c r="D29" s="47" t="s">
        <v>1950</v>
      </c>
    </row>
    <row r="30" spans="1:4">
      <c r="A30" s="46" t="s">
        <v>185</v>
      </c>
      <c r="B30" s="47"/>
      <c r="C30" s="47">
        <v>21</v>
      </c>
      <c r="D30" s="47" t="s">
        <v>1950</v>
      </c>
    </row>
    <row r="31" spans="1:4">
      <c r="A31" s="46" t="s">
        <v>186</v>
      </c>
      <c r="B31" s="47"/>
      <c r="C31" s="47">
        <v>8</v>
      </c>
      <c r="D31" s="47" t="s">
        <v>1950</v>
      </c>
    </row>
    <row r="32" spans="1:4">
      <c r="A32" s="46" t="s">
        <v>187</v>
      </c>
      <c r="B32" s="47"/>
      <c r="C32" s="47">
        <v>17</v>
      </c>
      <c r="D32" s="47" t="s">
        <v>1950</v>
      </c>
    </row>
    <row r="33" spans="1:4">
      <c r="A33" s="46" t="s">
        <v>188</v>
      </c>
      <c r="B33" s="47"/>
      <c r="C33" s="47">
        <v>2</v>
      </c>
      <c r="D33" s="47" t="s">
        <v>1950</v>
      </c>
    </row>
    <row r="34" spans="1:4">
      <c r="A34" s="46" t="s">
        <v>189</v>
      </c>
      <c r="B34" s="47"/>
      <c r="C34" s="47">
        <v>4</v>
      </c>
      <c r="D34" s="47" t="s">
        <v>1950</v>
      </c>
    </row>
    <row r="35" spans="1:4">
      <c r="A35" s="46" t="s">
        <v>190</v>
      </c>
      <c r="B35" s="47"/>
      <c r="C35" s="47">
        <v>35</v>
      </c>
      <c r="D35" s="47" t="s">
        <v>1950</v>
      </c>
    </row>
    <row r="36" spans="1:4">
      <c r="A36" s="46" t="s">
        <v>191</v>
      </c>
      <c r="B36" s="47"/>
      <c r="C36" s="47">
        <v>4</v>
      </c>
      <c r="D36" s="47" t="s">
        <v>1950</v>
      </c>
    </row>
    <row r="37" spans="1:4">
      <c r="A37" s="46" t="s">
        <v>194</v>
      </c>
      <c r="B37" s="47"/>
      <c r="C37" s="47">
        <v>4</v>
      </c>
      <c r="D37" s="47" t="s">
        <v>1950</v>
      </c>
    </row>
    <row r="38" spans="1:4">
      <c r="A38" s="46" t="s">
        <v>195</v>
      </c>
      <c r="B38" s="47"/>
      <c r="C38" s="47">
        <v>4</v>
      </c>
      <c r="D38" s="47" t="s">
        <v>1950</v>
      </c>
    </row>
    <row r="39" spans="1:4">
      <c r="A39" s="46" t="s">
        <v>196</v>
      </c>
      <c r="B39" s="47"/>
      <c r="C39" s="47">
        <v>11</v>
      </c>
      <c r="D39" s="47" t="s">
        <v>1950</v>
      </c>
    </row>
    <row r="40" spans="1:4">
      <c r="A40" s="46" t="s">
        <v>197</v>
      </c>
      <c r="B40" s="47"/>
      <c r="C40" s="47">
        <v>10</v>
      </c>
      <c r="D40" s="47" t="s">
        <v>1950</v>
      </c>
    </row>
    <row r="41" spans="1:4">
      <c r="A41" s="46" t="s">
        <v>198</v>
      </c>
      <c r="B41" s="47"/>
      <c r="C41" s="47">
        <v>13</v>
      </c>
      <c r="D41" s="47" t="s">
        <v>1950</v>
      </c>
    </row>
    <row r="42" spans="1:4">
      <c r="A42" s="46" t="s">
        <v>199</v>
      </c>
      <c r="B42" s="47"/>
      <c r="C42" s="47">
        <v>0</v>
      </c>
      <c r="D42" s="47" t="s">
        <v>1950</v>
      </c>
    </row>
    <row r="43" spans="1:4">
      <c r="A43" s="46" t="s">
        <v>200</v>
      </c>
      <c r="B43" s="47"/>
      <c r="C43" s="47">
        <v>3</v>
      </c>
      <c r="D43" s="47" t="s">
        <v>1950</v>
      </c>
    </row>
    <row r="44" spans="1:4">
      <c r="A44" s="46" t="s">
        <v>201</v>
      </c>
      <c r="B44" s="47"/>
      <c r="C44" s="47">
        <v>0</v>
      </c>
      <c r="D44" s="47" t="s">
        <v>1950</v>
      </c>
    </row>
    <row r="45" spans="1:4">
      <c r="A45" s="46" t="s">
        <v>202</v>
      </c>
      <c r="B45" s="47"/>
      <c r="C45" s="47">
        <v>22</v>
      </c>
      <c r="D45" s="47" t="s">
        <v>1950</v>
      </c>
    </row>
    <row r="46" spans="1:4">
      <c r="A46" s="46" t="s">
        <v>204</v>
      </c>
      <c r="B46" s="47"/>
      <c r="C46" s="47">
        <v>13</v>
      </c>
      <c r="D46" s="47" t="s">
        <v>1950</v>
      </c>
    </row>
    <row r="47" spans="1:4">
      <c r="A47" s="46" t="s">
        <v>205</v>
      </c>
      <c r="B47" s="47"/>
      <c r="C47" s="47">
        <v>10</v>
      </c>
      <c r="D47" s="47" t="s">
        <v>1950</v>
      </c>
    </row>
    <row r="48" spans="1:4">
      <c r="A48" s="46" t="s">
        <v>207</v>
      </c>
      <c r="B48" s="47"/>
      <c r="C48" s="47">
        <v>4</v>
      </c>
      <c r="D48" s="47" t="s">
        <v>1950</v>
      </c>
    </row>
    <row r="49" spans="1:4">
      <c r="A49" s="46" t="s">
        <v>209</v>
      </c>
      <c r="B49" s="47"/>
      <c r="C49" s="47">
        <v>16</v>
      </c>
      <c r="D49" s="47" t="s">
        <v>1950</v>
      </c>
    </row>
    <row r="50" spans="1:4">
      <c r="A50" s="46" t="s">
        <v>210</v>
      </c>
      <c r="B50" s="47"/>
      <c r="C50" s="47">
        <v>2</v>
      </c>
      <c r="D50" s="47" t="s">
        <v>1950</v>
      </c>
    </row>
    <row r="51" spans="1:4">
      <c r="A51" s="46" t="s">
        <v>213</v>
      </c>
      <c r="B51" s="47"/>
      <c r="C51" s="47">
        <v>28</v>
      </c>
      <c r="D51" s="47" t="s">
        <v>1950</v>
      </c>
    </row>
    <row r="52" spans="1:4">
      <c r="A52" s="46" t="s">
        <v>214</v>
      </c>
      <c r="B52" s="47"/>
      <c r="C52" s="47">
        <v>0</v>
      </c>
      <c r="D52" s="47" t="s">
        <v>1950</v>
      </c>
    </row>
    <row r="53" spans="1:4">
      <c r="A53" s="46" t="s">
        <v>215</v>
      </c>
      <c r="B53" s="47"/>
      <c r="C53" s="47">
        <v>6</v>
      </c>
      <c r="D53" s="47" t="s">
        <v>1950</v>
      </c>
    </row>
    <row r="54" spans="1:4">
      <c r="A54" s="46" t="s">
        <v>216</v>
      </c>
      <c r="B54" s="47"/>
      <c r="C54" s="47">
        <v>4</v>
      </c>
      <c r="D54" s="47" t="s">
        <v>1950</v>
      </c>
    </row>
    <row r="55" spans="1:4">
      <c r="A55" s="46" t="s">
        <v>217</v>
      </c>
      <c r="B55" s="47"/>
      <c r="C55" s="47">
        <v>0</v>
      </c>
      <c r="D55" s="47" t="s">
        <v>1950</v>
      </c>
    </row>
    <row r="56" spans="1:4">
      <c r="A56" s="46" t="s">
        <v>218</v>
      </c>
      <c r="B56" s="47"/>
      <c r="C56" s="47">
        <v>15</v>
      </c>
      <c r="D56" s="47" t="s">
        <v>1950</v>
      </c>
    </row>
    <row r="57" spans="1:4">
      <c r="A57" s="46" t="s">
        <v>155</v>
      </c>
      <c r="B57" s="47"/>
      <c r="C57" s="47">
        <v>0</v>
      </c>
      <c r="D57" s="47" t="s">
        <v>1950</v>
      </c>
    </row>
    <row r="58" spans="1:4">
      <c r="A58" s="46" t="s">
        <v>219</v>
      </c>
      <c r="B58" s="47"/>
      <c r="C58" s="47">
        <v>6</v>
      </c>
      <c r="D58" s="47" t="s">
        <v>1950</v>
      </c>
    </row>
    <row r="59" spans="1:4">
      <c r="A59" s="46" t="s">
        <v>220</v>
      </c>
      <c r="B59" s="47"/>
      <c r="C59" s="47">
        <v>10</v>
      </c>
      <c r="D59" s="47" t="s">
        <v>1950</v>
      </c>
    </row>
    <row r="60" spans="1:4">
      <c r="A60" s="46" t="s">
        <v>221</v>
      </c>
      <c r="B60" s="47"/>
      <c r="C60" s="47">
        <v>14</v>
      </c>
      <c r="D60" s="47" t="s">
        <v>1950</v>
      </c>
    </row>
    <row r="61" spans="1:4">
      <c r="A61" s="46" t="s">
        <v>222</v>
      </c>
      <c r="B61" s="47"/>
      <c r="C61" s="47">
        <v>0</v>
      </c>
      <c r="D61" s="47" t="s">
        <v>1950</v>
      </c>
    </row>
    <row r="62" spans="1:4">
      <c r="A62" s="48" t="s">
        <v>223</v>
      </c>
      <c r="B62" s="47"/>
      <c r="C62" s="47">
        <v>11</v>
      </c>
      <c r="D62" s="47" t="s">
        <v>1950</v>
      </c>
    </row>
    <row r="63" spans="1:4">
      <c r="A63" s="46" t="s">
        <v>224</v>
      </c>
      <c r="B63" s="47"/>
      <c r="C63" s="47">
        <v>0</v>
      </c>
      <c r="D63" s="47" t="s">
        <v>1950</v>
      </c>
    </row>
    <row r="64" spans="1:4">
      <c r="A64" s="46" t="s">
        <v>225</v>
      </c>
      <c r="B64" s="47"/>
      <c r="C64" s="47">
        <v>12</v>
      </c>
      <c r="D64" s="47" t="s">
        <v>1950</v>
      </c>
    </row>
    <row r="65" spans="1:4">
      <c r="A65" s="46" t="s">
        <v>679</v>
      </c>
      <c r="B65" s="47"/>
      <c r="C65" s="47">
        <v>0</v>
      </c>
      <c r="D65" s="47" t="s">
        <v>1950</v>
      </c>
    </row>
    <row r="66" spans="1:4">
      <c r="A66" s="46" t="s">
        <v>226</v>
      </c>
      <c r="B66" s="47"/>
      <c r="C66" s="47">
        <v>17</v>
      </c>
      <c r="D66" s="47" t="s">
        <v>1950</v>
      </c>
    </row>
    <row r="67" spans="1:4">
      <c r="A67" s="46" t="s">
        <v>227</v>
      </c>
      <c r="B67" s="47"/>
      <c r="C67" s="47">
        <v>1</v>
      </c>
      <c r="D67" s="47" t="s">
        <v>1950</v>
      </c>
    </row>
    <row r="68" spans="1:4">
      <c r="A68" s="46" t="s">
        <v>229</v>
      </c>
      <c r="B68" s="47"/>
      <c r="C68" s="47">
        <v>19</v>
      </c>
      <c r="D68" s="47" t="s">
        <v>1950</v>
      </c>
    </row>
    <row r="69" spans="1:4">
      <c r="A69" s="46" t="s">
        <v>230</v>
      </c>
      <c r="B69" s="47"/>
      <c r="C69" s="47">
        <v>0</v>
      </c>
      <c r="D69" s="47" t="s">
        <v>1950</v>
      </c>
    </row>
    <row r="70" spans="1:4">
      <c r="A70" s="46" t="s">
        <v>233</v>
      </c>
      <c r="B70" s="47"/>
      <c r="C70" s="47">
        <v>23</v>
      </c>
      <c r="D70" s="47" t="s">
        <v>1950</v>
      </c>
    </row>
    <row r="71" spans="1:4">
      <c r="A71" s="46" t="s">
        <v>234</v>
      </c>
      <c r="B71" s="47"/>
      <c r="C71" s="47">
        <v>36</v>
      </c>
      <c r="D71" s="47" t="s">
        <v>1950</v>
      </c>
    </row>
    <row r="72" spans="1:4">
      <c r="A72" s="46" t="s">
        <v>236</v>
      </c>
      <c r="B72" s="47"/>
      <c r="C72" s="47">
        <v>0</v>
      </c>
      <c r="D72" s="47" t="s">
        <v>1950</v>
      </c>
    </row>
    <row r="73" spans="1:4">
      <c r="A73" s="46" t="s">
        <v>238</v>
      </c>
      <c r="B73" s="47"/>
      <c r="C73" s="47">
        <v>10</v>
      </c>
      <c r="D73" s="47" t="s">
        <v>1950</v>
      </c>
    </row>
    <row r="74" spans="1:4">
      <c r="A74" s="46" t="s">
        <v>239</v>
      </c>
      <c r="B74" s="47"/>
      <c r="C74" s="47">
        <v>0</v>
      </c>
      <c r="D74" s="47" t="s">
        <v>1950</v>
      </c>
    </row>
    <row r="75" spans="1:4">
      <c r="A75" s="46" t="s">
        <v>240</v>
      </c>
      <c r="B75" s="47"/>
      <c r="C75" s="47">
        <v>12</v>
      </c>
      <c r="D75" s="47" t="s">
        <v>1950</v>
      </c>
    </row>
    <row r="76" spans="1:4">
      <c r="A76" s="46" t="s">
        <v>241</v>
      </c>
      <c r="B76" s="47"/>
      <c r="C76" s="47">
        <v>4</v>
      </c>
      <c r="D76" s="47" t="s">
        <v>1950</v>
      </c>
    </row>
    <row r="77" spans="1:4">
      <c r="A77" s="46" t="s">
        <v>242</v>
      </c>
      <c r="B77" s="47"/>
      <c r="C77" s="47">
        <v>47</v>
      </c>
      <c r="D77" s="47" t="s">
        <v>1950</v>
      </c>
    </row>
    <row r="78" spans="1:4">
      <c r="A78" s="46" t="s">
        <v>243</v>
      </c>
      <c r="B78" s="47"/>
      <c r="C78" s="47">
        <v>64</v>
      </c>
      <c r="D78" s="47" t="s">
        <v>1950</v>
      </c>
    </row>
    <row r="79" spans="1:4">
      <c r="A79" s="46" t="s">
        <v>244</v>
      </c>
      <c r="B79" s="47"/>
      <c r="C79" s="47">
        <v>1</v>
      </c>
      <c r="D79" s="47" t="s">
        <v>1950</v>
      </c>
    </row>
    <row r="80" spans="1:4">
      <c r="A80" s="46" t="s">
        <v>246</v>
      </c>
      <c r="B80" s="47"/>
      <c r="C80" s="47">
        <v>1</v>
      </c>
      <c r="D80" s="47" t="s">
        <v>1950</v>
      </c>
    </row>
    <row r="81" spans="1:4">
      <c r="A81" s="46" t="s">
        <v>678</v>
      </c>
      <c r="B81" s="47"/>
      <c r="C81" s="47">
        <v>2</v>
      </c>
      <c r="D81" s="47" t="s">
        <v>1950</v>
      </c>
    </row>
    <row r="82" spans="1:4">
      <c r="A82" s="46" t="s">
        <v>643</v>
      </c>
      <c r="B82" s="47"/>
      <c r="C82" s="47">
        <v>0</v>
      </c>
      <c r="D82" s="47" t="s">
        <v>1950</v>
      </c>
    </row>
    <row r="83" spans="1:4">
      <c r="A83" s="46" t="s">
        <v>644</v>
      </c>
      <c r="B83" s="47"/>
      <c r="C83" s="47">
        <v>0</v>
      </c>
      <c r="D83" s="47" t="s">
        <v>1950</v>
      </c>
    </row>
    <row r="84" spans="1:4">
      <c r="A84" s="46" t="s">
        <v>247</v>
      </c>
      <c r="B84" s="47"/>
      <c r="C84" s="47">
        <v>0</v>
      </c>
      <c r="D84" s="47" t="s">
        <v>1950</v>
      </c>
    </row>
    <row r="85" spans="1:4">
      <c r="A85" s="46" t="s">
        <v>248</v>
      </c>
      <c r="B85" s="47"/>
      <c r="C85" s="47">
        <v>31</v>
      </c>
      <c r="D85" s="47" t="s">
        <v>1950</v>
      </c>
    </row>
    <row r="86" spans="1:4">
      <c r="A86" s="46" t="s">
        <v>249</v>
      </c>
      <c r="B86" s="47"/>
      <c r="C86" s="47">
        <v>30</v>
      </c>
      <c r="D86" s="47" t="s">
        <v>1950</v>
      </c>
    </row>
    <row r="87" spans="1:4">
      <c r="A87" s="46" t="s">
        <v>645</v>
      </c>
      <c r="B87" s="47"/>
      <c r="C87" s="47">
        <v>0</v>
      </c>
      <c r="D87" s="47" t="s">
        <v>1950</v>
      </c>
    </row>
    <row r="88" spans="1:4">
      <c r="A88" s="46" t="s">
        <v>250</v>
      </c>
      <c r="B88" s="47"/>
      <c r="C88" s="47">
        <v>0</v>
      </c>
      <c r="D88" s="47" t="s">
        <v>1950</v>
      </c>
    </row>
    <row r="89" spans="1:4">
      <c r="A89" s="46" t="s">
        <v>251</v>
      </c>
      <c r="B89" s="47"/>
      <c r="C89" s="47">
        <v>0</v>
      </c>
      <c r="D89" s="47" t="s">
        <v>1950</v>
      </c>
    </row>
    <row r="90" spans="1:4">
      <c r="A90" s="46" t="s">
        <v>252</v>
      </c>
      <c r="B90" s="47"/>
      <c r="C90" s="47">
        <v>16</v>
      </c>
      <c r="D90" s="47" t="s">
        <v>1950</v>
      </c>
    </row>
    <row r="91" spans="1:4">
      <c r="A91" s="46" t="s">
        <v>253</v>
      </c>
      <c r="B91" s="47"/>
      <c r="C91" s="47">
        <v>0</v>
      </c>
      <c r="D91" s="47" t="s">
        <v>1950</v>
      </c>
    </row>
    <row r="92" spans="1:4">
      <c r="A92" s="46" t="s">
        <v>254</v>
      </c>
      <c r="B92" s="47"/>
      <c r="C92" s="47">
        <v>18</v>
      </c>
      <c r="D92" s="47" t="s">
        <v>1950</v>
      </c>
    </row>
    <row r="93" spans="1:4">
      <c r="A93" s="46" t="s">
        <v>255</v>
      </c>
      <c r="B93" s="47"/>
      <c r="C93" s="47">
        <v>11</v>
      </c>
      <c r="D93" s="47" t="s">
        <v>1950</v>
      </c>
    </row>
    <row r="94" spans="1:4">
      <c r="A94" s="46" t="s">
        <v>647</v>
      </c>
      <c r="B94" s="47"/>
      <c r="C94" s="47">
        <v>6</v>
      </c>
      <c r="D94" s="47" t="s">
        <v>1950</v>
      </c>
    </row>
    <row r="95" spans="1:4">
      <c r="A95" s="46" t="s">
        <v>256</v>
      </c>
      <c r="B95" s="47"/>
      <c r="C95" s="47">
        <v>1</v>
      </c>
      <c r="D95" s="47" t="s">
        <v>1950</v>
      </c>
    </row>
    <row r="96" spans="1:4">
      <c r="A96" s="46" t="s">
        <v>257</v>
      </c>
      <c r="B96" s="47"/>
      <c r="C96" s="47">
        <v>0</v>
      </c>
      <c r="D96" s="47" t="s">
        <v>1950</v>
      </c>
    </row>
    <row r="97" spans="1:4">
      <c r="A97" s="46" t="s">
        <v>258</v>
      </c>
      <c r="B97" s="47"/>
      <c r="C97" s="47">
        <v>10</v>
      </c>
      <c r="D97" s="47" t="s">
        <v>1950</v>
      </c>
    </row>
    <row r="98" spans="1:4">
      <c r="A98" s="46" t="s">
        <v>259</v>
      </c>
      <c r="B98" s="47"/>
      <c r="C98" s="47">
        <v>26</v>
      </c>
      <c r="D98" s="47" t="s">
        <v>1950</v>
      </c>
    </row>
    <row r="99" spans="1:4">
      <c r="A99" s="46" t="s">
        <v>260</v>
      </c>
      <c r="B99" s="47"/>
      <c r="C99" s="47">
        <v>13</v>
      </c>
      <c r="D99" s="47" t="s">
        <v>1950</v>
      </c>
    </row>
    <row r="100" spans="1:4">
      <c r="A100" s="46" t="s">
        <v>261</v>
      </c>
      <c r="B100" s="47"/>
      <c r="C100" s="47">
        <v>1</v>
      </c>
      <c r="D100" s="47" t="s">
        <v>1950</v>
      </c>
    </row>
    <row r="101" spans="1:4">
      <c r="A101" s="46" t="s">
        <v>262</v>
      </c>
      <c r="B101" s="47"/>
      <c r="C101" s="47">
        <v>13</v>
      </c>
      <c r="D101" s="47" t="s">
        <v>1950</v>
      </c>
    </row>
    <row r="102" spans="1:4">
      <c r="A102" s="46" t="s">
        <v>263</v>
      </c>
      <c r="B102" s="47"/>
      <c r="C102" s="47">
        <v>24</v>
      </c>
      <c r="D102" s="47" t="s">
        <v>1950</v>
      </c>
    </row>
    <row r="103" spans="1:4">
      <c r="A103" s="46" t="s">
        <v>264</v>
      </c>
      <c r="B103" s="47"/>
      <c r="C103" s="47">
        <v>10</v>
      </c>
      <c r="D103" s="47" t="s">
        <v>1950</v>
      </c>
    </row>
    <row r="104" spans="1:4">
      <c r="A104" s="46" t="s">
        <v>266</v>
      </c>
      <c r="B104" s="47"/>
      <c r="C104" s="47">
        <v>0</v>
      </c>
      <c r="D104" s="47" t="s">
        <v>1950</v>
      </c>
    </row>
    <row r="105" spans="1:4">
      <c r="A105" s="46" t="s">
        <v>267</v>
      </c>
      <c r="B105" s="47"/>
      <c r="C105" s="47">
        <v>4</v>
      </c>
      <c r="D105" s="47" t="s">
        <v>1950</v>
      </c>
    </row>
    <row r="106" spans="1:4">
      <c r="A106" s="46" t="s">
        <v>268</v>
      </c>
      <c r="B106" s="47"/>
      <c r="C106" s="47">
        <v>13</v>
      </c>
      <c r="D106" s="47" t="s">
        <v>1950</v>
      </c>
    </row>
    <row r="107" spans="1:4">
      <c r="A107" s="46" t="s">
        <v>269</v>
      </c>
      <c r="B107" s="47"/>
      <c r="C107" s="47">
        <v>12</v>
      </c>
      <c r="D107" s="47" t="s">
        <v>1950</v>
      </c>
    </row>
    <row r="108" spans="1:4">
      <c r="A108" s="46" t="s">
        <v>270</v>
      </c>
      <c r="B108" s="47"/>
      <c r="C108" s="47">
        <v>0</v>
      </c>
      <c r="D108" s="47" t="s">
        <v>1950</v>
      </c>
    </row>
    <row r="109" spans="1:4">
      <c r="A109" s="46" t="s">
        <v>271</v>
      </c>
      <c r="B109" s="47"/>
      <c r="C109" s="47">
        <v>17</v>
      </c>
      <c r="D109" s="47" t="s">
        <v>1950</v>
      </c>
    </row>
    <row r="110" spans="1:4">
      <c r="A110" s="46" t="s">
        <v>272</v>
      </c>
      <c r="B110" s="47"/>
      <c r="C110" s="47">
        <v>2</v>
      </c>
      <c r="D110" s="47" t="s">
        <v>1950</v>
      </c>
    </row>
    <row r="111" spans="1:4">
      <c r="A111" s="46" t="s">
        <v>650</v>
      </c>
      <c r="B111" s="47"/>
      <c r="C111" s="47">
        <v>2</v>
      </c>
      <c r="D111" s="47" t="s">
        <v>1950</v>
      </c>
    </row>
    <row r="112" spans="1:4">
      <c r="A112" s="46" t="s">
        <v>273</v>
      </c>
      <c r="B112" s="47"/>
      <c r="C112" s="47">
        <v>0</v>
      </c>
      <c r="D112" s="47" t="s">
        <v>1950</v>
      </c>
    </row>
    <row r="113" spans="1:4">
      <c r="A113" s="46" t="s">
        <v>274</v>
      </c>
      <c r="B113" s="47"/>
      <c r="C113" s="47">
        <v>1</v>
      </c>
      <c r="D113" s="47" t="s">
        <v>1950</v>
      </c>
    </row>
    <row r="114" spans="1:4">
      <c r="A114" s="46" t="s">
        <v>275</v>
      </c>
      <c r="B114" s="47"/>
      <c r="C114" s="47">
        <v>5</v>
      </c>
      <c r="D114" s="47" t="s">
        <v>1950</v>
      </c>
    </row>
    <row r="115" spans="1:4">
      <c r="A115" s="46" t="s">
        <v>276</v>
      </c>
      <c r="B115" s="47"/>
      <c r="C115" s="47">
        <v>5</v>
      </c>
      <c r="D115" s="47" t="s">
        <v>1950</v>
      </c>
    </row>
    <row r="116" spans="1:4">
      <c r="A116" s="46" t="s">
        <v>277</v>
      </c>
      <c r="B116" s="47"/>
      <c r="C116" s="47">
        <v>17</v>
      </c>
      <c r="D116" s="47" t="s">
        <v>1950</v>
      </c>
    </row>
    <row r="117" spans="1:4">
      <c r="A117" s="46" t="s">
        <v>278</v>
      </c>
      <c r="B117" s="47"/>
      <c r="C117" s="47">
        <v>0</v>
      </c>
      <c r="D117" s="47" t="s">
        <v>1950</v>
      </c>
    </row>
    <row r="118" spans="1:4">
      <c r="A118" s="46" t="s">
        <v>279</v>
      </c>
      <c r="B118" s="47"/>
      <c r="C118" s="47">
        <v>13</v>
      </c>
      <c r="D118" s="47" t="s">
        <v>1950</v>
      </c>
    </row>
    <row r="119" spans="1:4">
      <c r="A119" s="46" t="s">
        <v>281</v>
      </c>
      <c r="B119" s="47"/>
      <c r="C119" s="47">
        <v>0</v>
      </c>
      <c r="D119" s="47" t="s">
        <v>1950</v>
      </c>
    </row>
    <row r="120" spans="1:4">
      <c r="A120" s="46" t="s">
        <v>288</v>
      </c>
      <c r="B120" s="47"/>
      <c r="C120" s="47">
        <v>33</v>
      </c>
      <c r="D120" s="47" t="s">
        <v>1950</v>
      </c>
    </row>
    <row r="121" spans="1:4">
      <c r="A121" s="46" t="s">
        <v>289</v>
      </c>
      <c r="B121" s="47"/>
      <c r="C121" s="47">
        <v>37</v>
      </c>
      <c r="D121" s="47" t="s">
        <v>1950</v>
      </c>
    </row>
    <row r="122" spans="1:4">
      <c r="A122" s="46" t="s">
        <v>290</v>
      </c>
      <c r="B122" s="47"/>
      <c r="C122" s="47">
        <v>0</v>
      </c>
      <c r="D122" s="47" t="s">
        <v>1950</v>
      </c>
    </row>
    <row r="123" spans="1:4">
      <c r="A123" s="46" t="s">
        <v>291</v>
      </c>
      <c r="B123" s="47"/>
      <c r="C123" s="47">
        <v>13</v>
      </c>
      <c r="D123" s="47" t="s">
        <v>1950</v>
      </c>
    </row>
    <row r="124" spans="1:4">
      <c r="A124" s="46" t="s">
        <v>294</v>
      </c>
      <c r="B124" s="47"/>
      <c r="C124" s="47">
        <v>23</v>
      </c>
      <c r="D124" s="47" t="s">
        <v>1950</v>
      </c>
    </row>
    <row r="125" spans="1:4">
      <c r="A125" s="46" t="s">
        <v>295</v>
      </c>
      <c r="B125" s="47"/>
      <c r="C125" s="47">
        <v>0</v>
      </c>
      <c r="D125" s="47" t="s">
        <v>1950</v>
      </c>
    </row>
    <row r="126" spans="1:4">
      <c r="A126" s="46" t="s">
        <v>297</v>
      </c>
      <c r="B126" s="47"/>
      <c r="C126" s="47">
        <v>55</v>
      </c>
      <c r="D126" s="47" t="s">
        <v>1950</v>
      </c>
    </row>
    <row r="127" spans="1:4">
      <c r="A127" s="46" t="s">
        <v>298</v>
      </c>
      <c r="B127" s="47"/>
      <c r="C127" s="47">
        <v>0</v>
      </c>
      <c r="D127" s="47" t="s">
        <v>1950</v>
      </c>
    </row>
    <row r="128" spans="1:4">
      <c r="A128" s="46" t="s">
        <v>299</v>
      </c>
      <c r="B128" s="47"/>
      <c r="C128" s="47">
        <v>0</v>
      </c>
      <c r="D128" s="47" t="s">
        <v>1950</v>
      </c>
    </row>
    <row r="129" spans="1:4">
      <c r="A129" s="46" t="s">
        <v>658</v>
      </c>
      <c r="B129" s="47"/>
      <c r="C129" s="47">
        <v>2</v>
      </c>
      <c r="D129" s="47" t="s">
        <v>1950</v>
      </c>
    </row>
    <row r="130" spans="1:4">
      <c r="A130" s="46" t="s">
        <v>300</v>
      </c>
      <c r="B130" s="47"/>
      <c r="C130" s="47">
        <v>0</v>
      </c>
      <c r="D130" s="47" t="s">
        <v>1950</v>
      </c>
    </row>
    <row r="131" spans="1:4">
      <c r="A131" s="46" t="s">
        <v>301</v>
      </c>
      <c r="B131" s="47"/>
      <c r="C131" s="47">
        <v>20</v>
      </c>
      <c r="D131" s="47" t="s">
        <v>1950</v>
      </c>
    </row>
    <row r="132" spans="1:4">
      <c r="A132" s="46" t="s">
        <v>302</v>
      </c>
      <c r="B132" s="47"/>
      <c r="C132" s="47">
        <v>0</v>
      </c>
      <c r="D132" s="47" t="s">
        <v>1950</v>
      </c>
    </row>
    <row r="133" spans="1:4">
      <c r="A133" s="46" t="s">
        <v>303</v>
      </c>
      <c r="B133" s="47"/>
      <c r="C133" s="47">
        <v>11</v>
      </c>
      <c r="D133" s="47" t="s">
        <v>1950</v>
      </c>
    </row>
    <row r="134" spans="1:4">
      <c r="A134" s="46" t="s">
        <v>304</v>
      </c>
      <c r="B134" s="47"/>
      <c r="C134" s="47">
        <v>8</v>
      </c>
      <c r="D134" s="47" t="s">
        <v>1950</v>
      </c>
    </row>
    <row r="135" spans="1:4">
      <c r="A135" s="46" t="s">
        <v>305</v>
      </c>
      <c r="B135" s="47"/>
      <c r="C135" s="47">
        <v>17</v>
      </c>
      <c r="D135" s="47" t="s">
        <v>1950</v>
      </c>
    </row>
    <row r="136" spans="1:4">
      <c r="A136" s="46" t="s">
        <v>306</v>
      </c>
      <c r="B136" s="47"/>
      <c r="C136" s="47">
        <v>0</v>
      </c>
      <c r="D136" s="47" t="s">
        <v>1950</v>
      </c>
    </row>
    <row r="137" spans="1:4">
      <c r="A137" s="46" t="s">
        <v>307</v>
      </c>
      <c r="B137" s="47"/>
      <c r="C137" s="47">
        <v>26</v>
      </c>
      <c r="D137" s="47" t="s">
        <v>1950</v>
      </c>
    </row>
    <row r="138" spans="1:4">
      <c r="A138" s="46" t="s">
        <v>308</v>
      </c>
      <c r="B138" s="47"/>
      <c r="C138" s="47">
        <v>0</v>
      </c>
      <c r="D138" s="47" t="s">
        <v>1950</v>
      </c>
    </row>
    <row r="139" spans="1:4">
      <c r="A139" s="46" t="s">
        <v>309</v>
      </c>
      <c r="B139" s="47"/>
      <c r="C139" s="47">
        <v>13</v>
      </c>
      <c r="D139" s="47" t="s">
        <v>1950</v>
      </c>
    </row>
    <row r="140" spans="1:4">
      <c r="A140" s="46" t="s">
        <v>310</v>
      </c>
      <c r="B140" s="47"/>
      <c r="C140" s="47">
        <v>0</v>
      </c>
      <c r="D140" s="47" t="s">
        <v>1950</v>
      </c>
    </row>
    <row r="141" spans="1:4">
      <c r="A141" s="46" t="s">
        <v>311</v>
      </c>
      <c r="B141" s="47"/>
      <c r="C141" s="47">
        <v>28</v>
      </c>
      <c r="D141" s="47" t="s">
        <v>1950</v>
      </c>
    </row>
    <row r="142" spans="1:4">
      <c r="A142" s="46" t="s">
        <v>312</v>
      </c>
      <c r="B142" s="47"/>
      <c r="C142" s="47">
        <v>0</v>
      </c>
      <c r="D142" s="47" t="s">
        <v>1950</v>
      </c>
    </row>
    <row r="143" spans="1:4">
      <c r="A143" s="46" t="s">
        <v>314</v>
      </c>
      <c r="B143" s="47"/>
      <c r="C143" s="47">
        <v>7</v>
      </c>
      <c r="D143" s="47" t="s">
        <v>1950</v>
      </c>
    </row>
    <row r="144" spans="1:4">
      <c r="A144" s="46" t="s">
        <v>315</v>
      </c>
      <c r="B144" s="47"/>
      <c r="C144" s="47">
        <v>0</v>
      </c>
      <c r="D144" s="47" t="s">
        <v>1950</v>
      </c>
    </row>
    <row r="145" spans="1:4">
      <c r="A145" s="46" t="s">
        <v>318</v>
      </c>
      <c r="B145" s="47"/>
      <c r="C145" s="47">
        <v>16</v>
      </c>
      <c r="D145" s="47" t="s">
        <v>1950</v>
      </c>
    </row>
    <row r="146" spans="1:4">
      <c r="A146" s="46" t="s">
        <v>319</v>
      </c>
      <c r="B146" s="47"/>
      <c r="C146" s="47">
        <v>20</v>
      </c>
      <c r="D146" s="47" t="s">
        <v>1950</v>
      </c>
    </row>
    <row r="147" spans="1:4">
      <c r="A147" s="46" t="s">
        <v>321</v>
      </c>
      <c r="B147" s="47"/>
      <c r="C147" s="47">
        <v>0</v>
      </c>
      <c r="D147" s="47" t="s">
        <v>1950</v>
      </c>
    </row>
    <row r="148" spans="1:4">
      <c r="A148" s="46" t="s">
        <v>323</v>
      </c>
      <c r="B148" s="47"/>
      <c r="C148" s="47">
        <v>6</v>
      </c>
      <c r="D148" s="47" t="s">
        <v>1950</v>
      </c>
    </row>
    <row r="149" spans="1:4">
      <c r="A149" s="46" t="s">
        <v>324</v>
      </c>
      <c r="B149" s="47"/>
      <c r="C149" s="47">
        <v>2</v>
      </c>
      <c r="D149" s="47" t="s">
        <v>1950</v>
      </c>
    </row>
    <row r="150" spans="1:4">
      <c r="A150" s="46" t="s">
        <v>325</v>
      </c>
      <c r="B150" s="47"/>
      <c r="C150" s="47">
        <v>15</v>
      </c>
      <c r="D150" s="47" t="s">
        <v>1950</v>
      </c>
    </row>
    <row r="151" spans="1:4">
      <c r="A151" s="46" t="s">
        <v>326</v>
      </c>
      <c r="B151" s="47"/>
      <c r="C151" s="47">
        <v>4</v>
      </c>
      <c r="D151" s="47" t="s">
        <v>1950</v>
      </c>
    </row>
    <row r="152" spans="1:4">
      <c r="A152" s="46" t="s">
        <v>327</v>
      </c>
      <c r="B152" s="47"/>
      <c r="C152" s="47">
        <v>11</v>
      </c>
      <c r="D152" s="47" t="s">
        <v>1950</v>
      </c>
    </row>
    <row r="153" spans="1:4">
      <c r="A153" s="46" t="s">
        <v>328</v>
      </c>
      <c r="B153" s="47"/>
      <c r="C153" s="47">
        <v>49</v>
      </c>
      <c r="D153" s="47" t="s">
        <v>1950</v>
      </c>
    </row>
    <row r="154" spans="1:4">
      <c r="A154" s="46" t="s">
        <v>659</v>
      </c>
      <c r="B154" s="47"/>
      <c r="C154" s="47">
        <v>2</v>
      </c>
      <c r="D154" s="47" t="s">
        <v>1950</v>
      </c>
    </row>
    <row r="155" spans="1:4">
      <c r="A155" s="46" t="s">
        <v>331</v>
      </c>
      <c r="B155" s="47"/>
      <c r="C155" s="47">
        <v>2</v>
      </c>
      <c r="D155" s="47" t="s">
        <v>1950</v>
      </c>
    </row>
    <row r="156" spans="1:4">
      <c r="A156" s="46" t="s">
        <v>332</v>
      </c>
      <c r="B156" s="47"/>
      <c r="C156" s="47">
        <v>2</v>
      </c>
      <c r="D156" s="47" t="s">
        <v>1950</v>
      </c>
    </row>
    <row r="157" spans="1:4">
      <c r="A157" s="46" t="s">
        <v>334</v>
      </c>
      <c r="B157" s="47"/>
      <c r="C157" s="47">
        <v>1</v>
      </c>
      <c r="D157" s="47" t="s">
        <v>1950</v>
      </c>
    </row>
    <row r="158" spans="1:4">
      <c r="A158" s="46" t="s">
        <v>335</v>
      </c>
      <c r="B158" s="47"/>
      <c r="C158" s="47">
        <v>1</v>
      </c>
      <c r="D158" s="47" t="s">
        <v>1950</v>
      </c>
    </row>
    <row r="159" spans="1:4">
      <c r="A159" s="46" t="s">
        <v>336</v>
      </c>
      <c r="B159" s="47"/>
      <c r="C159" s="47">
        <v>0</v>
      </c>
      <c r="D159" s="47" t="s">
        <v>1950</v>
      </c>
    </row>
    <row r="160" spans="1:4">
      <c r="A160" s="46" t="s">
        <v>337</v>
      </c>
      <c r="B160" s="47"/>
      <c r="C160" s="47">
        <v>28</v>
      </c>
      <c r="D160" s="47" t="s">
        <v>1950</v>
      </c>
    </row>
    <row r="161" spans="1:4">
      <c r="A161" s="46" t="s">
        <v>338</v>
      </c>
      <c r="B161" s="47"/>
      <c r="C161" s="47">
        <v>27</v>
      </c>
      <c r="D161" s="47" t="s">
        <v>1950</v>
      </c>
    </row>
    <row r="162" spans="1:4">
      <c r="A162" s="46" t="s">
        <v>339</v>
      </c>
      <c r="B162" s="47"/>
      <c r="C162" s="47">
        <v>0</v>
      </c>
      <c r="D162" s="47" t="s">
        <v>1950</v>
      </c>
    </row>
    <row r="163" spans="1:4">
      <c r="A163" s="46" t="s">
        <v>340</v>
      </c>
      <c r="B163" s="47"/>
      <c r="C163" s="47">
        <v>1</v>
      </c>
      <c r="D163" s="47" t="s">
        <v>1950</v>
      </c>
    </row>
    <row r="164" spans="1:4">
      <c r="A164" s="46" t="s">
        <v>341</v>
      </c>
      <c r="B164" s="47"/>
      <c r="C164" s="47">
        <v>3</v>
      </c>
      <c r="D164" s="47" t="s">
        <v>1950</v>
      </c>
    </row>
    <row r="165" spans="1:4">
      <c r="A165" s="46" t="s">
        <v>342</v>
      </c>
      <c r="B165" s="47"/>
      <c r="C165" s="47">
        <v>13</v>
      </c>
      <c r="D165" s="47" t="s">
        <v>1950</v>
      </c>
    </row>
    <row r="166" spans="1:4">
      <c r="A166" s="46" t="s">
        <v>344</v>
      </c>
      <c r="B166" s="47"/>
      <c r="C166" s="47">
        <v>0</v>
      </c>
      <c r="D166" s="47" t="s">
        <v>1950</v>
      </c>
    </row>
    <row r="167" spans="1:4">
      <c r="A167" s="46" t="s">
        <v>345</v>
      </c>
      <c r="B167" s="47"/>
      <c r="C167" s="47">
        <v>14</v>
      </c>
      <c r="D167" s="47" t="s">
        <v>1950</v>
      </c>
    </row>
    <row r="168" spans="1:4">
      <c r="A168" s="46" t="s">
        <v>346</v>
      </c>
      <c r="B168" s="47"/>
      <c r="C168" s="47">
        <v>21</v>
      </c>
      <c r="D168" s="47" t="s">
        <v>1950</v>
      </c>
    </row>
    <row r="169" spans="1:4">
      <c r="A169" s="46" t="s">
        <v>347</v>
      </c>
      <c r="B169" s="47"/>
      <c r="C169" s="47">
        <v>3</v>
      </c>
      <c r="D169" s="47" t="s">
        <v>1950</v>
      </c>
    </row>
    <row r="170" spans="1:4">
      <c r="A170" s="46" t="s">
        <v>348</v>
      </c>
      <c r="B170" s="47"/>
      <c r="C170" s="47">
        <v>0</v>
      </c>
      <c r="D170" s="47" t="s">
        <v>1950</v>
      </c>
    </row>
    <row r="171" spans="1:4">
      <c r="A171" s="46" t="s">
        <v>349</v>
      </c>
      <c r="B171" s="47"/>
      <c r="C171" s="47">
        <v>0</v>
      </c>
      <c r="D171" s="47" t="s">
        <v>1950</v>
      </c>
    </row>
    <row r="172" spans="1:4">
      <c r="A172" s="46" t="s">
        <v>350</v>
      </c>
      <c r="B172" s="47"/>
      <c r="C172" s="47">
        <v>7</v>
      </c>
      <c r="D172" s="47" t="s">
        <v>1950</v>
      </c>
    </row>
    <row r="173" spans="1:4">
      <c r="A173" s="46" t="s">
        <v>351</v>
      </c>
      <c r="B173" s="47"/>
      <c r="C173" s="47">
        <v>20</v>
      </c>
      <c r="D173" s="47" t="s">
        <v>1950</v>
      </c>
    </row>
    <row r="174" spans="1:4">
      <c r="A174" s="46" t="s">
        <v>352</v>
      </c>
      <c r="B174" s="47"/>
      <c r="C174" s="47">
        <v>8</v>
      </c>
      <c r="D174" s="47" t="s">
        <v>1950</v>
      </c>
    </row>
    <row r="175" spans="1:4">
      <c r="A175" s="46" t="s">
        <v>353</v>
      </c>
      <c r="B175" s="47"/>
      <c r="C175" s="47">
        <v>2</v>
      </c>
      <c r="D175" s="47" t="s">
        <v>1950</v>
      </c>
    </row>
    <row r="176" spans="1:4">
      <c r="A176" s="46" t="s">
        <v>354</v>
      </c>
      <c r="B176" s="47"/>
      <c r="C176" s="47">
        <v>10</v>
      </c>
      <c r="D176" s="47" t="s">
        <v>1950</v>
      </c>
    </row>
    <row r="177" spans="1:4">
      <c r="A177" s="46" t="s">
        <v>355</v>
      </c>
      <c r="B177" s="47"/>
      <c r="C177" s="47">
        <v>12</v>
      </c>
      <c r="D177" s="47" t="s">
        <v>1950</v>
      </c>
    </row>
    <row r="178" spans="1:4">
      <c r="A178" s="46" t="s">
        <v>357</v>
      </c>
      <c r="B178" s="47"/>
      <c r="C178" s="47">
        <v>15</v>
      </c>
      <c r="D178" s="47" t="s">
        <v>1950</v>
      </c>
    </row>
    <row r="179" spans="1:4">
      <c r="A179" s="46" t="s">
        <v>360</v>
      </c>
      <c r="B179" s="47"/>
      <c r="C179" s="47">
        <v>0</v>
      </c>
      <c r="D179" s="47" t="s">
        <v>1950</v>
      </c>
    </row>
    <row r="180" spans="1:4">
      <c r="A180" s="46" t="s">
        <v>361</v>
      </c>
      <c r="B180" s="47"/>
      <c r="C180" s="47">
        <v>2</v>
      </c>
      <c r="D180" s="47" t="s">
        <v>1950</v>
      </c>
    </row>
    <row r="181" spans="1:4">
      <c r="A181" s="46" t="s">
        <v>362</v>
      </c>
      <c r="B181" s="47"/>
      <c r="C181" s="47">
        <v>12</v>
      </c>
      <c r="D181" s="47" t="s">
        <v>1950</v>
      </c>
    </row>
    <row r="182" spans="1:4">
      <c r="A182" s="46" t="s">
        <v>363</v>
      </c>
      <c r="B182" s="47"/>
      <c r="C182" s="47">
        <v>4</v>
      </c>
      <c r="D182" s="47" t="s">
        <v>1950</v>
      </c>
    </row>
    <row r="183" spans="1:4">
      <c r="A183" s="46" t="s">
        <v>364</v>
      </c>
      <c r="B183" s="47"/>
      <c r="C183" s="47">
        <v>0</v>
      </c>
      <c r="D183" s="47" t="s">
        <v>1950</v>
      </c>
    </row>
    <row r="184" spans="1:4">
      <c r="A184" s="46" t="s">
        <v>365</v>
      </c>
      <c r="B184" s="47"/>
      <c r="C184" s="47">
        <v>20</v>
      </c>
      <c r="D184" s="47" t="s">
        <v>1950</v>
      </c>
    </row>
    <row r="185" spans="1:4">
      <c r="A185" s="46" t="s">
        <v>366</v>
      </c>
      <c r="B185" s="47"/>
      <c r="C185" s="47">
        <v>1</v>
      </c>
      <c r="D185" s="47" t="s">
        <v>1950</v>
      </c>
    </row>
    <row r="186" spans="1:4">
      <c r="A186" s="46" t="s">
        <v>660</v>
      </c>
      <c r="B186" s="47"/>
      <c r="C186" s="47">
        <v>7</v>
      </c>
      <c r="D186" s="47" t="s">
        <v>1950</v>
      </c>
    </row>
    <row r="187" spans="1:4">
      <c r="A187" s="46" t="s">
        <v>367</v>
      </c>
      <c r="B187" s="47"/>
      <c r="C187" s="47">
        <v>0</v>
      </c>
      <c r="D187" s="47" t="s">
        <v>1950</v>
      </c>
    </row>
    <row r="188" spans="1:4">
      <c r="A188" s="46" t="s">
        <v>368</v>
      </c>
      <c r="B188" s="47"/>
      <c r="C188" s="47">
        <v>1</v>
      </c>
      <c r="D188" s="47" t="s">
        <v>1950</v>
      </c>
    </row>
    <row r="189" spans="1:4">
      <c r="A189" s="46" t="s">
        <v>661</v>
      </c>
      <c r="B189" s="47"/>
      <c r="C189" s="47">
        <v>2</v>
      </c>
      <c r="D189" s="47" t="s">
        <v>1950</v>
      </c>
    </row>
    <row r="190" spans="1:4">
      <c r="A190" s="46" t="s">
        <v>369</v>
      </c>
      <c r="B190" s="47"/>
      <c r="C190" s="47">
        <v>0</v>
      </c>
      <c r="D190" s="47" t="s">
        <v>1950</v>
      </c>
    </row>
    <row r="191" spans="1:4">
      <c r="A191" s="46" t="s">
        <v>372</v>
      </c>
      <c r="B191" s="47"/>
      <c r="C191" s="47">
        <v>17</v>
      </c>
      <c r="D191" s="47" t="s">
        <v>1950</v>
      </c>
    </row>
    <row r="192" spans="1:4">
      <c r="A192" s="46" t="s">
        <v>373</v>
      </c>
      <c r="B192" s="47"/>
      <c r="C192" s="47">
        <v>0</v>
      </c>
      <c r="D192" s="47" t="s">
        <v>1950</v>
      </c>
    </row>
    <row r="193" spans="1:4">
      <c r="A193" s="46" t="s">
        <v>374</v>
      </c>
      <c r="B193" s="47"/>
      <c r="C193" s="47">
        <v>5</v>
      </c>
      <c r="D193" s="47" t="s">
        <v>1950</v>
      </c>
    </row>
    <row r="194" spans="1:4">
      <c r="A194" s="46" t="s">
        <v>376</v>
      </c>
      <c r="B194" s="47"/>
      <c r="C194" s="47">
        <v>2</v>
      </c>
      <c r="D194" s="47" t="s">
        <v>1950</v>
      </c>
    </row>
    <row r="195" spans="1:4">
      <c r="A195" s="46" t="s">
        <v>385</v>
      </c>
      <c r="B195" s="47"/>
      <c r="C195" s="47">
        <v>27</v>
      </c>
      <c r="D195" s="47" t="s">
        <v>1950</v>
      </c>
    </row>
    <row r="196" spans="1:4">
      <c r="A196" s="46" t="s">
        <v>386</v>
      </c>
      <c r="B196" s="47"/>
      <c r="C196" s="47">
        <v>21</v>
      </c>
      <c r="D196" s="47" t="s">
        <v>1950</v>
      </c>
    </row>
    <row r="197" spans="1:4">
      <c r="A197" s="46" t="s">
        <v>387</v>
      </c>
      <c r="B197" s="47"/>
      <c r="C197" s="47">
        <v>0</v>
      </c>
      <c r="D197" s="47" t="s">
        <v>1950</v>
      </c>
    </row>
    <row r="198" spans="1:4">
      <c r="A198" s="46" t="s">
        <v>388</v>
      </c>
      <c r="B198" s="47"/>
      <c r="C198" s="47">
        <v>22</v>
      </c>
      <c r="D198" s="47" t="s">
        <v>1950</v>
      </c>
    </row>
    <row r="199" spans="1:4">
      <c r="A199" s="46" t="s">
        <v>555</v>
      </c>
      <c r="B199" s="47"/>
      <c r="C199" s="47">
        <v>1</v>
      </c>
      <c r="D199" s="47" t="s">
        <v>1950</v>
      </c>
    </row>
    <row r="200" spans="1:4">
      <c r="A200" s="46" t="s">
        <v>556</v>
      </c>
      <c r="B200" s="47"/>
      <c r="C200" s="47">
        <v>9</v>
      </c>
      <c r="D200" s="47" t="s">
        <v>1950</v>
      </c>
    </row>
    <row r="201" spans="1:4">
      <c r="A201" s="46" t="s">
        <v>680</v>
      </c>
      <c r="B201" s="47"/>
      <c r="C201" s="47">
        <v>4</v>
      </c>
      <c r="D201" s="47" t="s">
        <v>1950</v>
      </c>
    </row>
    <row r="202" spans="1:4">
      <c r="A202" s="46" t="s">
        <v>557</v>
      </c>
      <c r="B202" s="47"/>
      <c r="C202" s="47">
        <v>16</v>
      </c>
      <c r="D202" s="47" t="s">
        <v>1950</v>
      </c>
    </row>
    <row r="203" spans="1:4">
      <c r="A203" s="46" t="s">
        <v>664</v>
      </c>
      <c r="B203" s="47"/>
      <c r="C203" s="47">
        <v>56</v>
      </c>
      <c r="D203" s="47" t="s">
        <v>1950</v>
      </c>
    </row>
    <row r="204" spans="1:4">
      <c r="A204" s="46" t="s">
        <v>558</v>
      </c>
      <c r="B204" s="47"/>
      <c r="C204" s="47">
        <v>3</v>
      </c>
      <c r="D204" s="47" t="s">
        <v>1950</v>
      </c>
    </row>
    <row r="205" spans="1:4">
      <c r="A205" s="46" t="s">
        <v>559</v>
      </c>
      <c r="B205" s="47"/>
      <c r="C205" s="47">
        <v>4</v>
      </c>
      <c r="D205" s="47" t="s">
        <v>1950</v>
      </c>
    </row>
    <row r="206" spans="1:4">
      <c r="A206" s="46" t="s">
        <v>560</v>
      </c>
      <c r="B206" s="47"/>
      <c r="C206" s="47">
        <v>1</v>
      </c>
      <c r="D206" s="47" t="s">
        <v>1950</v>
      </c>
    </row>
    <row r="207" spans="1:4">
      <c r="A207" s="46" t="s">
        <v>561</v>
      </c>
      <c r="B207" s="47"/>
      <c r="C207" s="47">
        <v>4</v>
      </c>
      <c r="D207" s="47" t="s">
        <v>1950</v>
      </c>
    </row>
    <row r="208" spans="1:4">
      <c r="A208" s="46" t="s">
        <v>562</v>
      </c>
      <c r="B208" s="47"/>
      <c r="C208" s="47">
        <v>4</v>
      </c>
      <c r="D208" s="47" t="s">
        <v>1950</v>
      </c>
    </row>
    <row r="209" spans="1:4">
      <c r="A209" s="46" t="s">
        <v>563</v>
      </c>
      <c r="B209" s="47"/>
      <c r="C209" s="47">
        <v>15</v>
      </c>
      <c r="D209" s="47" t="s">
        <v>1950</v>
      </c>
    </row>
    <row r="210" spans="1:4">
      <c r="A210" s="46" t="s">
        <v>564</v>
      </c>
      <c r="B210" s="47"/>
      <c r="C210" s="47">
        <v>4</v>
      </c>
      <c r="D210" s="47" t="s">
        <v>1950</v>
      </c>
    </row>
    <row r="211" spans="1:4">
      <c r="A211" s="46" t="s">
        <v>665</v>
      </c>
      <c r="B211" s="47"/>
      <c r="C211" s="47">
        <v>36</v>
      </c>
      <c r="D211" s="47" t="s">
        <v>1950</v>
      </c>
    </row>
    <row r="212" spans="1:4">
      <c r="A212" s="46" t="s">
        <v>565</v>
      </c>
      <c r="B212" s="47"/>
      <c r="C212" s="47">
        <v>4</v>
      </c>
      <c r="D212" s="47" t="s">
        <v>1950</v>
      </c>
    </row>
    <row r="213" spans="1:4">
      <c r="A213" s="46" t="s">
        <v>566</v>
      </c>
      <c r="B213" s="47"/>
      <c r="C213" s="47">
        <v>4</v>
      </c>
      <c r="D213" s="47" t="s">
        <v>1950</v>
      </c>
    </row>
    <row r="214" spans="1:4">
      <c r="A214" s="46" t="s">
        <v>567</v>
      </c>
      <c r="B214" s="47"/>
      <c r="C214" s="47">
        <v>3</v>
      </c>
      <c r="D214" s="47" t="s">
        <v>1950</v>
      </c>
    </row>
    <row r="215" spans="1:4">
      <c r="A215" s="46" t="s">
        <v>568</v>
      </c>
      <c r="B215" s="47"/>
      <c r="C215" s="47">
        <v>4</v>
      </c>
      <c r="D215" s="47" t="s">
        <v>1950</v>
      </c>
    </row>
    <row r="216" spans="1:4">
      <c r="A216" s="46" t="s">
        <v>666</v>
      </c>
      <c r="C216" s="137">
        <v>51</v>
      </c>
      <c r="D216" s="47" t="s">
        <v>1950</v>
      </c>
    </row>
    <row r="217" spans="1:4">
      <c r="A217" s="46" t="s">
        <v>569</v>
      </c>
      <c r="C217" s="137">
        <v>8</v>
      </c>
      <c r="D217" s="47" t="s">
        <v>1950</v>
      </c>
    </row>
    <row r="218" spans="1:4">
      <c r="A218" s="46" t="s">
        <v>570</v>
      </c>
      <c r="C218" s="137">
        <v>6</v>
      </c>
      <c r="D218" s="47" t="s">
        <v>1950</v>
      </c>
    </row>
    <row r="219" spans="1:4">
      <c r="A219" s="46" t="s">
        <v>571</v>
      </c>
      <c r="C219" s="137">
        <v>11</v>
      </c>
      <c r="D219" s="47" t="s">
        <v>1950</v>
      </c>
    </row>
    <row r="220" spans="1:4">
      <c r="A220" s="46" t="s">
        <v>681</v>
      </c>
      <c r="C220" s="137">
        <v>3</v>
      </c>
      <c r="D220" s="47" t="s">
        <v>1950</v>
      </c>
    </row>
    <row r="221" spans="1:4">
      <c r="A221" s="46" t="s">
        <v>572</v>
      </c>
      <c r="C221" s="137">
        <v>3</v>
      </c>
      <c r="D221" s="47" t="s">
        <v>1950</v>
      </c>
    </row>
    <row r="222" spans="1:4">
      <c r="A222" s="46" t="s">
        <v>573</v>
      </c>
      <c r="C222" s="137">
        <v>0</v>
      </c>
      <c r="D222" s="47" t="s">
        <v>1950</v>
      </c>
    </row>
    <row r="223" spans="1:4">
      <c r="A223" s="46" t="s">
        <v>574</v>
      </c>
      <c r="C223" s="137">
        <v>22</v>
      </c>
      <c r="D223" s="47" t="s">
        <v>1950</v>
      </c>
    </row>
    <row r="224" spans="1:4">
      <c r="A224" s="46" t="s">
        <v>575</v>
      </c>
      <c r="C224" s="137">
        <v>16</v>
      </c>
      <c r="D224" s="47" t="s">
        <v>1950</v>
      </c>
    </row>
    <row r="225" spans="1:4">
      <c r="A225" s="46" t="s">
        <v>576</v>
      </c>
      <c r="C225" s="137">
        <v>3</v>
      </c>
      <c r="D225" s="47" t="s">
        <v>1950</v>
      </c>
    </row>
    <row r="226" spans="1:4">
      <c r="A226" s="46" t="s">
        <v>577</v>
      </c>
      <c r="C226" s="137">
        <v>4</v>
      </c>
      <c r="D226" s="47" t="s">
        <v>1950</v>
      </c>
    </row>
    <row r="227" spans="1:4">
      <c r="A227" s="46" t="s">
        <v>578</v>
      </c>
      <c r="C227" s="137">
        <v>0</v>
      </c>
      <c r="D227" s="47" t="s">
        <v>1950</v>
      </c>
    </row>
    <row r="228" spans="1:4">
      <c r="A228" s="46" t="s">
        <v>667</v>
      </c>
      <c r="C228" s="137">
        <v>15</v>
      </c>
      <c r="D228" s="47" t="s">
        <v>1950</v>
      </c>
    </row>
    <row r="229" spans="1:4">
      <c r="A229" s="46" t="s">
        <v>579</v>
      </c>
      <c r="C229" s="137">
        <v>1</v>
      </c>
      <c r="D229" s="47" t="s">
        <v>1950</v>
      </c>
    </row>
    <row r="230" spans="1:4">
      <c r="A230" s="46" t="s">
        <v>580</v>
      </c>
      <c r="C230" s="137">
        <v>2</v>
      </c>
      <c r="D230" s="47" t="s">
        <v>1950</v>
      </c>
    </row>
    <row r="231" spans="1:4">
      <c r="A231" s="46" t="s">
        <v>581</v>
      </c>
      <c r="C231" s="137">
        <v>15</v>
      </c>
      <c r="D231" s="47" t="s">
        <v>1950</v>
      </c>
    </row>
    <row r="232" spans="1:4">
      <c r="A232" s="46" t="s">
        <v>582</v>
      </c>
      <c r="C232" s="137">
        <v>5</v>
      </c>
      <c r="D232" s="47" t="s">
        <v>1950</v>
      </c>
    </row>
    <row r="233" spans="1:4">
      <c r="A233" s="46" t="s">
        <v>689</v>
      </c>
      <c r="C233" s="137">
        <v>1</v>
      </c>
      <c r="D233" s="47" t="s">
        <v>1950</v>
      </c>
    </row>
    <row r="234" spans="1:4">
      <c r="A234" s="46" t="s">
        <v>690</v>
      </c>
      <c r="C234" s="137">
        <v>2</v>
      </c>
      <c r="D234" s="47" t="s">
        <v>1950</v>
      </c>
    </row>
    <row r="235" spans="1:4">
      <c r="A235" s="46" t="s">
        <v>583</v>
      </c>
      <c r="C235" s="137">
        <v>7</v>
      </c>
      <c r="D235" s="47" t="s">
        <v>1950</v>
      </c>
    </row>
    <row r="236" spans="1:4">
      <c r="A236" s="46" t="s">
        <v>584</v>
      </c>
      <c r="C236" s="137">
        <v>8</v>
      </c>
      <c r="D236" s="47" t="s">
        <v>1950</v>
      </c>
    </row>
    <row r="237" spans="1:4">
      <c r="A237" s="46" t="s">
        <v>668</v>
      </c>
      <c r="C237" s="137">
        <v>13</v>
      </c>
      <c r="D237" s="47" t="s">
        <v>1950</v>
      </c>
    </row>
    <row r="238" spans="1:4">
      <c r="A238" s="46" t="s">
        <v>669</v>
      </c>
      <c r="C238" s="137">
        <v>8</v>
      </c>
      <c r="D238" s="47" t="s">
        <v>1950</v>
      </c>
    </row>
    <row r="239" spans="1:4">
      <c r="A239" s="46" t="s">
        <v>593</v>
      </c>
      <c r="C239" s="137">
        <v>3</v>
      </c>
      <c r="D239" s="47" t="s">
        <v>1950</v>
      </c>
    </row>
    <row r="240" spans="1:4">
      <c r="A240" s="46" t="s">
        <v>594</v>
      </c>
      <c r="C240" s="137">
        <v>1</v>
      </c>
      <c r="D240" s="47" t="s">
        <v>1950</v>
      </c>
    </row>
    <row r="241" spans="1:4">
      <c r="A241" s="46" t="s">
        <v>595</v>
      </c>
      <c r="C241" s="137">
        <v>30</v>
      </c>
      <c r="D241" s="47" t="s">
        <v>1950</v>
      </c>
    </row>
    <row r="242" spans="1:4">
      <c r="A242" s="46" t="s">
        <v>596</v>
      </c>
      <c r="C242" s="137">
        <v>27</v>
      </c>
      <c r="D242" s="47" t="s">
        <v>1950</v>
      </c>
    </row>
    <row r="243" spans="1:4">
      <c r="A243" s="46" t="s">
        <v>597</v>
      </c>
      <c r="C243" s="137">
        <v>1</v>
      </c>
      <c r="D243" s="47" t="s">
        <v>1950</v>
      </c>
    </row>
    <row r="244" spans="1:4">
      <c r="A244" s="46" t="s">
        <v>598</v>
      </c>
      <c r="C244" s="137">
        <v>2</v>
      </c>
      <c r="D244" s="47" t="s">
        <v>1950</v>
      </c>
    </row>
    <row r="245" spans="1:4">
      <c r="A245" s="46" t="s">
        <v>601</v>
      </c>
      <c r="C245" s="137">
        <v>2</v>
      </c>
      <c r="D245" s="47" t="s">
        <v>1950</v>
      </c>
    </row>
    <row r="246" spans="1:4">
      <c r="A246" s="46" t="s">
        <v>602</v>
      </c>
      <c r="C246" s="137">
        <v>1</v>
      </c>
      <c r="D246" s="47" t="s">
        <v>1950</v>
      </c>
    </row>
    <row r="247" spans="1:4">
      <c r="A247" s="46" t="s">
        <v>603</v>
      </c>
      <c r="C247" s="137">
        <v>0</v>
      </c>
      <c r="D247" s="47" t="s">
        <v>1950</v>
      </c>
    </row>
    <row r="248" spans="1:4">
      <c r="A248" s="46" t="s">
        <v>604</v>
      </c>
      <c r="C248" s="137">
        <v>1</v>
      </c>
      <c r="D248" s="47" t="s">
        <v>1950</v>
      </c>
    </row>
    <row r="249" spans="1:4">
      <c r="A249" s="46" t="s">
        <v>605</v>
      </c>
      <c r="C249" s="137">
        <v>1</v>
      </c>
      <c r="D249" s="47" t="s">
        <v>1950</v>
      </c>
    </row>
    <row r="250" spans="1:4">
      <c r="A250" s="46" t="s">
        <v>606</v>
      </c>
      <c r="C250" s="137">
        <v>2</v>
      </c>
      <c r="D250" s="47" t="s">
        <v>1950</v>
      </c>
    </row>
    <row r="251" spans="1:4">
      <c r="A251" s="46" t="s">
        <v>609</v>
      </c>
      <c r="C251" s="137">
        <v>2</v>
      </c>
      <c r="D251" s="47" t="s">
        <v>1950</v>
      </c>
    </row>
    <row r="252" spans="1:4">
      <c r="A252" s="46" t="s">
        <v>610</v>
      </c>
      <c r="C252" s="137">
        <v>3</v>
      </c>
      <c r="D252" s="47" t="s">
        <v>1950</v>
      </c>
    </row>
    <row r="253" spans="1:4">
      <c r="A253" s="46" t="s">
        <v>611</v>
      </c>
      <c r="C253" s="137">
        <v>1</v>
      </c>
      <c r="D253" s="47" t="s">
        <v>1950</v>
      </c>
    </row>
    <row r="254" spans="1:4">
      <c r="A254" s="46" t="s">
        <v>612</v>
      </c>
      <c r="C254" s="137">
        <v>2</v>
      </c>
      <c r="D254" s="47" t="s">
        <v>1950</v>
      </c>
    </row>
    <row r="255" spans="1:4">
      <c r="A255" s="46" t="s">
        <v>676</v>
      </c>
      <c r="C255" s="137">
        <v>2</v>
      </c>
      <c r="D255" s="47" t="s">
        <v>1950</v>
      </c>
    </row>
    <row r="256" spans="1:4">
      <c r="A256" s="46" t="s">
        <v>674</v>
      </c>
      <c r="C256" s="137">
        <v>1</v>
      </c>
      <c r="D256" s="47" t="s">
        <v>1950</v>
      </c>
    </row>
    <row r="257" spans="1:4">
      <c r="A257" s="46" t="s">
        <v>613</v>
      </c>
      <c r="C257" s="137">
        <v>3</v>
      </c>
      <c r="D257" s="47" t="s">
        <v>1950</v>
      </c>
    </row>
    <row r="258" spans="1:4">
      <c r="A258" s="46" t="s">
        <v>614</v>
      </c>
      <c r="C258" s="137">
        <v>2</v>
      </c>
      <c r="D258" s="47" t="s">
        <v>1950</v>
      </c>
    </row>
    <row r="259" spans="1:4">
      <c r="A259" s="46" t="s">
        <v>621</v>
      </c>
      <c r="C259" s="137">
        <v>1</v>
      </c>
      <c r="D259" s="47" t="s">
        <v>1950</v>
      </c>
    </row>
    <row r="260" spans="1:4">
      <c r="A260" s="46" t="s">
        <v>622</v>
      </c>
      <c r="C260" s="137">
        <v>1</v>
      </c>
      <c r="D260" s="47" t="s">
        <v>1950</v>
      </c>
    </row>
    <row r="261" spans="1:4">
      <c r="A261" s="46" t="s">
        <v>623</v>
      </c>
      <c r="C261" s="137">
        <v>2</v>
      </c>
      <c r="D261" s="47" t="s">
        <v>1950</v>
      </c>
    </row>
    <row r="262" spans="1:4">
      <c r="A262" s="46" t="s">
        <v>624</v>
      </c>
      <c r="C262" s="137">
        <v>3</v>
      </c>
      <c r="D262" s="47" t="s">
        <v>1950</v>
      </c>
    </row>
    <row r="263" spans="1:4">
      <c r="A263" s="46" t="s">
        <v>625</v>
      </c>
      <c r="C263" s="137">
        <v>1</v>
      </c>
      <c r="D263" s="47" t="s">
        <v>1950</v>
      </c>
    </row>
    <row r="264" spans="1:4">
      <c r="A264" s="46" t="s">
        <v>626</v>
      </c>
      <c r="C264" s="137">
        <v>1</v>
      </c>
      <c r="D264" s="47" t="s">
        <v>1950</v>
      </c>
    </row>
    <row r="265" spans="1:4">
      <c r="A265" s="46" t="s">
        <v>691</v>
      </c>
      <c r="C265" s="137">
        <v>2</v>
      </c>
      <c r="D265" s="47" t="s">
        <v>1950</v>
      </c>
    </row>
    <row r="266" spans="1:4">
      <c r="A266" s="46" t="s">
        <v>692</v>
      </c>
      <c r="C266" s="137">
        <v>2</v>
      </c>
      <c r="D266" s="47" t="s">
        <v>1950</v>
      </c>
    </row>
    <row r="267" spans="1:4" ht="17">
      <c r="A267" s="49" t="s">
        <v>1134</v>
      </c>
      <c r="C267" s="137">
        <v>10</v>
      </c>
      <c r="D267" s="47" t="s">
        <v>1950</v>
      </c>
    </row>
    <row r="268" spans="1:4" ht="17">
      <c r="A268" s="49" t="s">
        <v>1137</v>
      </c>
      <c r="C268" s="137">
        <v>20</v>
      </c>
      <c r="D268" s="47" t="s">
        <v>1950</v>
      </c>
    </row>
    <row r="269" spans="1:4" ht="17">
      <c r="A269" s="49" t="s">
        <v>1139</v>
      </c>
      <c r="C269" s="137">
        <v>9</v>
      </c>
      <c r="D269" s="47" t="s">
        <v>1950</v>
      </c>
    </row>
    <row r="270" spans="1:4" ht="17">
      <c r="A270" s="49" t="s">
        <v>1141</v>
      </c>
      <c r="C270" s="137">
        <v>40</v>
      </c>
      <c r="D270" s="47" t="s">
        <v>1950</v>
      </c>
    </row>
    <row r="271" spans="1:4" ht="17">
      <c r="A271" s="49" t="s">
        <v>1143</v>
      </c>
      <c r="C271" s="137">
        <v>5</v>
      </c>
      <c r="D271" s="47" t="s">
        <v>1950</v>
      </c>
    </row>
    <row r="272" spans="1:4" ht="17">
      <c r="A272" s="49" t="s">
        <v>1145</v>
      </c>
      <c r="C272" s="137">
        <v>10</v>
      </c>
      <c r="D272" s="47" t="s">
        <v>1950</v>
      </c>
    </row>
    <row r="273" spans="1:4" ht="17">
      <c r="A273" s="49" t="s">
        <v>1147</v>
      </c>
      <c r="C273" s="137">
        <v>7</v>
      </c>
      <c r="D273" s="47" t="s">
        <v>1950</v>
      </c>
    </row>
    <row r="274" spans="1:4" ht="17">
      <c r="A274" s="49" t="s">
        <v>1149</v>
      </c>
      <c r="C274" s="137">
        <v>7</v>
      </c>
      <c r="D274" s="47" t="s">
        <v>1950</v>
      </c>
    </row>
    <row r="275" spans="1:4" ht="17">
      <c r="A275" s="49" t="s">
        <v>1151</v>
      </c>
      <c r="C275" s="137">
        <v>126</v>
      </c>
      <c r="D275" s="47" t="s">
        <v>1950</v>
      </c>
    </row>
    <row r="276" spans="1:4" ht="17">
      <c r="A276" s="49" t="s">
        <v>1153</v>
      </c>
      <c r="C276" s="137">
        <v>26</v>
      </c>
      <c r="D276" s="47" t="s">
        <v>1950</v>
      </c>
    </row>
    <row r="277" spans="1:4" ht="17">
      <c r="A277" s="49" t="s">
        <v>1155</v>
      </c>
      <c r="C277" s="137">
        <v>1</v>
      </c>
      <c r="D277" s="47" t="s">
        <v>1950</v>
      </c>
    </row>
    <row r="278" spans="1:4" ht="17">
      <c r="A278" s="49" t="s">
        <v>1157</v>
      </c>
      <c r="C278" s="137">
        <v>40</v>
      </c>
      <c r="D278" s="47" t="s">
        <v>1950</v>
      </c>
    </row>
    <row r="279" spans="1:4" ht="17">
      <c r="A279" s="49" t="s">
        <v>1159</v>
      </c>
      <c r="C279" s="137">
        <v>6</v>
      </c>
      <c r="D279" s="47" t="s">
        <v>1950</v>
      </c>
    </row>
    <row r="280" spans="1:4" ht="17">
      <c r="A280" s="49" t="s">
        <v>1161</v>
      </c>
      <c r="C280" s="137">
        <v>5</v>
      </c>
      <c r="D280" s="47" t="s">
        <v>1950</v>
      </c>
    </row>
    <row r="281" spans="1:4" ht="17">
      <c r="A281" s="49" t="s">
        <v>1163</v>
      </c>
      <c r="C281" s="137">
        <v>4</v>
      </c>
      <c r="D281" s="47" t="s">
        <v>1950</v>
      </c>
    </row>
    <row r="282" spans="1:4" ht="17">
      <c r="A282" s="49" t="s">
        <v>1165</v>
      </c>
      <c r="C282" s="137">
        <v>19</v>
      </c>
      <c r="D282" s="47" t="s">
        <v>1950</v>
      </c>
    </row>
    <row r="283" spans="1:4" ht="17">
      <c r="A283" s="49" t="s">
        <v>1167</v>
      </c>
      <c r="C283" s="137">
        <v>0</v>
      </c>
      <c r="D283" s="47" t="s">
        <v>1950</v>
      </c>
    </row>
    <row r="284" spans="1:4" ht="17">
      <c r="A284" s="49" t="s">
        <v>1169</v>
      </c>
      <c r="C284" s="137">
        <v>9</v>
      </c>
      <c r="D284" s="47" t="s">
        <v>1950</v>
      </c>
    </row>
    <row r="285" spans="1:4" ht="17">
      <c r="A285" s="49" t="s">
        <v>1171</v>
      </c>
      <c r="C285" s="137">
        <v>10</v>
      </c>
      <c r="D285" s="47" t="s">
        <v>1950</v>
      </c>
    </row>
    <row r="286" spans="1:4" ht="17">
      <c r="A286" s="49" t="s">
        <v>1173</v>
      </c>
      <c r="C286" s="137">
        <v>21</v>
      </c>
      <c r="D286" s="47" t="s">
        <v>1950</v>
      </c>
    </row>
    <row r="287" spans="1:4" ht="17">
      <c r="A287" s="49" t="s">
        <v>1175</v>
      </c>
      <c r="C287" s="137">
        <v>23</v>
      </c>
      <c r="D287" s="47" t="s">
        <v>1950</v>
      </c>
    </row>
    <row r="288" spans="1:4" ht="17">
      <c r="A288" s="49" t="s">
        <v>1177</v>
      </c>
      <c r="C288" s="137">
        <v>39</v>
      </c>
      <c r="D288" s="47" t="s">
        <v>1950</v>
      </c>
    </row>
    <row r="289" spans="1:4" ht="17">
      <c r="A289" s="49" t="s">
        <v>1179</v>
      </c>
      <c r="C289" s="137">
        <v>59</v>
      </c>
      <c r="D289" s="47" t="s">
        <v>1950</v>
      </c>
    </row>
    <row r="290" spans="1:4" ht="17">
      <c r="A290" s="49" t="s">
        <v>1181</v>
      </c>
      <c r="C290" s="137">
        <v>12</v>
      </c>
      <c r="D290" s="47" t="s">
        <v>1950</v>
      </c>
    </row>
    <row r="291" spans="1:4" ht="17">
      <c r="A291" s="49" t="s">
        <v>1183</v>
      </c>
      <c r="C291" s="137">
        <v>53</v>
      </c>
      <c r="D291" s="47" t="s">
        <v>1950</v>
      </c>
    </row>
    <row r="292" spans="1:4" ht="17">
      <c r="A292" s="49" t="s">
        <v>1185</v>
      </c>
      <c r="C292" s="137">
        <v>115</v>
      </c>
      <c r="D292" s="47" t="s">
        <v>1950</v>
      </c>
    </row>
    <row r="293" spans="1:4" ht="17">
      <c r="A293" s="49" t="s">
        <v>1187</v>
      </c>
      <c r="C293" s="137">
        <v>27</v>
      </c>
      <c r="D293" s="47" t="s">
        <v>1950</v>
      </c>
    </row>
    <row r="294" spans="1:4" ht="17">
      <c r="A294" s="49" t="s">
        <v>1189</v>
      </c>
      <c r="C294" s="137">
        <v>8</v>
      </c>
      <c r="D294" s="47" t="s">
        <v>1950</v>
      </c>
    </row>
    <row r="295" spans="1:4" ht="17">
      <c r="A295" s="49" t="s">
        <v>1191</v>
      </c>
      <c r="C295" s="137">
        <v>25</v>
      </c>
      <c r="D295" s="47" t="s">
        <v>1950</v>
      </c>
    </row>
    <row r="296" spans="1:4" ht="17">
      <c r="A296" s="49" t="s">
        <v>1193</v>
      </c>
      <c r="C296" s="137">
        <v>11</v>
      </c>
      <c r="D296" s="47" t="s">
        <v>1950</v>
      </c>
    </row>
    <row r="297" spans="1:4" ht="17">
      <c r="A297" s="49" t="s">
        <v>1195</v>
      </c>
      <c r="C297" s="137">
        <v>10</v>
      </c>
      <c r="D297" s="47" t="s">
        <v>1950</v>
      </c>
    </row>
    <row r="298" spans="1:4" ht="17">
      <c r="A298" s="49" t="s">
        <v>1197</v>
      </c>
      <c r="C298" s="137">
        <v>0</v>
      </c>
      <c r="D298" s="47" t="s">
        <v>1950</v>
      </c>
    </row>
    <row r="299" spans="1:4" ht="17">
      <c r="A299" s="49" t="s">
        <v>1265</v>
      </c>
      <c r="C299" s="137">
        <v>0</v>
      </c>
      <c r="D299" s="47" t="s">
        <v>1950</v>
      </c>
    </row>
    <row r="300" spans="1:4" ht="17">
      <c r="A300" s="49" t="s">
        <v>1266</v>
      </c>
      <c r="C300" s="137">
        <v>11</v>
      </c>
      <c r="D300" s="47" t="s">
        <v>1950</v>
      </c>
    </row>
    <row r="301" spans="1:4" ht="17">
      <c r="A301" s="49" t="s">
        <v>1267</v>
      </c>
      <c r="C301" s="137">
        <v>18</v>
      </c>
      <c r="D301" s="47" t="s">
        <v>1950</v>
      </c>
    </row>
    <row r="302" spans="1:4" ht="17">
      <c r="A302" s="49" t="s">
        <v>1268</v>
      </c>
      <c r="C302" s="137">
        <v>7</v>
      </c>
      <c r="D302" s="47" t="s">
        <v>1950</v>
      </c>
    </row>
    <row r="303" spans="1:4" ht="17">
      <c r="A303" s="49" t="s">
        <v>1269</v>
      </c>
      <c r="C303" s="137">
        <v>23</v>
      </c>
      <c r="D303" s="47" t="s">
        <v>1950</v>
      </c>
    </row>
    <row r="304" spans="1:4" ht="17">
      <c r="A304" s="49" t="s">
        <v>1270</v>
      </c>
      <c r="C304" s="137">
        <v>1</v>
      </c>
      <c r="D304" s="47" t="s">
        <v>1950</v>
      </c>
    </row>
    <row r="305" spans="1:4" ht="17">
      <c r="A305" s="49" t="s">
        <v>1271</v>
      </c>
      <c r="C305" s="137">
        <v>3</v>
      </c>
      <c r="D305" s="47" t="s">
        <v>1950</v>
      </c>
    </row>
    <row r="306" spans="1:4" ht="17">
      <c r="A306" s="49" t="s">
        <v>1272</v>
      </c>
      <c r="C306" s="137">
        <v>69</v>
      </c>
      <c r="D306" s="47" t="s">
        <v>1950</v>
      </c>
    </row>
    <row r="307" spans="1:4" ht="17">
      <c r="A307" s="49" t="s">
        <v>1273</v>
      </c>
      <c r="C307" s="137">
        <v>0</v>
      </c>
      <c r="D307" s="47" t="s">
        <v>1950</v>
      </c>
    </row>
    <row r="308" spans="1:4">
      <c r="A308" s="46" t="s">
        <v>1274</v>
      </c>
      <c r="C308" s="137">
        <v>2</v>
      </c>
      <c r="D308" s="47" t="s">
        <v>1950</v>
      </c>
    </row>
    <row r="309" spans="1:4">
      <c r="A309" s="46" t="s">
        <v>1275</v>
      </c>
      <c r="C309" s="137">
        <v>2</v>
      </c>
      <c r="D309" s="47" t="s">
        <v>1950</v>
      </c>
    </row>
    <row r="310" spans="1:4">
      <c r="A310" s="46" t="s">
        <v>1276</v>
      </c>
      <c r="C310" s="137">
        <v>2</v>
      </c>
      <c r="D310" s="47" t="s">
        <v>1950</v>
      </c>
    </row>
    <row r="311" spans="1:4">
      <c r="A311" s="46" t="s">
        <v>1277</v>
      </c>
      <c r="C311" s="137">
        <v>2</v>
      </c>
      <c r="D311" s="47" t="s">
        <v>1950</v>
      </c>
    </row>
    <row r="312" spans="1:4">
      <c r="A312" s="46" t="s">
        <v>392</v>
      </c>
      <c r="C312" s="137">
        <v>1</v>
      </c>
      <c r="D312" s="47" t="s">
        <v>1950</v>
      </c>
    </row>
    <row r="313" spans="1:4">
      <c r="A313" s="46" t="s">
        <v>393</v>
      </c>
      <c r="C313" s="137">
        <v>44</v>
      </c>
      <c r="D313" s="47" t="s">
        <v>1950</v>
      </c>
    </row>
    <row r="314" spans="1:4">
      <c r="A314" s="46" t="s">
        <v>394</v>
      </c>
      <c r="C314" s="137">
        <v>2</v>
      </c>
      <c r="D314" s="47" t="s">
        <v>1950</v>
      </c>
    </row>
    <row r="315" spans="1:4">
      <c r="A315" s="46" t="s">
        <v>395</v>
      </c>
      <c r="C315" s="137">
        <v>12</v>
      </c>
      <c r="D315" s="47" t="s">
        <v>1950</v>
      </c>
    </row>
    <row r="316" spans="1:4">
      <c r="A316" s="46" t="s">
        <v>396</v>
      </c>
      <c r="C316" s="137">
        <v>2</v>
      </c>
      <c r="D316" s="47" t="s">
        <v>1950</v>
      </c>
    </row>
    <row r="317" spans="1:4">
      <c r="A317" s="46" t="s">
        <v>397</v>
      </c>
      <c r="C317" s="137">
        <v>25</v>
      </c>
      <c r="D317" s="47" t="s">
        <v>1950</v>
      </c>
    </row>
    <row r="318" spans="1:4">
      <c r="A318" s="46" t="s">
        <v>398</v>
      </c>
      <c r="C318" s="137">
        <v>2</v>
      </c>
      <c r="D318" s="47" t="s">
        <v>1950</v>
      </c>
    </row>
    <row r="319" spans="1:4">
      <c r="A319" s="46" t="s">
        <v>399</v>
      </c>
      <c r="C319" s="137">
        <v>22</v>
      </c>
      <c r="D319" s="47" t="s">
        <v>1950</v>
      </c>
    </row>
    <row r="320" spans="1:4">
      <c r="A320" s="46" t="s">
        <v>400</v>
      </c>
      <c r="C320" s="137">
        <v>3</v>
      </c>
      <c r="D320" s="47" t="s">
        <v>1950</v>
      </c>
    </row>
    <row r="321" spans="1:4">
      <c r="A321" s="46" t="s">
        <v>401</v>
      </c>
      <c r="C321" s="137">
        <v>45</v>
      </c>
      <c r="D321" s="47" t="s">
        <v>1950</v>
      </c>
    </row>
    <row r="322" spans="1:4">
      <c r="A322" s="46" t="s">
        <v>402</v>
      </c>
      <c r="C322" s="137">
        <v>56</v>
      </c>
      <c r="D322" s="47" t="s">
        <v>1950</v>
      </c>
    </row>
    <row r="323" spans="1:4">
      <c r="A323" s="46" t="s">
        <v>403</v>
      </c>
      <c r="C323" s="137">
        <v>0</v>
      </c>
      <c r="D323" s="47" t="s">
        <v>1950</v>
      </c>
    </row>
    <row r="324" spans="1:4">
      <c r="A324" s="46" t="s">
        <v>404</v>
      </c>
      <c r="C324" s="137">
        <v>5</v>
      </c>
      <c r="D324" s="47" t="s">
        <v>1950</v>
      </c>
    </row>
    <row r="325" spans="1:4">
      <c r="A325" s="46" t="s">
        <v>405</v>
      </c>
      <c r="C325" s="137">
        <v>21</v>
      </c>
      <c r="D325" s="47" t="s">
        <v>1950</v>
      </c>
    </row>
    <row r="326" spans="1:4">
      <c r="A326" s="46" t="s">
        <v>406</v>
      </c>
      <c r="C326" s="137">
        <v>2</v>
      </c>
      <c r="D326" s="47" t="s">
        <v>1950</v>
      </c>
    </row>
    <row r="327" spans="1:4">
      <c r="A327" s="46" t="s">
        <v>407</v>
      </c>
      <c r="C327" s="137">
        <v>28</v>
      </c>
      <c r="D327" s="47" t="s">
        <v>1950</v>
      </c>
    </row>
    <row r="328" spans="1:4">
      <c r="A328" s="46" t="s">
        <v>408</v>
      </c>
      <c r="C328" s="137">
        <v>1</v>
      </c>
      <c r="D328" s="47" t="s">
        <v>1950</v>
      </c>
    </row>
    <row r="329" spans="1:4">
      <c r="A329" s="46" t="s">
        <v>694</v>
      </c>
      <c r="C329" s="137">
        <v>3</v>
      </c>
      <c r="D329" s="47" t="s">
        <v>1950</v>
      </c>
    </row>
    <row r="330" spans="1:4">
      <c r="A330" s="46" t="s">
        <v>533</v>
      </c>
      <c r="C330" s="137">
        <v>0</v>
      </c>
      <c r="D330" s="47" t="s">
        <v>1950</v>
      </c>
    </row>
    <row r="331" spans="1:4">
      <c r="A331" s="46" t="s">
        <v>534</v>
      </c>
      <c r="C331" s="137">
        <v>2</v>
      </c>
      <c r="D331" s="47" t="s">
        <v>1950</v>
      </c>
    </row>
    <row r="332" spans="1:4">
      <c r="A332" s="46" t="s">
        <v>409</v>
      </c>
      <c r="C332" s="137">
        <v>28</v>
      </c>
      <c r="D332" s="47" t="s">
        <v>1950</v>
      </c>
    </row>
    <row r="333" spans="1:4">
      <c r="A333" s="46" t="s">
        <v>410</v>
      </c>
      <c r="C333" s="137">
        <v>45</v>
      </c>
      <c r="D333" s="47" t="s">
        <v>1950</v>
      </c>
    </row>
    <row r="334" spans="1:4">
      <c r="A334" s="46" t="s">
        <v>687</v>
      </c>
      <c r="C334" s="137">
        <v>3</v>
      </c>
      <c r="D334" s="47" t="s">
        <v>1950</v>
      </c>
    </row>
    <row r="335" spans="1:4">
      <c r="A335" s="46" t="s">
        <v>411</v>
      </c>
      <c r="C335" s="137">
        <v>71</v>
      </c>
      <c r="D335" s="47" t="s">
        <v>1950</v>
      </c>
    </row>
    <row r="336" spans="1:4">
      <c r="A336" s="46" t="s">
        <v>412</v>
      </c>
      <c r="C336" s="137">
        <v>36</v>
      </c>
      <c r="D336" s="47" t="s">
        <v>1950</v>
      </c>
    </row>
    <row r="337" spans="1:4">
      <c r="A337" s="46" t="s">
        <v>413</v>
      </c>
      <c r="C337" s="137">
        <v>5</v>
      </c>
      <c r="D337" s="47" t="s">
        <v>1950</v>
      </c>
    </row>
    <row r="338" spans="1:4">
      <c r="A338" s="46" t="s">
        <v>686</v>
      </c>
      <c r="C338" s="137">
        <v>2</v>
      </c>
      <c r="D338" s="47" t="s">
        <v>1950</v>
      </c>
    </row>
    <row r="339" spans="1:4">
      <c r="A339" s="46" t="s">
        <v>414</v>
      </c>
      <c r="C339" s="137">
        <v>17</v>
      </c>
      <c r="D339" s="47" t="s">
        <v>1950</v>
      </c>
    </row>
    <row r="340" spans="1:4">
      <c r="A340" s="46" t="s">
        <v>415</v>
      </c>
      <c r="C340" s="137">
        <v>2</v>
      </c>
      <c r="D340" s="47" t="s">
        <v>1950</v>
      </c>
    </row>
    <row r="341" spans="1:4">
      <c r="A341" s="46" t="s">
        <v>416</v>
      </c>
      <c r="C341" s="137">
        <v>43</v>
      </c>
      <c r="D341" s="47" t="s">
        <v>1950</v>
      </c>
    </row>
    <row r="342" spans="1:4">
      <c r="A342" s="46" t="s">
        <v>417</v>
      </c>
      <c r="C342" s="137">
        <v>40</v>
      </c>
      <c r="D342" s="47" t="s">
        <v>1950</v>
      </c>
    </row>
    <row r="343" spans="1:4">
      <c r="A343" s="46" t="s">
        <v>418</v>
      </c>
      <c r="C343" s="137">
        <v>62</v>
      </c>
      <c r="D343" s="47" t="s">
        <v>1950</v>
      </c>
    </row>
    <row r="344" spans="1:4">
      <c r="A344" s="46" t="s">
        <v>419</v>
      </c>
      <c r="C344" s="137">
        <v>6</v>
      </c>
      <c r="D344" s="47" t="s">
        <v>1950</v>
      </c>
    </row>
    <row r="345" spans="1:4">
      <c r="A345" s="46" t="s">
        <v>420</v>
      </c>
      <c r="C345" s="137">
        <v>25</v>
      </c>
      <c r="D345" s="47" t="s">
        <v>1950</v>
      </c>
    </row>
    <row r="346" spans="1:4">
      <c r="A346" s="46" t="s">
        <v>535</v>
      </c>
      <c r="C346" s="137">
        <v>2</v>
      </c>
      <c r="D346" s="47" t="s">
        <v>1950</v>
      </c>
    </row>
    <row r="347" spans="1:4">
      <c r="A347" s="46" t="s">
        <v>421</v>
      </c>
      <c r="C347" s="137">
        <v>1</v>
      </c>
      <c r="D347" s="47" t="s">
        <v>1950</v>
      </c>
    </row>
    <row r="348" spans="1:4">
      <c r="A348" s="46" t="s">
        <v>422</v>
      </c>
      <c r="C348" s="137">
        <v>0</v>
      </c>
      <c r="D348" s="47" t="s">
        <v>1950</v>
      </c>
    </row>
    <row r="349" spans="1:4">
      <c r="A349" s="46" t="s">
        <v>423</v>
      </c>
      <c r="C349" s="137">
        <v>2</v>
      </c>
      <c r="D349" s="47" t="s">
        <v>1950</v>
      </c>
    </row>
    <row r="350" spans="1:4">
      <c r="A350" s="46" t="s">
        <v>424</v>
      </c>
      <c r="C350" s="137">
        <v>22</v>
      </c>
      <c r="D350" s="47" t="s">
        <v>1950</v>
      </c>
    </row>
    <row r="351" spans="1:4">
      <c r="A351" s="46" t="s">
        <v>425</v>
      </c>
      <c r="C351" s="137">
        <v>2</v>
      </c>
      <c r="D351" s="47" t="s">
        <v>1950</v>
      </c>
    </row>
    <row r="352" spans="1:4">
      <c r="A352" s="46" t="s">
        <v>426</v>
      </c>
      <c r="C352" s="137">
        <v>21</v>
      </c>
      <c r="D352" s="47" t="s">
        <v>1950</v>
      </c>
    </row>
    <row r="353" spans="1:4">
      <c r="A353" s="46" t="s">
        <v>427</v>
      </c>
      <c r="C353" s="137">
        <v>2</v>
      </c>
      <c r="D353" s="47" t="s">
        <v>1950</v>
      </c>
    </row>
    <row r="354" spans="1:4">
      <c r="A354" s="46" t="s">
        <v>428</v>
      </c>
      <c r="C354" s="137">
        <v>20</v>
      </c>
      <c r="D354" s="47" t="s">
        <v>1950</v>
      </c>
    </row>
    <row r="355" spans="1:4">
      <c r="A355" s="46" t="s">
        <v>429</v>
      </c>
      <c r="C355" s="137">
        <v>1</v>
      </c>
      <c r="D355" s="47" t="s">
        <v>1950</v>
      </c>
    </row>
    <row r="356" spans="1:4">
      <c r="A356" s="46" t="s">
        <v>430</v>
      </c>
      <c r="C356" s="137">
        <v>37</v>
      </c>
      <c r="D356" s="47" t="s">
        <v>1950</v>
      </c>
    </row>
    <row r="357" spans="1:4">
      <c r="A357" s="46" t="s">
        <v>431</v>
      </c>
      <c r="C357" s="137">
        <v>1</v>
      </c>
      <c r="D357" s="47" t="s">
        <v>1950</v>
      </c>
    </row>
    <row r="358" spans="1:4">
      <c r="A358" s="46" t="s">
        <v>432</v>
      </c>
      <c r="C358" s="137">
        <v>15</v>
      </c>
      <c r="D358" s="47" t="s">
        <v>1950</v>
      </c>
    </row>
    <row r="359" spans="1:4">
      <c r="A359" s="46" t="s">
        <v>433</v>
      </c>
      <c r="C359" s="137">
        <v>23</v>
      </c>
      <c r="D359" s="47" t="s">
        <v>1950</v>
      </c>
    </row>
    <row r="360" spans="1:4">
      <c r="A360" s="46" t="s">
        <v>675</v>
      </c>
      <c r="C360" s="137">
        <v>1</v>
      </c>
      <c r="D360" s="47" t="s">
        <v>1950</v>
      </c>
    </row>
    <row r="361" spans="1:4">
      <c r="A361" s="46" t="s">
        <v>434</v>
      </c>
      <c r="C361" s="137">
        <v>5</v>
      </c>
      <c r="D361" s="47" t="s">
        <v>1950</v>
      </c>
    </row>
    <row r="362" spans="1:4">
      <c r="A362" s="46" t="s">
        <v>435</v>
      </c>
      <c r="C362" s="137">
        <v>24</v>
      </c>
      <c r="D362" s="47" t="s">
        <v>1950</v>
      </c>
    </row>
    <row r="363" spans="1:4">
      <c r="A363" s="46" t="s">
        <v>436</v>
      </c>
      <c r="C363" s="137">
        <v>2</v>
      </c>
      <c r="D363" s="47" t="s">
        <v>1950</v>
      </c>
    </row>
    <row r="364" spans="1:4">
      <c r="A364" s="46" t="s">
        <v>437</v>
      </c>
      <c r="C364" s="137">
        <v>25</v>
      </c>
      <c r="D364" s="47" t="s">
        <v>1950</v>
      </c>
    </row>
    <row r="365" spans="1:4">
      <c r="A365" s="46" t="s">
        <v>438</v>
      </c>
      <c r="C365" s="137">
        <v>4</v>
      </c>
      <c r="D365" s="47" t="s">
        <v>1950</v>
      </c>
    </row>
    <row r="366" spans="1:4">
      <c r="A366" s="46" t="s">
        <v>536</v>
      </c>
      <c r="C366" s="137">
        <v>4</v>
      </c>
      <c r="D366" s="47" t="s">
        <v>1950</v>
      </c>
    </row>
    <row r="367" spans="1:4">
      <c r="A367" s="46" t="s">
        <v>439</v>
      </c>
      <c r="C367" s="137">
        <v>0</v>
      </c>
      <c r="D367" s="47" t="s">
        <v>1950</v>
      </c>
    </row>
    <row r="368" spans="1:4">
      <c r="A368" s="46" t="s">
        <v>440</v>
      </c>
      <c r="C368" s="137">
        <v>1</v>
      </c>
      <c r="D368" s="47" t="s">
        <v>1950</v>
      </c>
    </row>
    <row r="369" spans="1:4">
      <c r="A369" s="46" t="s">
        <v>441</v>
      </c>
      <c r="C369" s="137">
        <v>24</v>
      </c>
      <c r="D369" s="47" t="s">
        <v>1950</v>
      </c>
    </row>
    <row r="370" spans="1:4">
      <c r="A370" s="46" t="s">
        <v>442</v>
      </c>
      <c r="C370" s="137">
        <v>5</v>
      </c>
      <c r="D370" s="47" t="s">
        <v>1950</v>
      </c>
    </row>
    <row r="371" spans="1:4">
      <c r="A371" s="46" t="s">
        <v>537</v>
      </c>
      <c r="C371" s="137">
        <v>2</v>
      </c>
      <c r="D371" s="47" t="s">
        <v>1950</v>
      </c>
    </row>
    <row r="372" spans="1:4">
      <c r="A372" s="46" t="s">
        <v>443</v>
      </c>
      <c r="C372" s="137">
        <v>8</v>
      </c>
      <c r="D372" s="47" t="s">
        <v>1950</v>
      </c>
    </row>
    <row r="373" spans="1:4">
      <c r="A373" s="46" t="s">
        <v>444</v>
      </c>
      <c r="C373" s="137">
        <v>56</v>
      </c>
      <c r="D373" s="47" t="s">
        <v>1950</v>
      </c>
    </row>
    <row r="374" spans="1:4">
      <c r="A374" s="46" t="s">
        <v>445</v>
      </c>
      <c r="C374" s="137">
        <v>5</v>
      </c>
      <c r="D374" s="47" t="s">
        <v>1950</v>
      </c>
    </row>
    <row r="375" spans="1:4">
      <c r="A375" s="46" t="s">
        <v>693</v>
      </c>
      <c r="C375" s="137">
        <v>1</v>
      </c>
      <c r="D375" s="47" t="s">
        <v>1950</v>
      </c>
    </row>
    <row r="376" spans="1:4">
      <c r="A376" s="46" t="s">
        <v>446</v>
      </c>
      <c r="C376" s="137">
        <v>25</v>
      </c>
      <c r="D376" s="47" t="s">
        <v>1950</v>
      </c>
    </row>
    <row r="377" spans="1:4">
      <c r="A377" s="46" t="s">
        <v>447</v>
      </c>
      <c r="C377" s="137">
        <v>4</v>
      </c>
      <c r="D377" s="47" t="s">
        <v>1950</v>
      </c>
    </row>
    <row r="378" spans="1:4">
      <c r="A378" s="46" t="s">
        <v>448</v>
      </c>
      <c r="C378" s="137">
        <v>8</v>
      </c>
      <c r="D378" s="47" t="s">
        <v>1950</v>
      </c>
    </row>
    <row r="379" spans="1:4">
      <c r="A379" s="46" t="s">
        <v>449</v>
      </c>
      <c r="C379" s="137">
        <v>12</v>
      </c>
      <c r="D379" s="47" t="s">
        <v>1950</v>
      </c>
    </row>
    <row r="380" spans="1:4">
      <c r="A380" s="46" t="s">
        <v>450</v>
      </c>
      <c r="C380" s="137">
        <v>14</v>
      </c>
      <c r="D380" s="47" t="s">
        <v>1950</v>
      </c>
    </row>
    <row r="381" spans="1:4">
      <c r="A381" s="46" t="s">
        <v>451</v>
      </c>
      <c r="C381" s="137">
        <v>12</v>
      </c>
      <c r="D381" s="47" t="s">
        <v>1950</v>
      </c>
    </row>
    <row r="382" spans="1:4">
      <c r="A382" s="46" t="s">
        <v>452</v>
      </c>
      <c r="C382" s="137">
        <v>4</v>
      </c>
      <c r="D382" s="47" t="s">
        <v>1950</v>
      </c>
    </row>
    <row r="383" spans="1:4">
      <c r="A383" s="46" t="s">
        <v>453</v>
      </c>
      <c r="C383" s="137">
        <v>0</v>
      </c>
      <c r="D383" s="47" t="s">
        <v>1950</v>
      </c>
    </row>
    <row r="384" spans="1:4">
      <c r="A384" s="46" t="s">
        <v>454</v>
      </c>
      <c r="C384" s="137">
        <v>1</v>
      </c>
      <c r="D384" s="47" t="s">
        <v>1950</v>
      </c>
    </row>
    <row r="385" spans="1:4">
      <c r="A385" s="46" t="s">
        <v>455</v>
      </c>
      <c r="C385" s="137">
        <v>0</v>
      </c>
      <c r="D385" s="47" t="s">
        <v>1950</v>
      </c>
    </row>
    <row r="386" spans="1:4">
      <c r="A386" s="46" t="s">
        <v>456</v>
      </c>
      <c r="C386" s="137">
        <v>0</v>
      </c>
      <c r="D386" s="47" t="s">
        <v>1950</v>
      </c>
    </row>
    <row r="387" spans="1:4">
      <c r="A387" s="46" t="s">
        <v>457</v>
      </c>
      <c r="C387" s="137">
        <v>0</v>
      </c>
      <c r="D387" s="47" t="s">
        <v>1950</v>
      </c>
    </row>
    <row r="388" spans="1:4">
      <c r="A388" s="46" t="s">
        <v>630</v>
      </c>
      <c r="C388" s="137">
        <v>1</v>
      </c>
      <c r="D388" s="47" t="s">
        <v>1950</v>
      </c>
    </row>
    <row r="389" spans="1:4">
      <c r="A389" s="46" t="s">
        <v>631</v>
      </c>
      <c r="C389" s="137">
        <v>0</v>
      </c>
      <c r="D389" s="47" t="s">
        <v>1950</v>
      </c>
    </row>
    <row r="390" spans="1:4">
      <c r="A390" s="46" t="s">
        <v>633</v>
      </c>
      <c r="C390" s="137">
        <v>0</v>
      </c>
      <c r="D390" s="47" t="s">
        <v>1950</v>
      </c>
    </row>
    <row r="391" spans="1:4">
      <c r="A391" s="46" t="s">
        <v>458</v>
      </c>
      <c r="C391" s="137">
        <v>1</v>
      </c>
      <c r="D391" s="47" t="s">
        <v>1950</v>
      </c>
    </row>
    <row r="392" spans="1:4">
      <c r="A392" s="46" t="s">
        <v>459</v>
      </c>
      <c r="C392" s="137">
        <v>6</v>
      </c>
      <c r="D392" s="47" t="s">
        <v>1950</v>
      </c>
    </row>
    <row r="393" spans="1:4">
      <c r="A393" s="46" t="s">
        <v>634</v>
      </c>
      <c r="C393" s="137">
        <v>4</v>
      </c>
      <c r="D393" s="47" t="s">
        <v>1950</v>
      </c>
    </row>
    <row r="394" spans="1:4">
      <c r="A394" s="46" t="s">
        <v>460</v>
      </c>
      <c r="C394" s="137">
        <v>0</v>
      </c>
      <c r="D394" s="47" t="s">
        <v>1950</v>
      </c>
    </row>
    <row r="395" spans="1:4">
      <c r="A395" s="46" t="s">
        <v>635</v>
      </c>
      <c r="C395" s="137">
        <v>3</v>
      </c>
      <c r="D395" s="47" t="s">
        <v>1950</v>
      </c>
    </row>
    <row r="396" spans="1:4">
      <c r="A396" s="46" t="s">
        <v>637</v>
      </c>
      <c r="C396" s="137">
        <v>0</v>
      </c>
      <c r="D396" s="47" t="s">
        <v>1950</v>
      </c>
    </row>
    <row r="397" spans="1:4">
      <c r="A397" s="46" t="s">
        <v>461</v>
      </c>
      <c r="C397" s="137">
        <v>1</v>
      </c>
      <c r="D397" s="47" t="s">
        <v>1950</v>
      </c>
    </row>
    <row r="398" spans="1:4">
      <c r="A398" s="46" t="s">
        <v>639</v>
      </c>
      <c r="C398" s="137">
        <v>1</v>
      </c>
      <c r="D398" s="47" t="s">
        <v>1950</v>
      </c>
    </row>
    <row r="399" spans="1:4">
      <c r="A399" s="46" t="s">
        <v>462</v>
      </c>
      <c r="C399" s="137">
        <v>0</v>
      </c>
      <c r="D399" s="47" t="s">
        <v>1950</v>
      </c>
    </row>
    <row r="400" spans="1:4">
      <c r="A400" s="46" t="s">
        <v>463</v>
      </c>
      <c r="C400" s="137">
        <v>0</v>
      </c>
      <c r="D400" s="47" t="s">
        <v>1950</v>
      </c>
    </row>
    <row r="401" spans="1:4">
      <c r="A401" s="46" t="s">
        <v>640</v>
      </c>
      <c r="C401" s="137">
        <v>0</v>
      </c>
      <c r="D401" s="47" t="s">
        <v>1950</v>
      </c>
    </row>
    <row r="402" spans="1:4">
      <c r="A402" s="46" t="s">
        <v>464</v>
      </c>
      <c r="C402" s="137">
        <v>0</v>
      </c>
      <c r="D402" s="47" t="s">
        <v>1950</v>
      </c>
    </row>
    <row r="403" spans="1:4">
      <c r="A403" s="46" t="s">
        <v>642</v>
      </c>
      <c r="C403" s="137">
        <v>3</v>
      </c>
      <c r="D403" s="47" t="s">
        <v>1950</v>
      </c>
    </row>
    <row r="404" spans="1:4">
      <c r="A404" s="46" t="s">
        <v>465</v>
      </c>
      <c r="C404" s="137">
        <v>0</v>
      </c>
      <c r="D404" s="47" t="s">
        <v>1950</v>
      </c>
    </row>
    <row r="405" spans="1:4">
      <c r="A405" s="46" t="s">
        <v>466</v>
      </c>
      <c r="C405" s="137">
        <v>1</v>
      </c>
      <c r="D405" s="47" t="s">
        <v>1950</v>
      </c>
    </row>
    <row r="406" spans="1:4">
      <c r="A406" s="46" t="s">
        <v>627</v>
      </c>
      <c r="C406" s="137">
        <v>2</v>
      </c>
      <c r="D406" s="47" t="s">
        <v>1950</v>
      </c>
    </row>
    <row r="407" spans="1:4">
      <c r="A407" s="46" t="s">
        <v>467</v>
      </c>
      <c r="C407" s="137">
        <v>1</v>
      </c>
      <c r="D407" s="47" t="s">
        <v>1950</v>
      </c>
    </row>
    <row r="408" spans="1:4">
      <c r="A408" s="46" t="s">
        <v>538</v>
      </c>
      <c r="C408" s="137">
        <v>1</v>
      </c>
      <c r="D408" s="47" t="s">
        <v>1950</v>
      </c>
    </row>
    <row r="409" spans="1:4">
      <c r="A409" s="46" t="s">
        <v>632</v>
      </c>
      <c r="C409" s="137">
        <v>0</v>
      </c>
      <c r="D409" s="47" t="s">
        <v>1950</v>
      </c>
    </row>
    <row r="410" spans="1:4">
      <c r="A410" s="46" t="s">
        <v>468</v>
      </c>
      <c r="C410" s="137">
        <v>0</v>
      </c>
      <c r="D410" s="47" t="s">
        <v>1950</v>
      </c>
    </row>
    <row r="411" spans="1:4">
      <c r="A411" s="46" t="s">
        <v>469</v>
      </c>
      <c r="C411" s="137">
        <v>0</v>
      </c>
      <c r="D411" s="47" t="s">
        <v>1950</v>
      </c>
    </row>
    <row r="412" spans="1:4">
      <c r="A412" s="46" t="s">
        <v>470</v>
      </c>
      <c r="C412" s="137">
        <v>18</v>
      </c>
      <c r="D412" s="47" t="s">
        <v>1950</v>
      </c>
    </row>
    <row r="413" spans="1:4">
      <c r="A413" s="46" t="s">
        <v>539</v>
      </c>
      <c r="C413" s="137">
        <v>3</v>
      </c>
      <c r="D413" s="47" t="s">
        <v>1950</v>
      </c>
    </row>
    <row r="414" spans="1:4">
      <c r="A414" s="46" t="s">
        <v>471</v>
      </c>
      <c r="C414" s="137">
        <v>1</v>
      </c>
      <c r="D414" s="47" t="s">
        <v>1950</v>
      </c>
    </row>
    <row r="415" spans="1:4">
      <c r="A415" s="46" t="s">
        <v>636</v>
      </c>
      <c r="C415" s="137">
        <v>3</v>
      </c>
      <c r="D415" s="47" t="s">
        <v>1950</v>
      </c>
    </row>
    <row r="416" spans="1:4">
      <c r="A416" s="46" t="s">
        <v>638</v>
      </c>
      <c r="C416" s="137">
        <v>0</v>
      </c>
      <c r="D416" s="47" t="s">
        <v>1950</v>
      </c>
    </row>
    <row r="417" spans="1:4">
      <c r="A417" s="46" t="s">
        <v>472</v>
      </c>
      <c r="C417" s="137">
        <v>0</v>
      </c>
      <c r="D417" s="47" t="s">
        <v>1950</v>
      </c>
    </row>
    <row r="418" spans="1:4">
      <c r="A418" s="46" t="s">
        <v>473</v>
      </c>
      <c r="C418" s="137">
        <v>0</v>
      </c>
      <c r="D418" s="47" t="s">
        <v>1950</v>
      </c>
    </row>
    <row r="419" spans="1:4">
      <c r="A419" s="46" t="s">
        <v>474</v>
      </c>
      <c r="C419" s="137">
        <v>0</v>
      </c>
      <c r="D419" s="47" t="s">
        <v>1950</v>
      </c>
    </row>
    <row r="420" spans="1:4">
      <c r="A420" s="46" t="s">
        <v>475</v>
      </c>
      <c r="C420" s="137">
        <v>0</v>
      </c>
      <c r="D420" s="47" t="s">
        <v>1950</v>
      </c>
    </row>
    <row r="421" spans="1:4">
      <c r="A421" s="46" t="s">
        <v>641</v>
      </c>
      <c r="C421" s="137">
        <v>0</v>
      </c>
      <c r="D421" s="47" t="s">
        <v>1950</v>
      </c>
    </row>
    <row r="422" spans="1:4">
      <c r="A422" s="46" t="s">
        <v>476</v>
      </c>
      <c r="C422" s="137">
        <v>0</v>
      </c>
      <c r="D422" s="47" t="s">
        <v>1950</v>
      </c>
    </row>
    <row r="423" spans="1:4">
      <c r="A423" s="46" t="s">
        <v>477</v>
      </c>
      <c r="C423" s="137">
        <v>1</v>
      </c>
      <c r="D423" s="47" t="s">
        <v>1950</v>
      </c>
    </row>
    <row r="424" spans="1:4">
      <c r="A424" s="46" t="s">
        <v>478</v>
      </c>
      <c r="C424" s="137">
        <v>0</v>
      </c>
      <c r="D424" s="47" t="s">
        <v>1950</v>
      </c>
    </row>
    <row r="425" spans="1:4">
      <c r="A425" s="46" t="s">
        <v>479</v>
      </c>
      <c r="C425" s="137">
        <v>0</v>
      </c>
      <c r="D425" s="47" t="s">
        <v>1950</v>
      </c>
    </row>
    <row r="426" spans="1:4">
      <c r="A426" s="46" t="s">
        <v>1903</v>
      </c>
      <c r="C426" s="137">
        <v>3</v>
      </c>
      <c r="D426" s="47" t="s">
        <v>1950</v>
      </c>
    </row>
    <row r="427" spans="1:4">
      <c r="A427" s="46" t="s">
        <v>1904</v>
      </c>
      <c r="C427" s="137">
        <v>3</v>
      </c>
      <c r="D427" s="47" t="s">
        <v>1950</v>
      </c>
    </row>
    <row r="428" spans="1:4">
      <c r="A428" s="46" t="s">
        <v>1905</v>
      </c>
      <c r="C428" s="137">
        <v>1</v>
      </c>
      <c r="D428" s="47" t="s">
        <v>1950</v>
      </c>
    </row>
    <row r="429" spans="1:4">
      <c r="A429" s="46" t="s">
        <v>1906</v>
      </c>
      <c r="C429" s="137">
        <v>2</v>
      </c>
      <c r="D429" s="47" t="s">
        <v>1950</v>
      </c>
    </row>
    <row r="430" spans="1:4">
      <c r="A430" s="46" t="s">
        <v>1907</v>
      </c>
      <c r="C430" s="137">
        <v>3</v>
      </c>
      <c r="D430" s="47" t="s">
        <v>1950</v>
      </c>
    </row>
    <row r="431" spans="1:4">
      <c r="A431" s="46" t="s">
        <v>1908</v>
      </c>
      <c r="C431" s="137">
        <v>2</v>
      </c>
      <c r="D431" s="47" t="s">
        <v>1950</v>
      </c>
    </row>
    <row r="432" spans="1:4">
      <c r="A432" s="46" t="s">
        <v>1909</v>
      </c>
      <c r="C432" s="137">
        <v>3</v>
      </c>
      <c r="D432" s="47" t="s">
        <v>1950</v>
      </c>
    </row>
    <row r="433" spans="1:4">
      <c r="A433" s="46" t="s">
        <v>1910</v>
      </c>
      <c r="C433" s="137">
        <v>2</v>
      </c>
      <c r="D433" s="47" t="s">
        <v>1950</v>
      </c>
    </row>
    <row r="434" spans="1:4">
      <c r="A434" s="46" t="s">
        <v>1911</v>
      </c>
      <c r="C434" s="137">
        <v>5</v>
      </c>
      <c r="D434" s="47" t="s">
        <v>1950</v>
      </c>
    </row>
    <row r="435" spans="1:4">
      <c r="A435" s="46" t="s">
        <v>1912</v>
      </c>
      <c r="C435" s="137">
        <v>5</v>
      </c>
      <c r="D435" s="47" t="s">
        <v>1950</v>
      </c>
    </row>
    <row r="436" spans="1:4">
      <c r="A436" s="46" t="s">
        <v>1913</v>
      </c>
      <c r="C436" s="137">
        <v>2</v>
      </c>
      <c r="D436" s="47" t="s">
        <v>1950</v>
      </c>
    </row>
    <row r="437" spans="1:4">
      <c r="A437" s="46" t="s">
        <v>1914</v>
      </c>
      <c r="C437" s="137">
        <v>3</v>
      </c>
      <c r="D437" s="47" t="s">
        <v>1950</v>
      </c>
    </row>
    <row r="438" spans="1:4">
      <c r="A438" s="46" t="s">
        <v>1915</v>
      </c>
      <c r="C438" s="137">
        <v>9</v>
      </c>
      <c r="D438" s="47" t="s">
        <v>1950</v>
      </c>
    </row>
    <row r="439" spans="1:4">
      <c r="A439" s="46" t="s">
        <v>1916</v>
      </c>
      <c r="C439" s="137">
        <v>8</v>
      </c>
      <c r="D439" s="47" t="s">
        <v>1950</v>
      </c>
    </row>
    <row r="440" spans="1:4">
      <c r="A440" s="46" t="s">
        <v>1917</v>
      </c>
      <c r="C440" s="137">
        <v>3</v>
      </c>
      <c r="D440" s="47" t="s">
        <v>1950</v>
      </c>
    </row>
    <row r="441" spans="1:4">
      <c r="A441" s="46" t="s">
        <v>1918</v>
      </c>
      <c r="C441" s="137">
        <v>3</v>
      </c>
      <c r="D441" s="47" t="s">
        <v>1950</v>
      </c>
    </row>
    <row r="442" spans="1:4">
      <c r="A442" s="46" t="s">
        <v>1919</v>
      </c>
      <c r="C442" s="137">
        <v>2</v>
      </c>
      <c r="D442" s="47" t="s">
        <v>1950</v>
      </c>
    </row>
    <row r="443" spans="1:4">
      <c r="A443" s="46" t="s">
        <v>1920</v>
      </c>
      <c r="C443" s="137">
        <v>2</v>
      </c>
      <c r="D443" s="47" t="s">
        <v>1950</v>
      </c>
    </row>
    <row r="444" spans="1:4">
      <c r="A444" s="46" t="s">
        <v>1921</v>
      </c>
      <c r="C444" s="137">
        <v>10</v>
      </c>
      <c r="D444" s="47" t="s">
        <v>1950</v>
      </c>
    </row>
    <row r="445" spans="1:4">
      <c r="A445" s="46" t="s">
        <v>1922</v>
      </c>
      <c r="C445" s="137">
        <v>10</v>
      </c>
      <c r="D445" s="47" t="s">
        <v>1950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L371"/>
  <sheetViews>
    <sheetView workbookViewId="0">
      <selection activeCell="I18" sqref="I18"/>
    </sheetView>
  </sheetViews>
  <sheetFormatPr baseColWidth="10" defaultColWidth="11" defaultRowHeight="16"/>
  <cols>
    <col min="1" max="1" width="9.1640625" bestFit="1" customWidth="1"/>
    <col min="2" max="2" width="25.1640625" customWidth="1"/>
    <col min="3" max="4" width="11.5" bestFit="1" customWidth="1"/>
    <col min="5" max="5" width="8.6640625" bestFit="1" customWidth="1"/>
  </cols>
  <sheetData>
    <row r="1" spans="1:12">
      <c r="A1" t="s">
        <v>1453</v>
      </c>
      <c r="B1" t="s">
        <v>843</v>
      </c>
      <c r="C1" t="s">
        <v>697</v>
      </c>
      <c r="D1" t="s">
        <v>1454</v>
      </c>
      <c r="E1" t="s">
        <v>1455</v>
      </c>
      <c r="H1" s="117"/>
      <c r="I1" s="117"/>
      <c r="J1" s="117"/>
      <c r="K1" s="117"/>
      <c r="L1" s="117"/>
    </row>
    <row r="2" spans="1:12">
      <c r="A2">
        <v>55774115</v>
      </c>
      <c r="B2" t="s">
        <v>590</v>
      </c>
      <c r="C2" t="s">
        <v>1685</v>
      </c>
      <c r="D2">
        <v>2</v>
      </c>
      <c r="E2">
        <v>15</v>
      </c>
      <c r="H2" s="118"/>
      <c r="I2" s="118"/>
      <c r="J2" s="118"/>
      <c r="K2" s="118"/>
      <c r="L2" s="118"/>
    </row>
    <row r="3" spans="1:12">
      <c r="A3">
        <v>55774116</v>
      </c>
      <c r="B3" t="s">
        <v>438</v>
      </c>
      <c r="D3">
        <v>4</v>
      </c>
      <c r="E3">
        <v>15</v>
      </c>
    </row>
    <row r="4" spans="1:12">
      <c r="A4">
        <v>55774117</v>
      </c>
      <c r="B4" t="s">
        <v>625</v>
      </c>
      <c r="D4">
        <v>1</v>
      </c>
      <c r="E4">
        <v>15</v>
      </c>
    </row>
    <row r="5" spans="1:12">
      <c r="A5">
        <v>55774118</v>
      </c>
      <c r="B5" t="s">
        <v>622</v>
      </c>
      <c r="D5">
        <v>1</v>
      </c>
      <c r="E5">
        <v>15</v>
      </c>
    </row>
    <row r="6" spans="1:12">
      <c r="A6">
        <v>55774119</v>
      </c>
      <c r="B6" t="s">
        <v>619</v>
      </c>
      <c r="D6">
        <v>5</v>
      </c>
      <c r="E6">
        <v>15</v>
      </c>
    </row>
    <row r="7" spans="1:12">
      <c r="A7">
        <v>55774120</v>
      </c>
      <c r="B7" t="s">
        <v>616</v>
      </c>
      <c r="D7">
        <v>2</v>
      </c>
      <c r="E7">
        <v>15</v>
      </c>
    </row>
    <row r="8" spans="1:12">
      <c r="A8">
        <v>55774121</v>
      </c>
      <c r="B8" t="s">
        <v>674</v>
      </c>
      <c r="D8">
        <v>0</v>
      </c>
      <c r="E8">
        <v>15</v>
      </c>
    </row>
    <row r="9" spans="1:12">
      <c r="A9">
        <v>55774122</v>
      </c>
      <c r="B9" t="s">
        <v>676</v>
      </c>
      <c r="D9">
        <v>2</v>
      </c>
      <c r="E9">
        <v>15</v>
      </c>
    </row>
    <row r="10" spans="1:12">
      <c r="A10">
        <v>55774123</v>
      </c>
      <c r="B10" t="s">
        <v>609</v>
      </c>
      <c r="D10">
        <v>2</v>
      </c>
      <c r="E10">
        <v>15</v>
      </c>
    </row>
    <row r="11" spans="1:12">
      <c r="A11">
        <v>55774124</v>
      </c>
      <c r="B11" t="s">
        <v>673</v>
      </c>
      <c r="D11">
        <v>26</v>
      </c>
      <c r="E11">
        <v>15</v>
      </c>
    </row>
    <row r="12" spans="1:12">
      <c r="A12">
        <v>55774125</v>
      </c>
      <c r="B12" t="s">
        <v>606</v>
      </c>
      <c r="D12">
        <v>2</v>
      </c>
      <c r="E12">
        <v>15</v>
      </c>
    </row>
    <row r="13" spans="1:12">
      <c r="A13">
        <v>55774126</v>
      </c>
      <c r="B13" t="s">
        <v>602</v>
      </c>
      <c r="D13">
        <v>1</v>
      </c>
      <c r="E13">
        <v>15</v>
      </c>
    </row>
    <row r="14" spans="1:12">
      <c r="A14">
        <v>55774127</v>
      </c>
      <c r="B14" t="s">
        <v>601</v>
      </c>
      <c r="D14">
        <v>2</v>
      </c>
      <c r="E14">
        <v>15</v>
      </c>
    </row>
    <row r="15" spans="1:12">
      <c r="A15">
        <v>55774128</v>
      </c>
      <c r="B15" t="s">
        <v>595</v>
      </c>
      <c r="D15">
        <v>24</v>
      </c>
      <c r="E15">
        <v>15</v>
      </c>
    </row>
    <row r="16" spans="1:12">
      <c r="A16">
        <v>55774129</v>
      </c>
      <c r="B16" t="s">
        <v>594</v>
      </c>
      <c r="D16">
        <v>1</v>
      </c>
      <c r="E16">
        <v>15</v>
      </c>
    </row>
    <row r="17" spans="1:5">
      <c r="A17">
        <v>55774130</v>
      </c>
      <c r="B17" t="s">
        <v>593</v>
      </c>
      <c r="D17">
        <v>3</v>
      </c>
      <c r="E17">
        <v>15</v>
      </c>
    </row>
    <row r="18" spans="1:5">
      <c r="A18">
        <v>55774131</v>
      </c>
      <c r="B18" t="s">
        <v>588</v>
      </c>
      <c r="D18">
        <v>1</v>
      </c>
      <c r="E18">
        <v>15</v>
      </c>
    </row>
    <row r="19" spans="1:5">
      <c r="A19">
        <v>55774132</v>
      </c>
      <c r="B19" t="s">
        <v>587</v>
      </c>
      <c r="D19">
        <v>2</v>
      </c>
      <c r="E19">
        <v>15</v>
      </c>
    </row>
    <row r="20" spans="1:5">
      <c r="A20">
        <v>55774133</v>
      </c>
      <c r="B20" t="s">
        <v>586</v>
      </c>
      <c r="D20">
        <v>2</v>
      </c>
      <c r="E20">
        <v>15</v>
      </c>
    </row>
    <row r="21" spans="1:5">
      <c r="A21">
        <v>55774134</v>
      </c>
      <c r="B21" t="s">
        <v>591</v>
      </c>
      <c r="D21">
        <v>4</v>
      </c>
      <c r="E21">
        <v>15</v>
      </c>
    </row>
    <row r="22" spans="1:5">
      <c r="A22">
        <v>55774135</v>
      </c>
      <c r="B22" t="s">
        <v>669</v>
      </c>
      <c r="D22">
        <v>6</v>
      </c>
      <c r="E22">
        <v>15</v>
      </c>
    </row>
    <row r="23" spans="1:5">
      <c r="A23">
        <v>55774136</v>
      </c>
      <c r="B23" t="s">
        <v>583</v>
      </c>
      <c r="D23">
        <v>6</v>
      </c>
      <c r="E23">
        <v>15</v>
      </c>
    </row>
    <row r="24" spans="1:5">
      <c r="A24">
        <v>55774137</v>
      </c>
      <c r="B24" t="s">
        <v>581</v>
      </c>
      <c r="D24">
        <v>12</v>
      </c>
      <c r="E24">
        <v>15</v>
      </c>
    </row>
    <row r="25" spans="1:5">
      <c r="A25">
        <v>55774138</v>
      </c>
      <c r="B25" t="s">
        <v>692</v>
      </c>
      <c r="D25">
        <v>1</v>
      </c>
      <c r="E25">
        <v>15</v>
      </c>
    </row>
    <row r="26" spans="1:5">
      <c r="A26">
        <v>55774139</v>
      </c>
      <c r="B26" t="s">
        <v>691</v>
      </c>
      <c r="D26">
        <v>2</v>
      </c>
      <c r="E26">
        <v>15</v>
      </c>
    </row>
    <row r="27" spans="1:5">
      <c r="A27">
        <v>55774140</v>
      </c>
      <c r="B27" t="s">
        <v>626</v>
      </c>
      <c r="D27">
        <v>1</v>
      </c>
      <c r="E27">
        <v>15</v>
      </c>
    </row>
    <row r="28" spans="1:5">
      <c r="A28">
        <v>55774141</v>
      </c>
      <c r="B28" t="s">
        <v>621</v>
      </c>
      <c r="D28">
        <v>1</v>
      </c>
      <c r="E28">
        <v>15</v>
      </c>
    </row>
    <row r="29" spans="1:5">
      <c r="A29">
        <v>55774142</v>
      </c>
      <c r="B29" t="s">
        <v>620</v>
      </c>
      <c r="D29">
        <v>12</v>
      </c>
      <c r="E29">
        <v>15</v>
      </c>
    </row>
    <row r="30" spans="1:5">
      <c r="A30">
        <v>55774143</v>
      </c>
      <c r="B30" t="s">
        <v>615</v>
      </c>
      <c r="D30">
        <v>2</v>
      </c>
      <c r="E30">
        <v>15</v>
      </c>
    </row>
    <row r="31" spans="1:5">
      <c r="A31">
        <v>55774144</v>
      </c>
      <c r="B31" t="s">
        <v>618</v>
      </c>
      <c r="D31">
        <v>11</v>
      </c>
      <c r="E31">
        <v>15</v>
      </c>
    </row>
    <row r="32" spans="1:5">
      <c r="A32">
        <v>55774145</v>
      </c>
      <c r="B32" t="s">
        <v>617</v>
      </c>
      <c r="D32">
        <v>13</v>
      </c>
      <c r="E32">
        <v>15</v>
      </c>
    </row>
    <row r="33" spans="1:5">
      <c r="A33">
        <v>55774146</v>
      </c>
      <c r="B33" t="s">
        <v>612</v>
      </c>
      <c r="D33">
        <v>1</v>
      </c>
      <c r="E33">
        <v>15</v>
      </c>
    </row>
    <row r="34" spans="1:5">
      <c r="A34">
        <v>55774147</v>
      </c>
      <c r="B34" t="s">
        <v>611</v>
      </c>
      <c r="D34">
        <v>1</v>
      </c>
      <c r="E34">
        <v>15</v>
      </c>
    </row>
    <row r="35" spans="1:5">
      <c r="A35">
        <v>55774148</v>
      </c>
      <c r="B35" t="s">
        <v>580</v>
      </c>
      <c r="D35">
        <v>2</v>
      </c>
      <c r="E35">
        <v>15</v>
      </c>
    </row>
    <row r="36" spans="1:5">
      <c r="A36">
        <v>55774149</v>
      </c>
      <c r="B36" t="s">
        <v>579</v>
      </c>
      <c r="D36">
        <v>1</v>
      </c>
      <c r="E36">
        <v>15</v>
      </c>
    </row>
    <row r="37" spans="1:5">
      <c r="A37">
        <v>55774150</v>
      </c>
      <c r="B37" t="s">
        <v>610</v>
      </c>
      <c r="D37">
        <v>3</v>
      </c>
      <c r="E37">
        <v>15</v>
      </c>
    </row>
    <row r="38" spans="1:5">
      <c r="A38">
        <v>55774151</v>
      </c>
      <c r="B38" t="s">
        <v>672</v>
      </c>
      <c r="D38">
        <v>19</v>
      </c>
      <c r="E38">
        <v>15</v>
      </c>
    </row>
    <row r="39" spans="1:5">
      <c r="A39">
        <v>55774152</v>
      </c>
      <c r="B39" t="s">
        <v>605</v>
      </c>
      <c r="D39">
        <v>1</v>
      </c>
      <c r="E39">
        <v>15</v>
      </c>
    </row>
    <row r="40" spans="1:5">
      <c r="A40">
        <v>55774153</v>
      </c>
      <c r="B40" t="s">
        <v>604</v>
      </c>
      <c r="D40">
        <v>1</v>
      </c>
      <c r="E40">
        <v>15</v>
      </c>
    </row>
    <row r="41" spans="1:5">
      <c r="A41">
        <v>55774154</v>
      </c>
      <c r="B41" t="s">
        <v>603</v>
      </c>
      <c r="D41">
        <v>0</v>
      </c>
      <c r="E41">
        <v>15</v>
      </c>
    </row>
    <row r="42" spans="1:5">
      <c r="A42">
        <v>55774155</v>
      </c>
      <c r="B42" t="s">
        <v>671</v>
      </c>
      <c r="D42">
        <v>13</v>
      </c>
      <c r="E42">
        <v>15</v>
      </c>
    </row>
    <row r="43" spans="1:5">
      <c r="A43">
        <v>55774156</v>
      </c>
      <c r="B43" t="s">
        <v>670</v>
      </c>
      <c r="D43">
        <v>7</v>
      </c>
      <c r="E43">
        <v>15</v>
      </c>
    </row>
    <row r="44" spans="1:5">
      <c r="A44">
        <v>55774157</v>
      </c>
      <c r="B44" t="s">
        <v>600</v>
      </c>
      <c r="D44">
        <v>2</v>
      </c>
      <c r="E44">
        <v>15</v>
      </c>
    </row>
    <row r="45" spans="1:5">
      <c r="A45">
        <v>55774158</v>
      </c>
      <c r="B45" t="s">
        <v>598</v>
      </c>
      <c r="D45">
        <v>1</v>
      </c>
      <c r="E45">
        <v>15</v>
      </c>
    </row>
    <row r="46" spans="1:5">
      <c r="A46">
        <v>55774159</v>
      </c>
      <c r="B46" t="s">
        <v>597</v>
      </c>
      <c r="D46">
        <v>0</v>
      </c>
      <c r="E46">
        <v>15</v>
      </c>
    </row>
    <row r="47" spans="1:5">
      <c r="A47">
        <v>55774160</v>
      </c>
      <c r="B47" t="s">
        <v>596</v>
      </c>
      <c r="D47">
        <v>22</v>
      </c>
      <c r="E47">
        <v>15</v>
      </c>
    </row>
    <row r="48" spans="1:5">
      <c r="A48">
        <v>55774161</v>
      </c>
      <c r="B48" t="s">
        <v>589</v>
      </c>
      <c r="D48">
        <v>2</v>
      </c>
      <c r="E48">
        <v>15</v>
      </c>
    </row>
    <row r="49" spans="1:5">
      <c r="A49">
        <v>55774162</v>
      </c>
      <c r="B49" t="s">
        <v>585</v>
      </c>
      <c r="D49">
        <v>0</v>
      </c>
      <c r="E49">
        <v>15</v>
      </c>
    </row>
    <row r="50" spans="1:5">
      <c r="A50">
        <v>55774163</v>
      </c>
      <c r="B50" t="s">
        <v>668</v>
      </c>
      <c r="D50">
        <v>10</v>
      </c>
      <c r="E50">
        <v>15</v>
      </c>
    </row>
    <row r="51" spans="1:5">
      <c r="A51">
        <v>55774164</v>
      </c>
      <c r="B51" t="s">
        <v>584</v>
      </c>
      <c r="D51">
        <v>7</v>
      </c>
      <c r="E51">
        <v>15</v>
      </c>
    </row>
    <row r="52" spans="1:5">
      <c r="A52">
        <v>55774165</v>
      </c>
      <c r="B52" t="s">
        <v>582</v>
      </c>
      <c r="D52">
        <v>5</v>
      </c>
      <c r="E52">
        <v>15</v>
      </c>
    </row>
    <row r="53" spans="1:5">
      <c r="A53">
        <v>55774166</v>
      </c>
      <c r="B53" t="s">
        <v>592</v>
      </c>
      <c r="D53">
        <v>2</v>
      </c>
      <c r="E53">
        <v>15</v>
      </c>
    </row>
    <row r="54" spans="1:5">
      <c r="A54">
        <v>55774167</v>
      </c>
      <c r="B54" t="s">
        <v>400</v>
      </c>
      <c r="D54">
        <v>3</v>
      </c>
      <c r="E54">
        <v>15</v>
      </c>
    </row>
    <row r="55" spans="1:5">
      <c r="A55">
        <v>55774168</v>
      </c>
      <c r="B55" t="s">
        <v>465</v>
      </c>
      <c r="D55">
        <v>0</v>
      </c>
      <c r="E55">
        <v>15</v>
      </c>
    </row>
    <row r="56" spans="1:5">
      <c r="A56">
        <v>55774169</v>
      </c>
      <c r="B56" t="s">
        <v>474</v>
      </c>
      <c r="D56">
        <v>0</v>
      </c>
      <c r="E56">
        <v>15</v>
      </c>
    </row>
    <row r="57" spans="1:5">
      <c r="A57">
        <v>55774170</v>
      </c>
      <c r="B57" t="s">
        <v>462</v>
      </c>
      <c r="D57">
        <v>0</v>
      </c>
      <c r="E57">
        <v>15</v>
      </c>
    </row>
    <row r="58" spans="1:5">
      <c r="A58">
        <v>55774171</v>
      </c>
      <c r="B58" t="s">
        <v>455</v>
      </c>
      <c r="D58">
        <v>0</v>
      </c>
      <c r="E58">
        <v>15</v>
      </c>
    </row>
    <row r="59" spans="1:5">
      <c r="A59">
        <v>55774172</v>
      </c>
      <c r="B59" t="s">
        <v>422</v>
      </c>
      <c r="D59">
        <v>0</v>
      </c>
      <c r="E59">
        <v>15</v>
      </c>
    </row>
    <row r="60" spans="1:5">
      <c r="A60">
        <v>55774173</v>
      </c>
      <c r="B60" t="s">
        <v>454</v>
      </c>
      <c r="D60">
        <v>1</v>
      </c>
      <c r="E60">
        <v>15</v>
      </c>
    </row>
    <row r="61" spans="1:5">
      <c r="A61">
        <v>55774174</v>
      </c>
      <c r="B61" t="s">
        <v>535</v>
      </c>
      <c r="D61">
        <v>2</v>
      </c>
      <c r="E61">
        <v>15</v>
      </c>
    </row>
    <row r="62" spans="1:5">
      <c r="A62">
        <v>55774175</v>
      </c>
      <c r="B62" t="s">
        <v>683</v>
      </c>
      <c r="D62">
        <v>5</v>
      </c>
      <c r="E62">
        <v>15</v>
      </c>
    </row>
    <row r="63" spans="1:5">
      <c r="A63">
        <v>55774176</v>
      </c>
      <c r="B63" t="s">
        <v>684</v>
      </c>
      <c r="D63">
        <v>3</v>
      </c>
      <c r="E63">
        <v>15</v>
      </c>
    </row>
    <row r="64" spans="1:5">
      <c r="A64">
        <v>55774177</v>
      </c>
      <c r="B64" t="s">
        <v>682</v>
      </c>
      <c r="D64">
        <v>7</v>
      </c>
      <c r="E64">
        <v>15</v>
      </c>
    </row>
    <row r="65" spans="1:5">
      <c r="A65">
        <v>55774178</v>
      </c>
      <c r="B65" t="s">
        <v>688</v>
      </c>
      <c r="D65">
        <v>22</v>
      </c>
      <c r="E65">
        <v>15</v>
      </c>
    </row>
    <row r="66" spans="1:5">
      <c r="A66">
        <v>55774179</v>
      </c>
      <c r="B66" t="s">
        <v>448</v>
      </c>
      <c r="D66">
        <v>6</v>
      </c>
      <c r="E66">
        <v>15</v>
      </c>
    </row>
    <row r="67" spans="1:5">
      <c r="A67">
        <v>55774180</v>
      </c>
      <c r="B67" t="s">
        <v>416</v>
      </c>
      <c r="D67">
        <v>33</v>
      </c>
      <c r="E67">
        <v>15</v>
      </c>
    </row>
    <row r="68" spans="1:5">
      <c r="A68">
        <v>55774181</v>
      </c>
      <c r="B68" t="s">
        <v>445</v>
      </c>
      <c r="D68">
        <v>4</v>
      </c>
      <c r="E68">
        <v>15</v>
      </c>
    </row>
    <row r="69" spans="1:5">
      <c r="A69">
        <v>55774182</v>
      </c>
      <c r="B69" t="s">
        <v>413</v>
      </c>
      <c r="D69">
        <v>4</v>
      </c>
      <c r="E69">
        <v>15</v>
      </c>
    </row>
    <row r="70" spans="1:5">
      <c r="A70">
        <v>55774183</v>
      </c>
      <c r="B70" t="s">
        <v>411</v>
      </c>
      <c r="D70">
        <v>53</v>
      </c>
      <c r="E70">
        <v>15</v>
      </c>
    </row>
    <row r="71" spans="1:5">
      <c r="A71">
        <v>55774184</v>
      </c>
      <c r="B71" t="s">
        <v>537</v>
      </c>
      <c r="D71">
        <v>2</v>
      </c>
      <c r="E71">
        <v>15</v>
      </c>
    </row>
    <row r="72" spans="1:5">
      <c r="A72">
        <v>55774185</v>
      </c>
      <c r="B72" t="s">
        <v>687</v>
      </c>
      <c r="D72">
        <v>3</v>
      </c>
      <c r="E72">
        <v>15</v>
      </c>
    </row>
    <row r="73" spans="1:5">
      <c r="A73">
        <v>55774186</v>
      </c>
      <c r="B73" t="s">
        <v>441</v>
      </c>
      <c r="D73">
        <v>18</v>
      </c>
      <c r="E73">
        <v>15</v>
      </c>
    </row>
    <row r="74" spans="1:5">
      <c r="A74">
        <v>55774187</v>
      </c>
      <c r="B74" t="s">
        <v>409</v>
      </c>
      <c r="D74">
        <v>21</v>
      </c>
      <c r="E74">
        <v>15</v>
      </c>
    </row>
    <row r="75" spans="1:5">
      <c r="A75">
        <v>55774188</v>
      </c>
      <c r="B75" t="s">
        <v>536</v>
      </c>
      <c r="D75">
        <v>4</v>
      </c>
      <c r="E75">
        <v>15</v>
      </c>
    </row>
    <row r="76" spans="1:5">
      <c r="A76">
        <v>55774189</v>
      </c>
      <c r="B76" t="s">
        <v>408</v>
      </c>
      <c r="D76">
        <v>1</v>
      </c>
      <c r="E76">
        <v>15</v>
      </c>
    </row>
    <row r="77" spans="1:5">
      <c r="A77">
        <v>55774190</v>
      </c>
      <c r="B77" t="s">
        <v>437</v>
      </c>
      <c r="D77">
        <v>19</v>
      </c>
      <c r="E77">
        <v>15</v>
      </c>
    </row>
    <row r="78" spans="1:5">
      <c r="A78">
        <v>55774191</v>
      </c>
      <c r="B78" t="s">
        <v>407</v>
      </c>
      <c r="D78">
        <v>21</v>
      </c>
      <c r="E78">
        <v>15</v>
      </c>
    </row>
    <row r="79" spans="1:5">
      <c r="A79">
        <v>55774192</v>
      </c>
      <c r="B79" t="s">
        <v>435</v>
      </c>
      <c r="D79">
        <v>18</v>
      </c>
      <c r="E79">
        <v>15</v>
      </c>
    </row>
    <row r="80" spans="1:5">
      <c r="A80">
        <v>55774193</v>
      </c>
      <c r="B80" t="s">
        <v>405</v>
      </c>
      <c r="D80">
        <v>16</v>
      </c>
      <c r="E80">
        <v>15</v>
      </c>
    </row>
    <row r="81" spans="1:5">
      <c r="A81">
        <v>55774194</v>
      </c>
      <c r="B81" t="s">
        <v>434</v>
      </c>
      <c r="D81">
        <v>4</v>
      </c>
      <c r="E81">
        <v>15</v>
      </c>
    </row>
    <row r="82" spans="1:5">
      <c r="A82">
        <v>55774195</v>
      </c>
      <c r="B82" t="s">
        <v>404</v>
      </c>
      <c r="D82">
        <v>4</v>
      </c>
      <c r="E82">
        <v>15</v>
      </c>
    </row>
    <row r="83" spans="1:5">
      <c r="A83">
        <v>55774196</v>
      </c>
      <c r="B83" t="s">
        <v>433</v>
      </c>
      <c r="D83">
        <v>17</v>
      </c>
      <c r="E83">
        <v>15</v>
      </c>
    </row>
    <row r="84" spans="1:5">
      <c r="A84">
        <v>55774197</v>
      </c>
      <c r="B84" t="s">
        <v>431</v>
      </c>
      <c r="D84">
        <v>0</v>
      </c>
      <c r="E84">
        <v>15</v>
      </c>
    </row>
    <row r="85" spans="1:5">
      <c r="A85">
        <v>55774198</v>
      </c>
      <c r="B85" t="s">
        <v>398</v>
      </c>
      <c r="D85">
        <v>2</v>
      </c>
      <c r="E85">
        <v>15</v>
      </c>
    </row>
    <row r="86" spans="1:5">
      <c r="A86">
        <v>55774199</v>
      </c>
      <c r="B86" t="s">
        <v>428</v>
      </c>
      <c r="D86">
        <v>14</v>
      </c>
      <c r="E86">
        <v>15</v>
      </c>
    </row>
    <row r="87" spans="1:5">
      <c r="A87">
        <v>55774200</v>
      </c>
      <c r="B87" t="s">
        <v>425</v>
      </c>
      <c r="D87">
        <v>2</v>
      </c>
      <c r="E87">
        <v>15</v>
      </c>
    </row>
    <row r="88" spans="1:5">
      <c r="A88">
        <v>55774201</v>
      </c>
      <c r="B88" t="s">
        <v>394</v>
      </c>
      <c r="D88">
        <v>2</v>
      </c>
      <c r="E88">
        <v>15</v>
      </c>
    </row>
    <row r="89" spans="1:5">
      <c r="A89">
        <v>55774202</v>
      </c>
      <c r="B89" t="s">
        <v>392</v>
      </c>
      <c r="D89">
        <v>0</v>
      </c>
      <c r="E89">
        <v>15</v>
      </c>
    </row>
    <row r="90" spans="1:5">
      <c r="A90">
        <v>55774203</v>
      </c>
      <c r="B90" t="s">
        <v>479</v>
      </c>
      <c r="D90">
        <v>0</v>
      </c>
      <c r="E90">
        <v>15</v>
      </c>
    </row>
    <row r="91" spans="1:5">
      <c r="A91">
        <v>55774204</v>
      </c>
      <c r="B91" t="s">
        <v>466</v>
      </c>
      <c r="D91">
        <v>1</v>
      </c>
      <c r="E91">
        <v>15</v>
      </c>
    </row>
    <row r="92" spans="1:5">
      <c r="A92">
        <v>55774205</v>
      </c>
      <c r="B92" t="s">
        <v>478</v>
      </c>
      <c r="D92">
        <v>0</v>
      </c>
      <c r="E92">
        <v>15</v>
      </c>
    </row>
    <row r="93" spans="1:5">
      <c r="A93">
        <v>55774206</v>
      </c>
      <c r="B93" t="s">
        <v>421</v>
      </c>
      <c r="D93">
        <v>1</v>
      </c>
      <c r="E93">
        <v>15</v>
      </c>
    </row>
    <row r="94" spans="1:5">
      <c r="A94">
        <v>55774207</v>
      </c>
      <c r="B94" t="s">
        <v>453</v>
      </c>
      <c r="D94">
        <v>0</v>
      </c>
      <c r="E94">
        <v>15</v>
      </c>
    </row>
    <row r="95" spans="1:5">
      <c r="A95">
        <v>55774208</v>
      </c>
      <c r="B95" t="s">
        <v>450</v>
      </c>
      <c r="D95">
        <v>10</v>
      </c>
      <c r="E95">
        <v>15</v>
      </c>
    </row>
    <row r="96" spans="1:5">
      <c r="A96">
        <v>55774209</v>
      </c>
      <c r="B96" t="s">
        <v>418</v>
      </c>
      <c r="D96">
        <v>47</v>
      </c>
      <c r="E96">
        <v>15</v>
      </c>
    </row>
    <row r="97" spans="1:5">
      <c r="A97">
        <v>55774210</v>
      </c>
      <c r="B97" t="s">
        <v>449</v>
      </c>
      <c r="D97">
        <v>9</v>
      </c>
      <c r="E97">
        <v>15</v>
      </c>
    </row>
    <row r="98" spans="1:5">
      <c r="A98">
        <v>55774211</v>
      </c>
      <c r="B98" t="s">
        <v>417</v>
      </c>
      <c r="D98">
        <v>30</v>
      </c>
      <c r="E98">
        <v>15</v>
      </c>
    </row>
    <row r="99" spans="1:5">
      <c r="A99">
        <v>55774212</v>
      </c>
      <c r="B99" t="s">
        <v>443</v>
      </c>
      <c r="D99">
        <v>6</v>
      </c>
      <c r="E99">
        <v>15</v>
      </c>
    </row>
    <row r="100" spans="1:5">
      <c r="A100">
        <v>55774213</v>
      </c>
      <c r="B100" t="s">
        <v>442</v>
      </c>
      <c r="D100">
        <v>4</v>
      </c>
      <c r="E100">
        <v>15</v>
      </c>
    </row>
    <row r="101" spans="1:5">
      <c r="A101">
        <v>55774214</v>
      </c>
      <c r="B101" t="s">
        <v>410</v>
      </c>
      <c r="D101">
        <v>34</v>
      </c>
      <c r="E101">
        <v>15</v>
      </c>
    </row>
    <row r="102" spans="1:5">
      <c r="A102">
        <v>55774215</v>
      </c>
      <c r="B102" t="s">
        <v>694</v>
      </c>
      <c r="D102">
        <v>3</v>
      </c>
      <c r="E102">
        <v>15</v>
      </c>
    </row>
    <row r="103" spans="1:5">
      <c r="A103">
        <v>55774216</v>
      </c>
      <c r="B103" t="s">
        <v>436</v>
      </c>
      <c r="D103">
        <v>2</v>
      </c>
      <c r="E103">
        <v>15</v>
      </c>
    </row>
    <row r="104" spans="1:5">
      <c r="A104">
        <v>55774217</v>
      </c>
      <c r="B104" t="s">
        <v>406</v>
      </c>
      <c r="D104">
        <v>1</v>
      </c>
      <c r="E104">
        <v>15</v>
      </c>
    </row>
    <row r="105" spans="1:5">
      <c r="A105">
        <v>55774218</v>
      </c>
      <c r="B105" t="s">
        <v>402</v>
      </c>
      <c r="D105">
        <v>42</v>
      </c>
      <c r="E105">
        <v>15</v>
      </c>
    </row>
    <row r="106" spans="1:5">
      <c r="A106">
        <v>55774219</v>
      </c>
      <c r="B106" t="s">
        <v>432</v>
      </c>
      <c r="D106">
        <v>12</v>
      </c>
      <c r="E106">
        <v>15</v>
      </c>
    </row>
    <row r="107" spans="1:5">
      <c r="A107">
        <v>55774220</v>
      </c>
      <c r="B107" t="s">
        <v>401</v>
      </c>
      <c r="D107">
        <v>36</v>
      </c>
      <c r="E107">
        <v>15</v>
      </c>
    </row>
    <row r="108" spans="1:5">
      <c r="A108">
        <v>55774221</v>
      </c>
      <c r="B108" t="s">
        <v>430</v>
      </c>
      <c r="D108">
        <v>28</v>
      </c>
      <c r="E108">
        <v>15</v>
      </c>
    </row>
    <row r="109" spans="1:5">
      <c r="A109">
        <v>55774222</v>
      </c>
      <c r="B109" t="s">
        <v>399</v>
      </c>
      <c r="D109">
        <v>17</v>
      </c>
      <c r="E109">
        <v>15</v>
      </c>
    </row>
    <row r="110" spans="1:5">
      <c r="A110">
        <v>55774223</v>
      </c>
      <c r="B110" t="s">
        <v>429</v>
      </c>
      <c r="D110">
        <v>1</v>
      </c>
      <c r="E110">
        <v>15</v>
      </c>
    </row>
    <row r="111" spans="1:5">
      <c r="A111">
        <v>55774224</v>
      </c>
      <c r="B111" t="s">
        <v>397</v>
      </c>
      <c r="D111">
        <v>19</v>
      </c>
      <c r="E111">
        <v>15</v>
      </c>
    </row>
    <row r="112" spans="1:5">
      <c r="A112">
        <v>55774225</v>
      </c>
      <c r="B112" t="s">
        <v>427</v>
      </c>
      <c r="D112">
        <v>2</v>
      </c>
      <c r="E112">
        <v>15</v>
      </c>
    </row>
    <row r="113" spans="1:5">
      <c r="A113">
        <v>55774226</v>
      </c>
      <c r="B113" t="s">
        <v>396</v>
      </c>
      <c r="D113">
        <v>1</v>
      </c>
      <c r="E113">
        <v>15</v>
      </c>
    </row>
    <row r="114" spans="1:5">
      <c r="A114">
        <v>55774227</v>
      </c>
      <c r="B114" t="s">
        <v>424</v>
      </c>
      <c r="D114">
        <v>16</v>
      </c>
      <c r="E114">
        <v>15</v>
      </c>
    </row>
    <row r="115" spans="1:5">
      <c r="A115">
        <v>55774228</v>
      </c>
      <c r="B115" t="s">
        <v>393</v>
      </c>
      <c r="D115">
        <v>34</v>
      </c>
      <c r="E115">
        <v>15</v>
      </c>
    </row>
    <row r="116" spans="1:5">
      <c r="A116">
        <v>55774229</v>
      </c>
      <c r="B116" t="s">
        <v>423</v>
      </c>
      <c r="D116">
        <v>1</v>
      </c>
      <c r="E116">
        <v>15</v>
      </c>
    </row>
    <row r="117" spans="1:5">
      <c r="A117">
        <v>55788221</v>
      </c>
      <c r="B117" t="s">
        <v>560</v>
      </c>
      <c r="D117">
        <v>1</v>
      </c>
      <c r="E117">
        <v>15</v>
      </c>
    </row>
    <row r="118" spans="1:5">
      <c r="A118">
        <v>55788222</v>
      </c>
      <c r="B118" t="s">
        <v>559</v>
      </c>
      <c r="D118">
        <v>2</v>
      </c>
      <c r="E118">
        <v>15</v>
      </c>
    </row>
    <row r="119" spans="1:5">
      <c r="A119">
        <v>55788223</v>
      </c>
      <c r="B119" t="s">
        <v>558</v>
      </c>
      <c r="D119">
        <v>1</v>
      </c>
      <c r="E119">
        <v>15</v>
      </c>
    </row>
    <row r="120" spans="1:5">
      <c r="A120">
        <v>55788226</v>
      </c>
      <c r="B120" t="s">
        <v>664</v>
      </c>
      <c r="D120">
        <v>25</v>
      </c>
      <c r="E120">
        <v>15</v>
      </c>
    </row>
    <row r="121" spans="1:5">
      <c r="A121">
        <v>55788227</v>
      </c>
      <c r="B121" t="s">
        <v>680</v>
      </c>
      <c r="D121">
        <v>1</v>
      </c>
      <c r="E121">
        <v>15</v>
      </c>
    </row>
    <row r="122" spans="1:5">
      <c r="A122">
        <v>55788228</v>
      </c>
      <c r="B122" t="s">
        <v>555</v>
      </c>
      <c r="D122">
        <v>1</v>
      </c>
      <c r="E122">
        <v>15</v>
      </c>
    </row>
    <row r="123" spans="1:5">
      <c r="A123">
        <v>55788234</v>
      </c>
      <c r="B123" t="s">
        <v>557</v>
      </c>
      <c r="D123">
        <v>7</v>
      </c>
      <c r="E123">
        <v>15</v>
      </c>
    </row>
    <row r="124" spans="1:5">
      <c r="A124">
        <v>55788235</v>
      </c>
      <c r="B124" t="s">
        <v>556</v>
      </c>
      <c r="D124">
        <v>4</v>
      </c>
      <c r="E124">
        <v>15</v>
      </c>
    </row>
    <row r="125" spans="1:5">
      <c r="A125">
        <v>55788236</v>
      </c>
      <c r="B125" t="s">
        <v>561</v>
      </c>
      <c r="D125">
        <v>1</v>
      </c>
      <c r="E125">
        <v>15</v>
      </c>
    </row>
    <row r="126" spans="1:5">
      <c r="A126">
        <v>55788244</v>
      </c>
      <c r="B126" t="s">
        <v>1195</v>
      </c>
      <c r="D126">
        <v>5</v>
      </c>
      <c r="E126">
        <v>15</v>
      </c>
    </row>
    <row r="127" spans="1:5">
      <c r="A127">
        <v>55788245</v>
      </c>
      <c r="B127" t="s">
        <v>1269</v>
      </c>
      <c r="D127">
        <v>15</v>
      </c>
      <c r="E127">
        <v>15</v>
      </c>
    </row>
    <row r="128" spans="1:5">
      <c r="A128">
        <v>55788246</v>
      </c>
      <c r="B128" t="s">
        <v>1185</v>
      </c>
      <c r="D128">
        <v>61</v>
      </c>
      <c r="E128">
        <v>15</v>
      </c>
    </row>
    <row r="129" spans="1:5">
      <c r="A129">
        <v>55788247</v>
      </c>
      <c r="B129" t="s">
        <v>1267</v>
      </c>
      <c r="D129">
        <v>11</v>
      </c>
      <c r="E129">
        <v>15</v>
      </c>
    </row>
    <row r="130" spans="1:5">
      <c r="A130">
        <v>55788248</v>
      </c>
      <c r="B130" t="s">
        <v>1175</v>
      </c>
      <c r="D130">
        <v>12</v>
      </c>
      <c r="E130">
        <v>15</v>
      </c>
    </row>
    <row r="131" spans="1:5">
      <c r="A131">
        <v>55788249</v>
      </c>
      <c r="B131" t="s">
        <v>1167</v>
      </c>
      <c r="D131">
        <v>0</v>
      </c>
      <c r="E131">
        <v>15</v>
      </c>
    </row>
    <row r="132" spans="1:5">
      <c r="A132">
        <v>55788250</v>
      </c>
      <c r="B132" t="s">
        <v>1266</v>
      </c>
      <c r="D132">
        <v>7</v>
      </c>
      <c r="E132">
        <v>15</v>
      </c>
    </row>
    <row r="133" spans="1:5">
      <c r="A133">
        <v>55788251</v>
      </c>
      <c r="B133" t="s">
        <v>1159</v>
      </c>
      <c r="D133">
        <v>3</v>
      </c>
      <c r="E133">
        <v>15</v>
      </c>
    </row>
    <row r="134" spans="1:5">
      <c r="A134">
        <v>55788252</v>
      </c>
      <c r="B134" t="s">
        <v>1157</v>
      </c>
      <c r="D134">
        <v>21</v>
      </c>
      <c r="E134">
        <v>15</v>
      </c>
    </row>
    <row r="135" spans="1:5">
      <c r="A135">
        <v>55788253</v>
      </c>
      <c r="B135" t="s">
        <v>1151</v>
      </c>
      <c r="D135">
        <v>67</v>
      </c>
      <c r="E135">
        <v>15</v>
      </c>
    </row>
    <row r="136" spans="1:5">
      <c r="A136">
        <v>55788254</v>
      </c>
      <c r="B136" t="s">
        <v>1149</v>
      </c>
      <c r="D136">
        <v>3</v>
      </c>
      <c r="E136">
        <v>15</v>
      </c>
    </row>
    <row r="137" spans="1:5">
      <c r="A137">
        <v>55788255</v>
      </c>
      <c r="B137" t="s">
        <v>1147</v>
      </c>
      <c r="D137">
        <v>4</v>
      </c>
      <c r="E137">
        <v>15</v>
      </c>
    </row>
    <row r="138" spans="1:5">
      <c r="A138">
        <v>55788256</v>
      </c>
      <c r="B138" t="s">
        <v>1145</v>
      </c>
      <c r="D138">
        <v>5</v>
      </c>
      <c r="E138">
        <v>15</v>
      </c>
    </row>
    <row r="139" spans="1:5">
      <c r="A139">
        <v>55788257</v>
      </c>
      <c r="B139" t="s">
        <v>1134</v>
      </c>
      <c r="D139">
        <v>5</v>
      </c>
      <c r="E139">
        <v>15</v>
      </c>
    </row>
    <row r="140" spans="1:5">
      <c r="A140">
        <v>55788258</v>
      </c>
      <c r="B140" t="s">
        <v>326</v>
      </c>
      <c r="D140">
        <v>3</v>
      </c>
      <c r="E140">
        <v>15</v>
      </c>
    </row>
    <row r="141" spans="1:5">
      <c r="A141">
        <v>55788259</v>
      </c>
      <c r="B141" t="s">
        <v>241</v>
      </c>
      <c r="D141">
        <v>3</v>
      </c>
      <c r="E141">
        <v>15</v>
      </c>
    </row>
    <row r="142" spans="1:5">
      <c r="A142">
        <v>55788260</v>
      </c>
      <c r="B142" t="s">
        <v>239</v>
      </c>
      <c r="D142">
        <v>0</v>
      </c>
      <c r="E142">
        <v>15</v>
      </c>
    </row>
    <row r="143" spans="1:5">
      <c r="A143">
        <v>55788261</v>
      </c>
      <c r="B143" t="s">
        <v>345</v>
      </c>
      <c r="D143">
        <v>10</v>
      </c>
      <c r="E143">
        <v>15</v>
      </c>
    </row>
    <row r="144" spans="1:5">
      <c r="A144">
        <v>55788262</v>
      </c>
      <c r="B144" t="s">
        <v>216</v>
      </c>
      <c r="D144">
        <v>3</v>
      </c>
      <c r="E144">
        <v>15</v>
      </c>
    </row>
    <row r="145" spans="1:5">
      <c r="A145">
        <v>55788263</v>
      </c>
      <c r="B145" t="s">
        <v>299</v>
      </c>
      <c r="D145">
        <v>0</v>
      </c>
      <c r="E145">
        <v>15</v>
      </c>
    </row>
    <row r="146" spans="1:5">
      <c r="A146">
        <v>55788264</v>
      </c>
      <c r="B146" t="s">
        <v>215</v>
      </c>
      <c r="D146">
        <v>5</v>
      </c>
      <c r="E146">
        <v>15</v>
      </c>
    </row>
    <row r="147" spans="1:5">
      <c r="A147">
        <v>55788265</v>
      </c>
      <c r="B147" t="s">
        <v>371</v>
      </c>
      <c r="D147">
        <v>0</v>
      </c>
      <c r="E147">
        <v>15</v>
      </c>
    </row>
    <row r="148" spans="1:5">
      <c r="A148">
        <v>55788266</v>
      </c>
      <c r="B148" t="s">
        <v>304</v>
      </c>
      <c r="D148">
        <v>6</v>
      </c>
      <c r="E148">
        <v>15</v>
      </c>
    </row>
    <row r="149" spans="1:5">
      <c r="A149">
        <v>55788267</v>
      </c>
      <c r="B149" t="s">
        <v>220</v>
      </c>
      <c r="D149">
        <v>7</v>
      </c>
      <c r="E149">
        <v>15</v>
      </c>
    </row>
    <row r="150" spans="1:5">
      <c r="A150">
        <v>55788268</v>
      </c>
      <c r="B150" t="s">
        <v>389</v>
      </c>
      <c r="D150">
        <v>3</v>
      </c>
      <c r="E150">
        <v>15</v>
      </c>
    </row>
    <row r="151" spans="1:5">
      <c r="A151">
        <v>55788269</v>
      </c>
      <c r="B151" t="s">
        <v>290</v>
      </c>
      <c r="D151">
        <v>0</v>
      </c>
      <c r="E151">
        <v>15</v>
      </c>
    </row>
    <row r="152" spans="1:5">
      <c r="A152">
        <v>55788270</v>
      </c>
      <c r="B152" t="s">
        <v>386</v>
      </c>
      <c r="D152">
        <v>17</v>
      </c>
      <c r="E152">
        <v>15</v>
      </c>
    </row>
    <row r="153" spans="1:5">
      <c r="A153">
        <v>55788271</v>
      </c>
      <c r="B153" t="s">
        <v>289</v>
      </c>
      <c r="D153">
        <v>29</v>
      </c>
      <c r="E153">
        <v>15</v>
      </c>
    </row>
    <row r="154" spans="1:5">
      <c r="A154">
        <v>55788272</v>
      </c>
      <c r="B154" t="s">
        <v>228</v>
      </c>
      <c r="D154">
        <v>1</v>
      </c>
      <c r="E154">
        <v>15</v>
      </c>
    </row>
    <row r="155" spans="1:5">
      <c r="A155">
        <v>55788273</v>
      </c>
      <c r="B155" t="s">
        <v>312</v>
      </c>
      <c r="D155">
        <v>0</v>
      </c>
      <c r="E155">
        <v>15</v>
      </c>
    </row>
    <row r="156" spans="1:5">
      <c r="A156">
        <v>55788274</v>
      </c>
      <c r="B156" t="s">
        <v>227</v>
      </c>
      <c r="D156">
        <v>0</v>
      </c>
      <c r="E156">
        <v>15</v>
      </c>
    </row>
    <row r="157" spans="1:5">
      <c r="A157">
        <v>55788275</v>
      </c>
      <c r="B157" t="s">
        <v>1197</v>
      </c>
      <c r="D157">
        <v>0</v>
      </c>
      <c r="E157">
        <v>15</v>
      </c>
    </row>
    <row r="158" spans="1:5">
      <c r="A158">
        <v>55788276</v>
      </c>
      <c r="B158" t="s">
        <v>1193</v>
      </c>
      <c r="D158">
        <v>6</v>
      </c>
      <c r="E158">
        <v>15</v>
      </c>
    </row>
    <row r="159" spans="1:5">
      <c r="A159">
        <v>55788277</v>
      </c>
      <c r="B159" t="s">
        <v>1270</v>
      </c>
      <c r="D159">
        <v>1</v>
      </c>
      <c r="E159">
        <v>15</v>
      </c>
    </row>
    <row r="160" spans="1:5">
      <c r="A160">
        <v>55788278</v>
      </c>
      <c r="B160" t="s">
        <v>1187</v>
      </c>
      <c r="D160">
        <v>15</v>
      </c>
      <c r="E160">
        <v>15</v>
      </c>
    </row>
    <row r="161" spans="1:5">
      <c r="A161">
        <v>55788279</v>
      </c>
      <c r="B161" t="s">
        <v>1268</v>
      </c>
      <c r="D161">
        <v>3</v>
      </c>
      <c r="E161">
        <v>15</v>
      </c>
    </row>
    <row r="162" spans="1:5">
      <c r="A162">
        <v>55788280</v>
      </c>
      <c r="B162" t="s">
        <v>1183</v>
      </c>
      <c r="D162">
        <v>28</v>
      </c>
      <c r="E162">
        <v>15</v>
      </c>
    </row>
    <row r="163" spans="1:5">
      <c r="A163">
        <v>55788281</v>
      </c>
      <c r="B163" t="s">
        <v>1177</v>
      </c>
      <c r="D163">
        <v>21</v>
      </c>
      <c r="E163">
        <v>15</v>
      </c>
    </row>
    <row r="164" spans="1:5">
      <c r="A164">
        <v>55788282</v>
      </c>
      <c r="B164" t="s">
        <v>1173</v>
      </c>
      <c r="D164">
        <v>11</v>
      </c>
      <c r="E164">
        <v>15</v>
      </c>
    </row>
    <row r="165" spans="1:5">
      <c r="A165">
        <v>55788283</v>
      </c>
      <c r="B165" t="s">
        <v>1171</v>
      </c>
      <c r="D165">
        <v>5</v>
      </c>
      <c r="E165">
        <v>15</v>
      </c>
    </row>
    <row r="166" spans="1:5">
      <c r="A166">
        <v>55788284</v>
      </c>
      <c r="B166" t="s">
        <v>1169</v>
      </c>
      <c r="D166">
        <v>5</v>
      </c>
      <c r="E166">
        <v>15</v>
      </c>
    </row>
    <row r="167" spans="1:5">
      <c r="A167">
        <v>55788285</v>
      </c>
      <c r="B167" t="s">
        <v>1165</v>
      </c>
      <c r="D167">
        <v>10</v>
      </c>
      <c r="E167">
        <v>15</v>
      </c>
    </row>
    <row r="168" spans="1:5">
      <c r="A168">
        <v>55788286</v>
      </c>
      <c r="B168" t="s">
        <v>1163</v>
      </c>
      <c r="D168">
        <v>2</v>
      </c>
      <c r="E168">
        <v>15</v>
      </c>
    </row>
    <row r="169" spans="1:5">
      <c r="A169">
        <v>55788287</v>
      </c>
      <c r="B169" t="s">
        <v>1161</v>
      </c>
      <c r="D169">
        <v>3</v>
      </c>
      <c r="E169">
        <v>15</v>
      </c>
    </row>
    <row r="170" spans="1:5">
      <c r="A170">
        <v>55788288</v>
      </c>
      <c r="B170" t="s">
        <v>1153</v>
      </c>
      <c r="D170">
        <v>13</v>
      </c>
      <c r="E170">
        <v>15</v>
      </c>
    </row>
    <row r="171" spans="1:5">
      <c r="A171">
        <v>55788289</v>
      </c>
      <c r="B171" t="s">
        <v>1273</v>
      </c>
      <c r="D171">
        <v>0</v>
      </c>
      <c r="E171">
        <v>15</v>
      </c>
    </row>
    <row r="172" spans="1:5">
      <c r="A172">
        <v>55788290</v>
      </c>
      <c r="B172" t="s">
        <v>1265</v>
      </c>
      <c r="D172">
        <v>0</v>
      </c>
      <c r="E172">
        <v>15</v>
      </c>
    </row>
    <row r="173" spans="1:5">
      <c r="A173">
        <v>55788291</v>
      </c>
      <c r="B173" t="s">
        <v>1139</v>
      </c>
      <c r="D173">
        <v>5</v>
      </c>
      <c r="E173">
        <v>15</v>
      </c>
    </row>
    <row r="174" spans="1:5">
      <c r="A174">
        <v>55788292</v>
      </c>
      <c r="B174" t="s">
        <v>1137</v>
      </c>
      <c r="D174">
        <v>10</v>
      </c>
      <c r="E174">
        <v>15</v>
      </c>
    </row>
    <row r="175" spans="1:5">
      <c r="A175">
        <v>55788293</v>
      </c>
      <c r="B175" t="s">
        <v>325</v>
      </c>
      <c r="D175">
        <v>11</v>
      </c>
      <c r="E175">
        <v>15</v>
      </c>
    </row>
    <row r="176" spans="1:5">
      <c r="A176">
        <v>55788294</v>
      </c>
      <c r="B176" t="s">
        <v>240</v>
      </c>
      <c r="D176">
        <v>9</v>
      </c>
      <c r="E176">
        <v>15</v>
      </c>
    </row>
    <row r="177" spans="1:5">
      <c r="A177">
        <v>55788295</v>
      </c>
      <c r="B177" t="s">
        <v>254</v>
      </c>
      <c r="D177">
        <v>14</v>
      </c>
      <c r="E177">
        <v>15</v>
      </c>
    </row>
    <row r="178" spans="1:5">
      <c r="A178">
        <v>55788296</v>
      </c>
      <c r="B178" t="s">
        <v>658</v>
      </c>
      <c r="D178">
        <v>1</v>
      </c>
      <c r="E178">
        <v>15</v>
      </c>
    </row>
    <row r="179" spans="1:5">
      <c r="A179">
        <v>55788297</v>
      </c>
      <c r="B179" t="s">
        <v>1294</v>
      </c>
      <c r="D179">
        <v>0</v>
      </c>
      <c r="E179">
        <v>15</v>
      </c>
    </row>
    <row r="180" spans="1:5">
      <c r="A180">
        <v>55788298</v>
      </c>
      <c r="B180" t="s">
        <v>1289</v>
      </c>
      <c r="D180">
        <v>0</v>
      </c>
      <c r="E180">
        <v>15</v>
      </c>
    </row>
    <row r="181" spans="1:5">
      <c r="A181">
        <v>55788299</v>
      </c>
      <c r="B181" t="s">
        <v>1288</v>
      </c>
      <c r="D181">
        <v>0</v>
      </c>
      <c r="E181">
        <v>15</v>
      </c>
    </row>
    <row r="182" spans="1:5">
      <c r="A182">
        <v>55788300</v>
      </c>
      <c r="B182" t="s">
        <v>219</v>
      </c>
      <c r="D182">
        <v>5</v>
      </c>
      <c r="E182">
        <v>15</v>
      </c>
    </row>
    <row r="183" spans="1:5">
      <c r="A183">
        <v>55788301</v>
      </c>
      <c r="B183" t="s">
        <v>292</v>
      </c>
      <c r="D183">
        <v>2</v>
      </c>
      <c r="E183">
        <v>15</v>
      </c>
    </row>
    <row r="184" spans="1:5">
      <c r="A184">
        <v>55788302</v>
      </c>
      <c r="B184" t="s">
        <v>387</v>
      </c>
      <c r="D184">
        <v>0</v>
      </c>
      <c r="E184">
        <v>15</v>
      </c>
    </row>
    <row r="185" spans="1:5">
      <c r="A185">
        <v>55788303</v>
      </c>
      <c r="B185" t="s">
        <v>313</v>
      </c>
      <c r="D185">
        <v>1</v>
      </c>
      <c r="E185">
        <v>15</v>
      </c>
    </row>
    <row r="186" spans="1:5">
      <c r="A186">
        <v>55788304</v>
      </c>
      <c r="B186" t="s">
        <v>311</v>
      </c>
      <c r="D186">
        <v>21</v>
      </c>
      <c r="E186">
        <v>15</v>
      </c>
    </row>
    <row r="187" spans="1:5">
      <c r="A187">
        <v>55788305</v>
      </c>
      <c r="B187" t="s">
        <v>318</v>
      </c>
      <c r="D187">
        <v>12</v>
      </c>
      <c r="E187">
        <v>15</v>
      </c>
    </row>
    <row r="188" spans="1:5">
      <c r="A188">
        <v>55788306</v>
      </c>
      <c r="B188" t="s">
        <v>233</v>
      </c>
      <c r="D188">
        <v>18</v>
      </c>
      <c r="E188">
        <v>15</v>
      </c>
    </row>
    <row r="189" spans="1:5">
      <c r="A189">
        <v>55788307</v>
      </c>
      <c r="B189" t="s">
        <v>226</v>
      </c>
      <c r="D189">
        <v>12</v>
      </c>
      <c r="E189">
        <v>15</v>
      </c>
    </row>
    <row r="190" spans="1:5">
      <c r="A190">
        <v>55788308</v>
      </c>
      <c r="B190" t="s">
        <v>234</v>
      </c>
      <c r="D190">
        <v>28</v>
      </c>
      <c r="E190">
        <v>15</v>
      </c>
    </row>
    <row r="191" spans="1:5">
      <c r="A191">
        <v>55788309</v>
      </c>
      <c r="B191" t="s">
        <v>361</v>
      </c>
      <c r="D191">
        <v>2</v>
      </c>
      <c r="E191">
        <v>15</v>
      </c>
    </row>
    <row r="192" spans="1:5">
      <c r="A192">
        <v>55788310</v>
      </c>
      <c r="B192" t="s">
        <v>267</v>
      </c>
      <c r="D192">
        <v>4</v>
      </c>
      <c r="E192">
        <v>15</v>
      </c>
    </row>
    <row r="193" spans="1:5">
      <c r="A193">
        <v>55788311</v>
      </c>
      <c r="B193" t="s">
        <v>316</v>
      </c>
      <c r="D193">
        <v>8</v>
      </c>
      <c r="E193">
        <v>15</v>
      </c>
    </row>
    <row r="194" spans="1:5">
      <c r="A194">
        <v>55788312</v>
      </c>
      <c r="B194" t="s">
        <v>373</v>
      </c>
      <c r="D194">
        <v>0</v>
      </c>
      <c r="E194">
        <v>15</v>
      </c>
    </row>
    <row r="195" spans="1:5">
      <c r="A195">
        <v>55788313</v>
      </c>
      <c r="B195" t="s">
        <v>278</v>
      </c>
      <c r="D195">
        <v>0</v>
      </c>
      <c r="E195">
        <v>15</v>
      </c>
    </row>
    <row r="196" spans="1:5">
      <c r="A196">
        <v>55788314</v>
      </c>
      <c r="B196" t="s">
        <v>364</v>
      </c>
      <c r="D196">
        <v>0</v>
      </c>
      <c r="E196">
        <v>15</v>
      </c>
    </row>
    <row r="197" spans="1:5">
      <c r="A197">
        <v>55788315</v>
      </c>
      <c r="B197" t="s">
        <v>270</v>
      </c>
      <c r="D197">
        <v>0</v>
      </c>
      <c r="E197">
        <v>15</v>
      </c>
    </row>
    <row r="198" spans="1:5">
      <c r="A198">
        <v>55788316</v>
      </c>
      <c r="B198" t="s">
        <v>268</v>
      </c>
      <c r="D198">
        <v>10</v>
      </c>
      <c r="E198">
        <v>15</v>
      </c>
    </row>
    <row r="199" spans="1:5">
      <c r="A199">
        <v>55788317</v>
      </c>
      <c r="B199" t="s">
        <v>379</v>
      </c>
      <c r="D199">
        <v>10</v>
      </c>
      <c r="E199">
        <v>15</v>
      </c>
    </row>
    <row r="200" spans="1:5">
      <c r="A200">
        <v>55788318</v>
      </c>
      <c r="B200" t="s">
        <v>281</v>
      </c>
      <c r="D200">
        <v>0</v>
      </c>
      <c r="E200">
        <v>15</v>
      </c>
    </row>
    <row r="201" spans="1:5">
      <c r="A201">
        <v>55788319</v>
      </c>
      <c r="B201" t="s">
        <v>376</v>
      </c>
      <c r="D201">
        <v>2</v>
      </c>
      <c r="E201">
        <v>15</v>
      </c>
    </row>
    <row r="202" spans="1:5">
      <c r="A202">
        <v>55788320</v>
      </c>
      <c r="B202" t="s">
        <v>321</v>
      </c>
      <c r="D202">
        <v>0</v>
      </c>
      <c r="E202">
        <v>15</v>
      </c>
    </row>
    <row r="203" spans="1:5">
      <c r="A203">
        <v>55788321</v>
      </c>
      <c r="B203" t="s">
        <v>236</v>
      </c>
      <c r="D203">
        <v>0</v>
      </c>
      <c r="E203">
        <v>15</v>
      </c>
    </row>
    <row r="204" spans="1:5">
      <c r="A204">
        <v>55788322</v>
      </c>
      <c r="B204" t="s">
        <v>213</v>
      </c>
      <c r="D204">
        <v>21</v>
      </c>
      <c r="E204">
        <v>15</v>
      </c>
    </row>
    <row r="205" spans="1:5">
      <c r="A205">
        <v>55788323</v>
      </c>
      <c r="B205" t="s">
        <v>679</v>
      </c>
      <c r="D205">
        <v>0</v>
      </c>
      <c r="E205">
        <v>15</v>
      </c>
    </row>
    <row r="206" spans="1:5">
      <c r="A206">
        <v>55788324</v>
      </c>
      <c r="B206" t="s">
        <v>315</v>
      </c>
      <c r="D206">
        <v>0</v>
      </c>
      <c r="E206">
        <v>15</v>
      </c>
    </row>
    <row r="207" spans="1:5">
      <c r="A207">
        <v>55788325</v>
      </c>
      <c r="B207" t="s">
        <v>230</v>
      </c>
      <c r="D207">
        <v>0</v>
      </c>
      <c r="E207">
        <v>15</v>
      </c>
    </row>
    <row r="208" spans="1:5">
      <c r="A208">
        <v>55788326</v>
      </c>
      <c r="B208" t="s">
        <v>644</v>
      </c>
      <c r="D208">
        <v>0</v>
      </c>
      <c r="E208">
        <v>15</v>
      </c>
    </row>
    <row r="209" spans="1:5">
      <c r="A209">
        <v>55788327</v>
      </c>
      <c r="B209" t="s">
        <v>334</v>
      </c>
      <c r="D209">
        <v>1</v>
      </c>
      <c r="E209">
        <v>15</v>
      </c>
    </row>
    <row r="210" spans="1:5">
      <c r="A210">
        <v>55788328</v>
      </c>
      <c r="B210" t="s">
        <v>347</v>
      </c>
      <c r="D210">
        <v>3</v>
      </c>
      <c r="E210">
        <v>15</v>
      </c>
    </row>
    <row r="211" spans="1:5">
      <c r="A211">
        <v>55788329</v>
      </c>
      <c r="B211" t="s">
        <v>647</v>
      </c>
      <c r="D211">
        <v>5</v>
      </c>
      <c r="E211">
        <v>15</v>
      </c>
    </row>
    <row r="212" spans="1:5">
      <c r="A212">
        <v>55788330</v>
      </c>
      <c r="B212" t="s">
        <v>346</v>
      </c>
      <c r="D212">
        <v>16</v>
      </c>
      <c r="E212">
        <v>15</v>
      </c>
    </row>
    <row r="213" spans="1:5">
      <c r="A213">
        <v>55788331</v>
      </c>
      <c r="B213" t="s">
        <v>255</v>
      </c>
      <c r="D213">
        <v>9</v>
      </c>
      <c r="E213">
        <v>15</v>
      </c>
    </row>
    <row r="214" spans="1:5">
      <c r="A214">
        <v>55788332</v>
      </c>
      <c r="B214" t="s">
        <v>353</v>
      </c>
      <c r="D214">
        <v>2</v>
      </c>
      <c r="E214">
        <v>15</v>
      </c>
    </row>
    <row r="215" spans="1:5">
      <c r="A215">
        <v>55788333</v>
      </c>
      <c r="B215" t="s">
        <v>352</v>
      </c>
      <c r="D215">
        <v>6</v>
      </c>
      <c r="E215">
        <v>15</v>
      </c>
    </row>
    <row r="216" spans="1:5">
      <c r="A216">
        <v>55788334</v>
      </c>
      <c r="B216" t="s">
        <v>260</v>
      </c>
      <c r="D216">
        <v>11</v>
      </c>
      <c r="E216">
        <v>15</v>
      </c>
    </row>
    <row r="217" spans="1:5">
      <c r="A217">
        <v>55788335</v>
      </c>
      <c r="B217" t="s">
        <v>273</v>
      </c>
      <c r="D217">
        <v>0</v>
      </c>
      <c r="E217">
        <v>15</v>
      </c>
    </row>
    <row r="218" spans="1:5">
      <c r="A218">
        <v>55788336</v>
      </c>
      <c r="B218" t="s">
        <v>388</v>
      </c>
      <c r="D218">
        <v>17</v>
      </c>
      <c r="E218">
        <v>15</v>
      </c>
    </row>
    <row r="219" spans="1:5">
      <c r="A219">
        <v>55788337</v>
      </c>
      <c r="B219" t="s">
        <v>217</v>
      </c>
      <c r="D219">
        <v>0</v>
      </c>
      <c r="E219">
        <v>15</v>
      </c>
    </row>
    <row r="220" spans="1:5">
      <c r="A220">
        <v>55788338</v>
      </c>
      <c r="B220" t="s">
        <v>231</v>
      </c>
      <c r="D220">
        <v>23</v>
      </c>
      <c r="E220">
        <v>15</v>
      </c>
    </row>
    <row r="221" spans="1:5">
      <c r="A221">
        <v>55788339</v>
      </c>
      <c r="B221" t="s">
        <v>332</v>
      </c>
      <c r="D221">
        <v>1</v>
      </c>
      <c r="E221">
        <v>15</v>
      </c>
    </row>
    <row r="222" spans="1:5">
      <c r="A222">
        <v>55788340</v>
      </c>
      <c r="B222" t="s">
        <v>678</v>
      </c>
      <c r="D222">
        <v>1</v>
      </c>
      <c r="E222">
        <v>10</v>
      </c>
    </row>
    <row r="223" spans="1:5">
      <c r="A223">
        <v>55788341</v>
      </c>
      <c r="B223" t="s">
        <v>331</v>
      </c>
      <c r="D223">
        <v>1</v>
      </c>
      <c r="E223">
        <v>10</v>
      </c>
    </row>
    <row r="224" spans="1:5">
      <c r="A224">
        <v>55788342</v>
      </c>
      <c r="B224" t="s">
        <v>246</v>
      </c>
      <c r="D224">
        <v>1</v>
      </c>
      <c r="E224">
        <v>10</v>
      </c>
    </row>
    <row r="225" spans="1:5">
      <c r="A225">
        <v>55788343</v>
      </c>
      <c r="B225" t="s">
        <v>372</v>
      </c>
      <c r="D225">
        <v>13</v>
      </c>
      <c r="E225">
        <v>10</v>
      </c>
    </row>
    <row r="226" spans="1:5">
      <c r="A226">
        <v>55788344</v>
      </c>
      <c r="B226" t="s">
        <v>277</v>
      </c>
      <c r="D226">
        <v>13</v>
      </c>
      <c r="E226">
        <v>10</v>
      </c>
    </row>
    <row r="227" spans="1:5">
      <c r="A227">
        <v>55788345</v>
      </c>
      <c r="B227" t="s">
        <v>363</v>
      </c>
      <c r="D227">
        <v>4</v>
      </c>
      <c r="E227">
        <v>10</v>
      </c>
    </row>
    <row r="228" spans="1:5">
      <c r="A228">
        <v>55788346</v>
      </c>
      <c r="B228" t="s">
        <v>269</v>
      </c>
      <c r="D228">
        <v>9</v>
      </c>
      <c r="E228">
        <v>10</v>
      </c>
    </row>
    <row r="229" spans="1:5">
      <c r="A229">
        <v>55788347</v>
      </c>
      <c r="B229" t="s">
        <v>362</v>
      </c>
      <c r="D229">
        <v>9</v>
      </c>
      <c r="E229">
        <v>10</v>
      </c>
    </row>
    <row r="230" spans="1:5">
      <c r="A230">
        <v>55788348</v>
      </c>
      <c r="B230" t="s">
        <v>284</v>
      </c>
      <c r="D230">
        <v>14</v>
      </c>
      <c r="E230">
        <v>10</v>
      </c>
    </row>
    <row r="231" spans="1:5">
      <c r="A231">
        <v>55788349</v>
      </c>
      <c r="B231" t="s">
        <v>374</v>
      </c>
      <c r="D231">
        <v>4</v>
      </c>
      <c r="E231">
        <v>10</v>
      </c>
    </row>
    <row r="232" spans="1:5">
      <c r="A232">
        <v>55788350</v>
      </c>
      <c r="B232" t="s">
        <v>279</v>
      </c>
      <c r="D232">
        <v>10</v>
      </c>
      <c r="E232">
        <v>10</v>
      </c>
    </row>
    <row r="233" spans="1:5">
      <c r="A233">
        <v>55788351</v>
      </c>
      <c r="B233" t="s">
        <v>351</v>
      </c>
      <c r="D233">
        <v>16</v>
      </c>
      <c r="E233">
        <v>10</v>
      </c>
    </row>
    <row r="234" spans="1:5">
      <c r="A234">
        <v>55788352</v>
      </c>
      <c r="B234" t="s">
        <v>259</v>
      </c>
      <c r="D234">
        <v>21</v>
      </c>
      <c r="E234">
        <v>10</v>
      </c>
    </row>
    <row r="235" spans="1:5">
      <c r="A235">
        <v>55788353</v>
      </c>
      <c r="B235" t="s">
        <v>258</v>
      </c>
      <c r="D235">
        <v>8</v>
      </c>
      <c r="E235">
        <v>10</v>
      </c>
    </row>
    <row r="236" spans="1:5">
      <c r="A236">
        <v>55788354</v>
      </c>
      <c r="B236" t="s">
        <v>350</v>
      </c>
      <c r="D236">
        <v>5</v>
      </c>
      <c r="E236">
        <v>10</v>
      </c>
    </row>
    <row r="237" spans="1:5">
      <c r="A237">
        <v>55788355</v>
      </c>
      <c r="B237" t="s">
        <v>354</v>
      </c>
      <c r="D237">
        <v>7</v>
      </c>
      <c r="E237">
        <v>10</v>
      </c>
    </row>
    <row r="238" spans="1:5">
      <c r="A238">
        <v>55788356</v>
      </c>
      <c r="B238" t="s">
        <v>262</v>
      </c>
      <c r="D238">
        <v>10</v>
      </c>
      <c r="E238">
        <v>10</v>
      </c>
    </row>
    <row r="239" spans="1:5">
      <c r="A239">
        <v>55788357</v>
      </c>
      <c r="B239" t="s">
        <v>360</v>
      </c>
      <c r="D239">
        <v>0</v>
      </c>
      <c r="E239">
        <v>10</v>
      </c>
    </row>
    <row r="240" spans="1:5">
      <c r="A240">
        <v>55788358</v>
      </c>
      <c r="B240" t="s">
        <v>298</v>
      </c>
      <c r="D240">
        <v>0</v>
      </c>
      <c r="E240">
        <v>10</v>
      </c>
    </row>
    <row r="241" spans="1:5">
      <c r="A241">
        <v>55788359</v>
      </c>
      <c r="B241" t="s">
        <v>297</v>
      </c>
      <c r="D241">
        <v>42</v>
      </c>
      <c r="E241">
        <v>10</v>
      </c>
    </row>
    <row r="242" spans="1:5">
      <c r="A242">
        <v>55788360</v>
      </c>
      <c r="B242" t="s">
        <v>309</v>
      </c>
      <c r="D242">
        <v>10</v>
      </c>
      <c r="E242">
        <v>10</v>
      </c>
    </row>
    <row r="243" spans="1:5">
      <c r="A243">
        <v>55788361</v>
      </c>
      <c r="B243" t="s">
        <v>225</v>
      </c>
      <c r="D243">
        <v>9</v>
      </c>
      <c r="E243">
        <v>10</v>
      </c>
    </row>
    <row r="244" spans="1:5">
      <c r="A244">
        <v>55788362</v>
      </c>
      <c r="B244" t="s">
        <v>310</v>
      </c>
      <c r="D244">
        <v>0</v>
      </c>
      <c r="E244">
        <v>10</v>
      </c>
    </row>
    <row r="245" spans="1:5">
      <c r="A245">
        <v>55788363</v>
      </c>
      <c r="B245" t="s">
        <v>314</v>
      </c>
      <c r="D245">
        <v>6</v>
      </c>
      <c r="E245">
        <v>10</v>
      </c>
    </row>
    <row r="246" spans="1:5">
      <c r="A246">
        <v>55788364</v>
      </c>
      <c r="B246" t="s">
        <v>229</v>
      </c>
      <c r="D246">
        <v>15</v>
      </c>
      <c r="E246">
        <v>10</v>
      </c>
    </row>
    <row r="247" spans="1:5">
      <c r="A247">
        <v>55788365</v>
      </c>
      <c r="B247" t="s">
        <v>335</v>
      </c>
      <c r="D247">
        <v>0</v>
      </c>
      <c r="E247">
        <v>10</v>
      </c>
    </row>
    <row r="248" spans="1:5">
      <c r="A248">
        <v>55788366</v>
      </c>
      <c r="B248" t="s">
        <v>643</v>
      </c>
      <c r="D248">
        <v>0</v>
      </c>
      <c r="E248">
        <v>10</v>
      </c>
    </row>
    <row r="249" spans="1:5">
      <c r="A249">
        <v>55788367</v>
      </c>
      <c r="B249" t="s">
        <v>348</v>
      </c>
      <c r="D249">
        <v>0</v>
      </c>
      <c r="E249">
        <v>10</v>
      </c>
    </row>
    <row r="250" spans="1:5">
      <c r="A250">
        <v>55788368</v>
      </c>
      <c r="B250" t="s">
        <v>256</v>
      </c>
      <c r="D250">
        <v>0</v>
      </c>
      <c r="E250">
        <v>10</v>
      </c>
    </row>
    <row r="251" spans="1:5">
      <c r="A251">
        <v>55788369</v>
      </c>
      <c r="B251" t="s">
        <v>369</v>
      </c>
      <c r="D251">
        <v>0</v>
      </c>
      <c r="E251">
        <v>10</v>
      </c>
    </row>
    <row r="252" spans="1:5">
      <c r="A252">
        <v>55788370</v>
      </c>
      <c r="B252" t="s">
        <v>1143</v>
      </c>
      <c r="D252">
        <v>3</v>
      </c>
      <c r="E252">
        <v>10</v>
      </c>
    </row>
    <row r="253" spans="1:5">
      <c r="A253">
        <v>55788371</v>
      </c>
      <c r="B253" t="s">
        <v>266</v>
      </c>
      <c r="D253">
        <v>0</v>
      </c>
      <c r="E253">
        <v>10</v>
      </c>
    </row>
    <row r="254" spans="1:5">
      <c r="A254">
        <v>55788372</v>
      </c>
      <c r="B254" t="s">
        <v>344</v>
      </c>
      <c r="D254">
        <v>0</v>
      </c>
      <c r="E254">
        <v>10</v>
      </c>
    </row>
    <row r="255" spans="1:5">
      <c r="A255">
        <v>55788373</v>
      </c>
      <c r="B255" t="s">
        <v>244</v>
      </c>
      <c r="D255">
        <v>0</v>
      </c>
      <c r="E255">
        <v>10</v>
      </c>
    </row>
    <row r="256" spans="1:5">
      <c r="A256">
        <v>55788374</v>
      </c>
      <c r="B256" t="s">
        <v>242</v>
      </c>
      <c r="D256">
        <v>36</v>
      </c>
      <c r="E256">
        <v>10</v>
      </c>
    </row>
    <row r="257" spans="1:5">
      <c r="A257">
        <v>55788375</v>
      </c>
      <c r="B257" t="s">
        <v>337</v>
      </c>
      <c r="D257">
        <v>23</v>
      </c>
      <c r="E257">
        <v>10</v>
      </c>
    </row>
    <row r="258" spans="1:5">
      <c r="A258">
        <v>55788376</v>
      </c>
      <c r="B258" t="s">
        <v>342</v>
      </c>
      <c r="D258">
        <v>9</v>
      </c>
      <c r="E258">
        <v>10</v>
      </c>
    </row>
    <row r="259" spans="1:5">
      <c r="A259">
        <v>55788377</v>
      </c>
      <c r="B259" t="s">
        <v>252</v>
      </c>
      <c r="D259">
        <v>12</v>
      </c>
      <c r="E259">
        <v>10</v>
      </c>
    </row>
    <row r="260" spans="1:5">
      <c r="A260">
        <v>55788378</v>
      </c>
      <c r="B260" t="s">
        <v>250</v>
      </c>
      <c r="D260">
        <v>0</v>
      </c>
      <c r="E260">
        <v>10</v>
      </c>
    </row>
    <row r="261" spans="1:5">
      <c r="A261">
        <v>55788379</v>
      </c>
      <c r="B261" t="s">
        <v>339</v>
      </c>
      <c r="D261">
        <v>0</v>
      </c>
      <c r="E261">
        <v>10</v>
      </c>
    </row>
    <row r="262" spans="1:5">
      <c r="A262">
        <v>55788380</v>
      </c>
      <c r="B262" t="s">
        <v>271</v>
      </c>
      <c r="D262">
        <v>12</v>
      </c>
      <c r="E262">
        <v>10</v>
      </c>
    </row>
    <row r="263" spans="1:5">
      <c r="A263">
        <v>55788381</v>
      </c>
      <c r="B263" t="s">
        <v>365</v>
      </c>
      <c r="D263">
        <v>14</v>
      </c>
      <c r="E263">
        <v>10</v>
      </c>
    </row>
    <row r="264" spans="1:5">
      <c r="A264">
        <v>55788382</v>
      </c>
      <c r="B264" t="s">
        <v>323</v>
      </c>
      <c r="D264">
        <v>5</v>
      </c>
      <c r="E264">
        <v>10</v>
      </c>
    </row>
    <row r="265" spans="1:5">
      <c r="A265">
        <v>55788383</v>
      </c>
      <c r="B265" t="s">
        <v>155</v>
      </c>
      <c r="D265">
        <v>0</v>
      </c>
      <c r="E265">
        <v>10</v>
      </c>
    </row>
    <row r="266" spans="1:5">
      <c r="A266">
        <v>55788384</v>
      </c>
      <c r="B266" t="s">
        <v>296</v>
      </c>
      <c r="D266">
        <v>0</v>
      </c>
      <c r="E266">
        <v>10</v>
      </c>
    </row>
    <row r="267" spans="1:5">
      <c r="A267">
        <v>55788385</v>
      </c>
      <c r="B267" t="s">
        <v>212</v>
      </c>
      <c r="D267">
        <v>0</v>
      </c>
      <c r="E267">
        <v>10</v>
      </c>
    </row>
    <row r="268" spans="1:5">
      <c r="A268">
        <v>55788386</v>
      </c>
      <c r="B268" t="s">
        <v>306</v>
      </c>
      <c r="D268">
        <v>0</v>
      </c>
      <c r="E268">
        <v>10</v>
      </c>
    </row>
    <row r="269" spans="1:5">
      <c r="A269">
        <v>55788387</v>
      </c>
      <c r="B269" t="s">
        <v>305</v>
      </c>
      <c r="D269">
        <v>14</v>
      </c>
      <c r="E269">
        <v>15</v>
      </c>
    </row>
    <row r="270" spans="1:5">
      <c r="A270">
        <v>55788388</v>
      </c>
      <c r="B270" t="s">
        <v>176</v>
      </c>
      <c r="D270">
        <v>6</v>
      </c>
      <c r="E270">
        <v>15</v>
      </c>
    </row>
    <row r="271" spans="1:5">
      <c r="A271">
        <v>55788389</v>
      </c>
      <c r="B271" t="s">
        <v>186</v>
      </c>
      <c r="D271">
        <v>3</v>
      </c>
      <c r="E271">
        <v>15</v>
      </c>
    </row>
    <row r="272" spans="1:5">
      <c r="A272">
        <v>55788390</v>
      </c>
      <c r="B272" t="s">
        <v>545</v>
      </c>
      <c r="D272">
        <v>5</v>
      </c>
      <c r="E272">
        <v>15</v>
      </c>
    </row>
    <row r="273" spans="1:5">
      <c r="A273">
        <v>55788391</v>
      </c>
      <c r="B273" t="s">
        <v>164</v>
      </c>
      <c r="D273">
        <v>1</v>
      </c>
      <c r="E273">
        <v>15</v>
      </c>
    </row>
    <row r="274" spans="1:5">
      <c r="A274">
        <v>55788392</v>
      </c>
      <c r="B274" t="s">
        <v>205</v>
      </c>
      <c r="D274">
        <v>4</v>
      </c>
      <c r="E274">
        <v>15</v>
      </c>
    </row>
    <row r="275" spans="1:5">
      <c r="A275">
        <v>55788393</v>
      </c>
      <c r="B275" t="s">
        <v>167</v>
      </c>
      <c r="D275">
        <v>9</v>
      </c>
      <c r="E275">
        <v>15</v>
      </c>
    </row>
    <row r="276" spans="1:5">
      <c r="A276">
        <v>55788394</v>
      </c>
      <c r="B276" t="s">
        <v>168</v>
      </c>
      <c r="D276">
        <v>0</v>
      </c>
      <c r="E276">
        <v>15</v>
      </c>
    </row>
    <row r="277" spans="1:5">
      <c r="A277">
        <v>55788395</v>
      </c>
      <c r="B277" t="s">
        <v>171</v>
      </c>
      <c r="D277">
        <v>4</v>
      </c>
      <c r="E277">
        <v>15</v>
      </c>
    </row>
    <row r="278" spans="1:5">
      <c r="A278">
        <v>55788396</v>
      </c>
      <c r="B278" t="s">
        <v>170</v>
      </c>
      <c r="D278">
        <v>7</v>
      </c>
      <c r="E278">
        <v>15</v>
      </c>
    </row>
    <row r="279" spans="1:5">
      <c r="A279">
        <v>55788397</v>
      </c>
      <c r="B279" t="s">
        <v>544</v>
      </c>
      <c r="D279">
        <v>1</v>
      </c>
      <c r="E279">
        <v>15</v>
      </c>
    </row>
    <row r="280" spans="1:5">
      <c r="A280">
        <v>55788398</v>
      </c>
      <c r="B280" t="s">
        <v>550</v>
      </c>
      <c r="D280">
        <v>0</v>
      </c>
      <c r="E280">
        <v>15</v>
      </c>
    </row>
    <row r="281" spans="1:5">
      <c r="A281">
        <v>55788399</v>
      </c>
      <c r="B281" t="s">
        <v>197</v>
      </c>
      <c r="D281">
        <v>5</v>
      </c>
      <c r="E281">
        <v>15</v>
      </c>
    </row>
    <row r="282" spans="1:5">
      <c r="A282">
        <v>55788400</v>
      </c>
      <c r="B282" t="s">
        <v>202</v>
      </c>
      <c r="D282">
        <v>10</v>
      </c>
      <c r="E282">
        <v>15</v>
      </c>
    </row>
    <row r="283" spans="1:5">
      <c r="A283">
        <v>55788401</v>
      </c>
      <c r="B283" t="s">
        <v>189</v>
      </c>
      <c r="D283">
        <v>2</v>
      </c>
      <c r="E283">
        <v>15</v>
      </c>
    </row>
    <row r="284" spans="1:5">
      <c r="A284">
        <v>55788402</v>
      </c>
      <c r="B284" t="s">
        <v>159</v>
      </c>
      <c r="D284">
        <v>8</v>
      </c>
      <c r="E284">
        <v>15</v>
      </c>
    </row>
    <row r="285" spans="1:5">
      <c r="A285">
        <v>55788403</v>
      </c>
      <c r="B285" t="s">
        <v>276</v>
      </c>
      <c r="D285">
        <v>4</v>
      </c>
      <c r="E285">
        <v>15</v>
      </c>
    </row>
    <row r="286" spans="1:5">
      <c r="A286">
        <v>55788404</v>
      </c>
      <c r="B286" t="s">
        <v>661</v>
      </c>
      <c r="D286">
        <v>2</v>
      </c>
      <c r="E286">
        <v>15</v>
      </c>
    </row>
    <row r="287" spans="1:5">
      <c r="A287">
        <v>55788405</v>
      </c>
      <c r="B287" t="s">
        <v>261</v>
      </c>
      <c r="D287">
        <v>1</v>
      </c>
      <c r="E287">
        <v>15</v>
      </c>
    </row>
    <row r="288" spans="1:5">
      <c r="A288">
        <v>55788406</v>
      </c>
      <c r="B288" t="s">
        <v>368</v>
      </c>
      <c r="D288">
        <v>1</v>
      </c>
      <c r="E288">
        <v>15</v>
      </c>
    </row>
    <row r="289" spans="1:5">
      <c r="A289">
        <v>55788407</v>
      </c>
      <c r="B289" t="s">
        <v>274</v>
      </c>
      <c r="D289">
        <v>0</v>
      </c>
      <c r="E289">
        <v>15</v>
      </c>
    </row>
    <row r="290" spans="1:5">
      <c r="A290">
        <v>55788408</v>
      </c>
      <c r="B290" t="s">
        <v>367</v>
      </c>
      <c r="D290">
        <v>0</v>
      </c>
      <c r="E290">
        <v>15</v>
      </c>
    </row>
    <row r="291" spans="1:5">
      <c r="A291">
        <v>55788409</v>
      </c>
      <c r="B291" t="s">
        <v>291</v>
      </c>
      <c r="D291">
        <v>10</v>
      </c>
      <c r="E291">
        <v>15</v>
      </c>
    </row>
    <row r="292" spans="1:5">
      <c r="A292">
        <v>55788410</v>
      </c>
      <c r="B292" t="s">
        <v>300</v>
      </c>
      <c r="D292">
        <v>0</v>
      </c>
      <c r="E292">
        <v>15</v>
      </c>
    </row>
    <row r="293" spans="1:5">
      <c r="A293">
        <v>55788411</v>
      </c>
      <c r="B293" t="s">
        <v>253</v>
      </c>
      <c r="D293">
        <v>0</v>
      </c>
      <c r="E293">
        <v>15</v>
      </c>
    </row>
    <row r="294" spans="1:5">
      <c r="A294">
        <v>55788412</v>
      </c>
      <c r="B294" t="s">
        <v>659</v>
      </c>
      <c r="D294">
        <v>1</v>
      </c>
      <c r="E294">
        <v>15</v>
      </c>
    </row>
    <row r="295" spans="1:5">
      <c r="A295">
        <v>55788413</v>
      </c>
      <c r="B295" t="s">
        <v>243</v>
      </c>
      <c r="D295">
        <v>51</v>
      </c>
      <c r="E295">
        <v>15</v>
      </c>
    </row>
    <row r="296" spans="1:5">
      <c r="A296">
        <v>55788414</v>
      </c>
      <c r="B296" t="s">
        <v>328</v>
      </c>
      <c r="D296">
        <v>40</v>
      </c>
      <c r="E296">
        <v>15</v>
      </c>
    </row>
    <row r="297" spans="1:5">
      <c r="A297">
        <v>55788415</v>
      </c>
      <c r="B297" t="s">
        <v>248</v>
      </c>
      <c r="D297">
        <v>25</v>
      </c>
      <c r="E297">
        <v>15</v>
      </c>
    </row>
    <row r="298" spans="1:5">
      <c r="A298">
        <v>55788416</v>
      </c>
      <c r="B298" t="s">
        <v>336</v>
      </c>
      <c r="D298">
        <v>0</v>
      </c>
      <c r="E298">
        <v>15</v>
      </c>
    </row>
    <row r="299" spans="1:5">
      <c r="A299">
        <v>55788417</v>
      </c>
      <c r="B299" t="s">
        <v>247</v>
      </c>
      <c r="D299">
        <v>0</v>
      </c>
      <c r="E299">
        <v>15</v>
      </c>
    </row>
    <row r="300" spans="1:5">
      <c r="A300">
        <v>55788418</v>
      </c>
      <c r="B300" t="s">
        <v>341</v>
      </c>
      <c r="D300">
        <v>2</v>
      </c>
      <c r="E300">
        <v>15</v>
      </c>
    </row>
    <row r="301" spans="1:5">
      <c r="A301">
        <v>55788419</v>
      </c>
      <c r="B301" t="s">
        <v>251</v>
      </c>
      <c r="D301">
        <v>0</v>
      </c>
      <c r="E301">
        <v>15</v>
      </c>
    </row>
    <row r="302" spans="1:5">
      <c r="A302">
        <v>55788420</v>
      </c>
      <c r="B302" t="s">
        <v>340</v>
      </c>
      <c r="D302">
        <v>0</v>
      </c>
      <c r="E302">
        <v>15</v>
      </c>
    </row>
    <row r="303" spans="1:5">
      <c r="A303">
        <v>55788421</v>
      </c>
      <c r="B303" t="s">
        <v>645</v>
      </c>
      <c r="D303">
        <v>0</v>
      </c>
      <c r="E303">
        <v>15</v>
      </c>
    </row>
    <row r="304" spans="1:5">
      <c r="A304">
        <v>55788422</v>
      </c>
      <c r="B304" t="s">
        <v>338</v>
      </c>
      <c r="D304">
        <v>21</v>
      </c>
      <c r="E304">
        <v>15</v>
      </c>
    </row>
    <row r="305" spans="1:5">
      <c r="A305">
        <v>55788423</v>
      </c>
      <c r="B305" t="s">
        <v>249</v>
      </c>
      <c r="D305">
        <v>23</v>
      </c>
      <c r="E305">
        <v>15</v>
      </c>
    </row>
    <row r="306" spans="1:5">
      <c r="A306">
        <v>55788424</v>
      </c>
      <c r="B306" t="s">
        <v>660</v>
      </c>
      <c r="D306">
        <v>6</v>
      </c>
      <c r="E306">
        <v>15</v>
      </c>
    </row>
    <row r="307" spans="1:5">
      <c r="A307">
        <v>55788425</v>
      </c>
      <c r="B307" t="s">
        <v>650</v>
      </c>
      <c r="D307">
        <v>1</v>
      </c>
      <c r="E307">
        <v>15</v>
      </c>
    </row>
    <row r="308" spans="1:5">
      <c r="A308">
        <v>55788426</v>
      </c>
      <c r="B308" t="s">
        <v>272</v>
      </c>
      <c r="D308">
        <v>2</v>
      </c>
      <c r="E308">
        <v>15</v>
      </c>
    </row>
    <row r="309" spans="1:5">
      <c r="A309">
        <v>55788427</v>
      </c>
      <c r="B309" t="s">
        <v>366</v>
      </c>
      <c r="D309">
        <v>1</v>
      </c>
      <c r="E309">
        <v>15</v>
      </c>
    </row>
    <row r="310" spans="1:5">
      <c r="A310">
        <v>55788428</v>
      </c>
      <c r="B310" t="s">
        <v>238</v>
      </c>
      <c r="D310">
        <v>8</v>
      </c>
      <c r="E310">
        <v>15</v>
      </c>
    </row>
    <row r="311" spans="1:5">
      <c r="A311">
        <v>55788429</v>
      </c>
      <c r="B311" t="s">
        <v>302</v>
      </c>
      <c r="D311">
        <v>0</v>
      </c>
      <c r="E311">
        <v>15</v>
      </c>
    </row>
    <row r="312" spans="1:5">
      <c r="A312">
        <v>55788430</v>
      </c>
      <c r="B312" t="s">
        <v>308</v>
      </c>
      <c r="D312">
        <v>0</v>
      </c>
      <c r="E312">
        <v>15</v>
      </c>
    </row>
    <row r="313" spans="1:5">
      <c r="A313">
        <v>55788431</v>
      </c>
      <c r="B313" t="s">
        <v>224</v>
      </c>
      <c r="D313">
        <v>0</v>
      </c>
      <c r="E313">
        <v>15</v>
      </c>
    </row>
    <row r="314" spans="1:5">
      <c r="A314">
        <v>55788432</v>
      </c>
      <c r="B314" t="s">
        <v>307</v>
      </c>
      <c r="D314">
        <v>21</v>
      </c>
      <c r="E314">
        <v>15</v>
      </c>
    </row>
    <row r="315" spans="1:5">
      <c r="A315">
        <v>55788433</v>
      </c>
      <c r="B315" t="s">
        <v>223</v>
      </c>
      <c r="D315">
        <v>9</v>
      </c>
      <c r="E315">
        <v>15</v>
      </c>
    </row>
    <row r="316" spans="1:5">
      <c r="A316">
        <v>55788434</v>
      </c>
      <c r="B316" t="s">
        <v>221</v>
      </c>
      <c r="D316">
        <v>12</v>
      </c>
      <c r="E316">
        <v>15</v>
      </c>
    </row>
    <row r="317" spans="1:5">
      <c r="A317">
        <v>55788435</v>
      </c>
      <c r="B317" t="s">
        <v>214</v>
      </c>
      <c r="D317">
        <v>0</v>
      </c>
      <c r="E317">
        <v>15</v>
      </c>
    </row>
    <row r="318" spans="1:5">
      <c r="A318">
        <v>55788436</v>
      </c>
      <c r="B318" t="s">
        <v>541</v>
      </c>
      <c r="D318">
        <v>5</v>
      </c>
      <c r="E318">
        <v>15</v>
      </c>
    </row>
    <row r="319" spans="1:5">
      <c r="A319">
        <v>55788437</v>
      </c>
      <c r="B319" t="s">
        <v>169</v>
      </c>
      <c r="D319">
        <v>3</v>
      </c>
      <c r="E319">
        <v>15</v>
      </c>
    </row>
    <row r="320" spans="1:5">
      <c r="A320">
        <v>55788438</v>
      </c>
      <c r="B320" t="s">
        <v>181</v>
      </c>
      <c r="D320">
        <v>2</v>
      </c>
      <c r="E320">
        <v>15</v>
      </c>
    </row>
    <row r="321" spans="1:5">
      <c r="A321">
        <v>55788439</v>
      </c>
      <c r="B321" t="s">
        <v>187</v>
      </c>
      <c r="D321">
        <v>7</v>
      </c>
      <c r="E321">
        <v>15</v>
      </c>
    </row>
    <row r="322" spans="1:5">
      <c r="A322">
        <v>55788440</v>
      </c>
      <c r="B322" t="s">
        <v>207</v>
      </c>
      <c r="D322">
        <v>1</v>
      </c>
      <c r="E322">
        <v>15</v>
      </c>
    </row>
    <row r="323" spans="1:5">
      <c r="A323">
        <v>55788441</v>
      </c>
      <c r="B323" t="s">
        <v>182</v>
      </c>
      <c r="D323">
        <v>2</v>
      </c>
      <c r="E323">
        <v>10</v>
      </c>
    </row>
    <row r="324" spans="1:5">
      <c r="A324">
        <v>55788442</v>
      </c>
      <c r="B324" t="s">
        <v>185</v>
      </c>
      <c r="D324">
        <v>9</v>
      </c>
      <c r="E324">
        <v>10</v>
      </c>
    </row>
    <row r="325" spans="1:5">
      <c r="A325">
        <v>55788443</v>
      </c>
      <c r="B325" t="s">
        <v>162</v>
      </c>
      <c r="D325">
        <v>1</v>
      </c>
      <c r="E325">
        <v>10</v>
      </c>
    </row>
    <row r="326" spans="1:5">
      <c r="A326">
        <v>55788444</v>
      </c>
      <c r="B326" t="s">
        <v>158</v>
      </c>
      <c r="D326">
        <v>3</v>
      </c>
      <c r="E326">
        <v>10</v>
      </c>
    </row>
    <row r="327" spans="1:5">
      <c r="A327">
        <v>55788445</v>
      </c>
      <c r="B327" t="s">
        <v>177</v>
      </c>
      <c r="D327">
        <v>0</v>
      </c>
      <c r="E327">
        <v>10</v>
      </c>
    </row>
    <row r="328" spans="1:5">
      <c r="A328">
        <v>55788446</v>
      </c>
      <c r="B328" t="s">
        <v>160</v>
      </c>
      <c r="D328">
        <v>3</v>
      </c>
      <c r="E328">
        <v>10</v>
      </c>
    </row>
    <row r="329" spans="1:5">
      <c r="A329">
        <v>55788447</v>
      </c>
      <c r="B329" t="s">
        <v>163</v>
      </c>
      <c r="D329">
        <v>2</v>
      </c>
      <c r="E329">
        <v>10</v>
      </c>
    </row>
    <row r="330" spans="1:5">
      <c r="A330">
        <v>55788448</v>
      </c>
      <c r="B330" t="s">
        <v>548</v>
      </c>
      <c r="D330">
        <v>3</v>
      </c>
      <c r="E330">
        <v>10</v>
      </c>
    </row>
    <row r="331" spans="1:5">
      <c r="A331">
        <v>55788449</v>
      </c>
      <c r="B331" t="s">
        <v>172</v>
      </c>
      <c r="D331">
        <v>0</v>
      </c>
      <c r="E331">
        <v>10</v>
      </c>
    </row>
    <row r="332" spans="1:5">
      <c r="A332">
        <v>55788450</v>
      </c>
      <c r="B332" t="s">
        <v>174</v>
      </c>
      <c r="D332">
        <v>0</v>
      </c>
      <c r="E332">
        <v>10</v>
      </c>
    </row>
    <row r="333" spans="1:5">
      <c r="A333">
        <v>55788451</v>
      </c>
      <c r="B333" t="s">
        <v>200</v>
      </c>
      <c r="D333">
        <v>1</v>
      </c>
      <c r="E333">
        <v>10</v>
      </c>
    </row>
    <row r="334" spans="1:5">
      <c r="A334">
        <v>55788452</v>
      </c>
      <c r="B334" t="s">
        <v>196</v>
      </c>
      <c r="D334">
        <v>4</v>
      </c>
      <c r="E334">
        <v>10</v>
      </c>
    </row>
    <row r="335" spans="1:5">
      <c r="A335">
        <v>55788453</v>
      </c>
      <c r="B335" t="s">
        <v>191</v>
      </c>
      <c r="D335">
        <v>1</v>
      </c>
      <c r="E335">
        <v>10</v>
      </c>
    </row>
    <row r="336" spans="1:5">
      <c r="A336">
        <v>55788454</v>
      </c>
      <c r="B336" t="s">
        <v>194</v>
      </c>
      <c r="D336">
        <v>1</v>
      </c>
      <c r="E336">
        <v>10</v>
      </c>
    </row>
    <row r="337" spans="1:5">
      <c r="A337">
        <v>55788455</v>
      </c>
      <c r="B337" t="s">
        <v>188</v>
      </c>
      <c r="D337">
        <v>2</v>
      </c>
      <c r="E337">
        <v>10</v>
      </c>
    </row>
    <row r="338" spans="1:5">
      <c r="A338">
        <v>55788456</v>
      </c>
      <c r="B338" t="s">
        <v>199</v>
      </c>
      <c r="D338">
        <v>0</v>
      </c>
      <c r="E338">
        <v>10</v>
      </c>
    </row>
    <row r="339" spans="1:5">
      <c r="A339">
        <v>55788457</v>
      </c>
      <c r="B339" t="s">
        <v>190</v>
      </c>
      <c r="D339">
        <v>15</v>
      </c>
      <c r="E339">
        <v>10</v>
      </c>
    </row>
    <row r="340" spans="1:5">
      <c r="A340">
        <v>55788458</v>
      </c>
      <c r="B340" t="s">
        <v>178</v>
      </c>
      <c r="D340">
        <v>8</v>
      </c>
      <c r="E340">
        <v>10</v>
      </c>
    </row>
    <row r="341" spans="1:5">
      <c r="A341">
        <v>55788459</v>
      </c>
      <c r="B341" t="s">
        <v>179</v>
      </c>
      <c r="D341">
        <v>3</v>
      </c>
      <c r="E341">
        <v>10</v>
      </c>
    </row>
    <row r="342" spans="1:5">
      <c r="A342">
        <v>55788460</v>
      </c>
      <c r="B342" t="s">
        <v>183</v>
      </c>
      <c r="D342">
        <v>5</v>
      </c>
      <c r="E342">
        <v>10</v>
      </c>
    </row>
    <row r="343" spans="1:5">
      <c r="A343">
        <v>55788461</v>
      </c>
      <c r="B343" t="s">
        <v>184</v>
      </c>
      <c r="D343">
        <v>8</v>
      </c>
      <c r="E343">
        <v>10</v>
      </c>
    </row>
    <row r="344" spans="1:5">
      <c r="A344">
        <v>55788462</v>
      </c>
      <c r="B344" t="s">
        <v>198</v>
      </c>
      <c r="D344">
        <v>6</v>
      </c>
      <c r="E344">
        <v>10</v>
      </c>
    </row>
    <row r="345" spans="1:5">
      <c r="A345">
        <v>55788463</v>
      </c>
      <c r="B345" t="s">
        <v>175</v>
      </c>
      <c r="D345">
        <v>2</v>
      </c>
      <c r="E345">
        <v>10</v>
      </c>
    </row>
    <row r="346" spans="1:5">
      <c r="A346">
        <v>55788464</v>
      </c>
      <c r="B346" t="s">
        <v>165</v>
      </c>
      <c r="D346">
        <v>11</v>
      </c>
      <c r="E346">
        <v>10</v>
      </c>
    </row>
    <row r="347" spans="1:5">
      <c r="A347">
        <v>55788465</v>
      </c>
      <c r="B347" t="s">
        <v>166</v>
      </c>
      <c r="D347">
        <v>0</v>
      </c>
      <c r="E347">
        <v>10</v>
      </c>
    </row>
    <row r="348" spans="1:5">
      <c r="A348">
        <v>55788466</v>
      </c>
      <c r="B348" t="s">
        <v>327</v>
      </c>
      <c r="D348">
        <v>9</v>
      </c>
      <c r="E348">
        <v>10</v>
      </c>
    </row>
    <row r="349" spans="1:5">
      <c r="A349">
        <v>55788467</v>
      </c>
      <c r="B349" t="s">
        <v>222</v>
      </c>
      <c r="D349">
        <v>0</v>
      </c>
      <c r="E349">
        <v>10</v>
      </c>
    </row>
    <row r="350" spans="1:5">
      <c r="A350">
        <v>55788468</v>
      </c>
      <c r="B350" t="s">
        <v>576</v>
      </c>
      <c r="D350">
        <v>1</v>
      </c>
      <c r="E350">
        <v>10</v>
      </c>
    </row>
    <row r="351" spans="1:5">
      <c r="A351">
        <v>55788469</v>
      </c>
      <c r="B351" t="s">
        <v>575</v>
      </c>
      <c r="D351">
        <v>7</v>
      </c>
      <c r="E351">
        <v>10</v>
      </c>
    </row>
    <row r="352" spans="1:5">
      <c r="A352">
        <v>55788470</v>
      </c>
      <c r="B352" t="s">
        <v>573</v>
      </c>
      <c r="D352">
        <v>0</v>
      </c>
      <c r="E352">
        <v>10</v>
      </c>
    </row>
    <row r="353" spans="1:5">
      <c r="A353">
        <v>55788471</v>
      </c>
      <c r="B353" t="s">
        <v>571</v>
      </c>
      <c r="D353">
        <v>5</v>
      </c>
      <c r="E353">
        <v>10</v>
      </c>
    </row>
    <row r="354" spans="1:5">
      <c r="A354">
        <v>55788472</v>
      </c>
      <c r="B354" t="s">
        <v>570</v>
      </c>
      <c r="D354">
        <v>2</v>
      </c>
      <c r="E354">
        <v>10</v>
      </c>
    </row>
    <row r="355" spans="1:5">
      <c r="A355">
        <v>55788473</v>
      </c>
      <c r="B355" t="s">
        <v>666</v>
      </c>
      <c r="D355">
        <v>22</v>
      </c>
      <c r="E355">
        <v>10</v>
      </c>
    </row>
    <row r="356" spans="1:5">
      <c r="A356">
        <v>55788474</v>
      </c>
      <c r="B356" t="s">
        <v>566</v>
      </c>
      <c r="D356">
        <v>2</v>
      </c>
      <c r="E356">
        <v>10</v>
      </c>
    </row>
    <row r="357" spans="1:5">
      <c r="A357">
        <v>55788475</v>
      </c>
      <c r="B357" t="s">
        <v>665</v>
      </c>
      <c r="D357">
        <v>16</v>
      </c>
      <c r="E357">
        <v>10</v>
      </c>
    </row>
    <row r="358" spans="1:5">
      <c r="A358">
        <v>55788476</v>
      </c>
      <c r="B358" t="s">
        <v>565</v>
      </c>
      <c r="D358">
        <v>2</v>
      </c>
      <c r="E358">
        <v>10</v>
      </c>
    </row>
    <row r="359" spans="1:5">
      <c r="A359">
        <v>55788477</v>
      </c>
      <c r="B359" t="s">
        <v>562</v>
      </c>
      <c r="D359">
        <v>1</v>
      </c>
      <c r="E359">
        <v>10</v>
      </c>
    </row>
    <row r="360" spans="1:5">
      <c r="A360">
        <v>55788478</v>
      </c>
      <c r="B360" t="s">
        <v>667</v>
      </c>
      <c r="D360">
        <v>6</v>
      </c>
      <c r="E360">
        <v>10</v>
      </c>
    </row>
    <row r="361" spans="1:5">
      <c r="A361">
        <v>55788479</v>
      </c>
      <c r="B361" t="s">
        <v>578</v>
      </c>
      <c r="D361">
        <v>0</v>
      </c>
      <c r="E361">
        <v>10</v>
      </c>
    </row>
    <row r="362" spans="1:5">
      <c r="A362">
        <v>55788480</v>
      </c>
      <c r="B362" t="s">
        <v>574</v>
      </c>
      <c r="D362">
        <v>10</v>
      </c>
      <c r="E362">
        <v>10</v>
      </c>
    </row>
    <row r="363" spans="1:5">
      <c r="A363">
        <v>55788481</v>
      </c>
      <c r="B363" t="s">
        <v>681</v>
      </c>
      <c r="D363">
        <v>1</v>
      </c>
      <c r="E363">
        <v>10</v>
      </c>
    </row>
    <row r="364" spans="1:5">
      <c r="A364">
        <v>55788482</v>
      </c>
      <c r="B364" t="s">
        <v>568</v>
      </c>
      <c r="D364">
        <v>2</v>
      </c>
      <c r="E364">
        <v>10</v>
      </c>
    </row>
    <row r="365" spans="1:5">
      <c r="A365">
        <v>55788483</v>
      </c>
      <c r="B365" t="s">
        <v>567</v>
      </c>
      <c r="D365">
        <v>1</v>
      </c>
      <c r="E365">
        <v>10</v>
      </c>
    </row>
    <row r="366" spans="1:5">
      <c r="A366">
        <v>55788484</v>
      </c>
      <c r="B366" t="s">
        <v>564</v>
      </c>
      <c r="D366">
        <v>2</v>
      </c>
      <c r="E366">
        <v>10</v>
      </c>
    </row>
    <row r="367" spans="1:5">
      <c r="A367">
        <v>55788485</v>
      </c>
      <c r="B367" t="s">
        <v>563</v>
      </c>
      <c r="D367">
        <v>6</v>
      </c>
      <c r="E367">
        <v>10</v>
      </c>
    </row>
    <row r="368" spans="1:5">
      <c r="A368">
        <v>55788486</v>
      </c>
      <c r="B368" t="s">
        <v>324</v>
      </c>
      <c r="D368">
        <v>1</v>
      </c>
      <c r="E368">
        <v>10</v>
      </c>
    </row>
    <row r="369" spans="1:5">
      <c r="A369">
        <v>55788487</v>
      </c>
      <c r="B369" t="s">
        <v>303</v>
      </c>
      <c r="D369">
        <v>9</v>
      </c>
      <c r="E369">
        <v>10</v>
      </c>
    </row>
    <row r="370" spans="1:5">
      <c r="A370">
        <v>55788488</v>
      </c>
      <c r="B370" t="s">
        <v>275</v>
      </c>
      <c r="D370">
        <v>4</v>
      </c>
      <c r="E370">
        <v>10</v>
      </c>
    </row>
    <row r="371" spans="1:5">
      <c r="A371">
        <v>55788489</v>
      </c>
      <c r="B371" t="s">
        <v>195</v>
      </c>
      <c r="D371">
        <v>1</v>
      </c>
      <c r="E371">
        <v>10</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AS526"/>
  <sheetViews>
    <sheetView workbookViewId="0">
      <selection activeCell="J3" sqref="J3"/>
    </sheetView>
  </sheetViews>
  <sheetFormatPr baseColWidth="10" defaultColWidth="11" defaultRowHeight="16"/>
  <cols>
    <col min="1" max="1" width="10.6640625" style="84" customWidth="1"/>
    <col min="2" max="2" width="14.33203125" style="65" customWidth="1"/>
    <col min="3" max="3" width="10.6640625" style="66" bestFit="1" customWidth="1"/>
    <col min="4" max="4" width="9.6640625" style="65" customWidth="1"/>
    <col min="5" max="5" width="19.83203125" style="65" bestFit="1" customWidth="1"/>
    <col min="6" max="6" width="19.83203125" style="66" customWidth="1"/>
    <col min="7" max="7" width="12.5" style="66" customWidth="1"/>
    <col min="8" max="8" width="19.1640625" style="65" bestFit="1" customWidth="1"/>
    <col min="9" max="9" width="11" style="66" customWidth="1"/>
    <col min="10" max="10" width="14.5" style="68" customWidth="1"/>
    <col min="11" max="11" width="11" style="69" customWidth="1"/>
    <col min="12" max="12" width="8.83203125" style="69" customWidth="1"/>
    <col min="13" max="13" width="9.5" style="69" customWidth="1"/>
    <col min="14" max="14" width="16.5" style="66" customWidth="1"/>
    <col min="15" max="15" width="20.33203125" style="66" bestFit="1" customWidth="1"/>
    <col min="16" max="16" width="25.33203125" style="66" bestFit="1" customWidth="1"/>
    <col min="17" max="17" width="23.33203125" style="66" bestFit="1" customWidth="1"/>
    <col min="18" max="18" width="18.1640625" style="66" bestFit="1" customWidth="1"/>
    <col min="19" max="19" width="18.6640625" style="66" bestFit="1" customWidth="1"/>
    <col min="20" max="20" width="16.83203125" style="66" bestFit="1" customWidth="1"/>
    <col min="21" max="21" width="10.5" style="70" customWidth="1"/>
    <col min="22" max="22" width="12.83203125" style="81" customWidth="1"/>
    <col min="23" max="23" width="14.5" style="65" customWidth="1"/>
    <col min="24" max="24" width="13.83203125" style="70" customWidth="1"/>
    <col min="25" max="25" width="17.5" style="65" customWidth="1"/>
    <col min="26" max="26" width="16.33203125" style="66" customWidth="1"/>
    <col min="27" max="27" width="20.5" style="66" customWidth="1"/>
    <col min="28" max="28" width="29.1640625" style="66" bestFit="1" customWidth="1"/>
    <col min="29" max="29" width="29.33203125" style="66" bestFit="1" customWidth="1"/>
    <col min="30" max="30" width="14.5" style="66" bestFit="1" customWidth="1"/>
    <col min="31" max="31" width="16.5" style="66" bestFit="1" customWidth="1"/>
    <col min="32" max="32" width="29.1640625" style="66" bestFit="1" customWidth="1"/>
    <col min="33" max="33" width="30.5" style="66" bestFit="1" customWidth="1"/>
    <col min="34" max="34" width="14.5" style="66" bestFit="1" customWidth="1"/>
    <col min="35" max="35" width="16.5" style="66" bestFit="1" customWidth="1"/>
    <col min="36" max="36" width="29.1640625" style="66" bestFit="1" customWidth="1"/>
    <col min="37" max="37" width="30.5" style="66" bestFit="1" customWidth="1"/>
    <col min="38" max="38" width="14.5" style="66" bestFit="1" customWidth="1"/>
    <col min="39" max="39" width="16.5" style="66" bestFit="1" customWidth="1"/>
    <col min="40" max="40" width="29.1640625" style="66" bestFit="1" customWidth="1"/>
    <col min="41" max="41" width="29.33203125" style="66" bestFit="1" customWidth="1"/>
    <col min="42" max="42" width="14.5" style="66" bestFit="1" customWidth="1"/>
    <col min="43" max="43" width="16.5" style="66" bestFit="1" customWidth="1"/>
    <col min="44" max="44" width="29.1640625" style="66" bestFit="1" customWidth="1"/>
    <col min="45" max="45" width="29.33203125" style="66" bestFit="1" customWidth="1"/>
    <col min="46" max="256" width="8.83203125" customWidth="1"/>
    <col min="257" max="257" width="13.1640625" customWidth="1"/>
    <col min="258" max="258" width="14.33203125" customWidth="1"/>
    <col min="259" max="259" width="10.5" customWidth="1"/>
    <col min="260" max="260" width="9.6640625" customWidth="1"/>
    <col min="261" max="261" width="12.5" customWidth="1"/>
    <col min="262" max="262" width="19.83203125" customWidth="1"/>
    <col min="263" max="264" width="12.5" customWidth="1"/>
    <col min="265" max="265" width="11" customWidth="1"/>
    <col min="266" max="266" width="14.5" customWidth="1"/>
    <col min="267" max="267" width="11" customWidth="1"/>
    <col min="268" max="268" width="8.83203125" customWidth="1"/>
    <col min="269" max="269" width="9.5" customWidth="1"/>
    <col min="270" max="270" width="16.5" customWidth="1"/>
    <col min="271" max="271" width="20.33203125" bestFit="1" customWidth="1"/>
    <col min="272" max="272" width="25.33203125" bestFit="1" customWidth="1"/>
    <col min="273" max="273" width="23.33203125" bestFit="1" customWidth="1"/>
    <col min="274" max="274" width="18.1640625" bestFit="1" customWidth="1"/>
    <col min="275" max="275" width="18.6640625" bestFit="1" customWidth="1"/>
    <col min="276" max="276" width="16.83203125" bestFit="1" customWidth="1"/>
    <col min="277" max="277" width="10.5" customWidth="1"/>
    <col min="278" max="278" width="12.83203125" customWidth="1"/>
    <col min="279" max="279" width="14.5" customWidth="1"/>
    <col min="280" max="280" width="13.83203125" customWidth="1"/>
    <col min="281" max="281" width="17.5" customWidth="1"/>
    <col min="282" max="282" width="16.33203125" customWidth="1"/>
    <col min="283" max="283" width="20.5" customWidth="1"/>
    <col min="284" max="284" width="29.1640625" bestFit="1" customWidth="1"/>
    <col min="285" max="285" width="29.33203125" bestFit="1" customWidth="1"/>
    <col min="286" max="286" width="14.5" bestFit="1" customWidth="1"/>
    <col min="287" max="287" width="16.5" bestFit="1" customWidth="1"/>
    <col min="288" max="288" width="29.1640625" bestFit="1" customWidth="1"/>
    <col min="289" max="289" width="30.5" bestFit="1" customWidth="1"/>
    <col min="290" max="290" width="14.5" bestFit="1" customWidth="1"/>
    <col min="291" max="291" width="16.5" bestFit="1" customWidth="1"/>
    <col min="292" max="292" width="29.1640625" bestFit="1" customWidth="1"/>
    <col min="293" max="293" width="30.5" bestFit="1" customWidth="1"/>
    <col min="294" max="294" width="14.5" bestFit="1" customWidth="1"/>
    <col min="295" max="295" width="16.5" bestFit="1" customWidth="1"/>
    <col min="296" max="296" width="29.1640625" bestFit="1" customWidth="1"/>
    <col min="297" max="297" width="29.33203125" bestFit="1" customWidth="1"/>
    <col min="298" max="298" width="14.5" bestFit="1" customWidth="1"/>
    <col min="299" max="299" width="16.5" bestFit="1" customWidth="1"/>
    <col min="300" max="300" width="29.1640625" bestFit="1" customWidth="1"/>
    <col min="301" max="301" width="29.33203125" bestFit="1" customWidth="1"/>
    <col min="302" max="512" width="8.83203125" customWidth="1"/>
    <col min="513" max="513" width="13.1640625" customWidth="1"/>
    <col min="514" max="514" width="14.33203125" customWidth="1"/>
    <col min="515" max="515" width="10.5" customWidth="1"/>
    <col min="516" max="516" width="9.6640625" customWidth="1"/>
    <col min="517" max="517" width="12.5" customWidth="1"/>
    <col min="518" max="518" width="19.83203125" customWidth="1"/>
    <col min="519" max="520" width="12.5" customWidth="1"/>
    <col min="521" max="521" width="11" customWidth="1"/>
    <col min="522" max="522" width="14.5" customWidth="1"/>
    <col min="523" max="523" width="11" customWidth="1"/>
    <col min="524" max="524" width="8.83203125" customWidth="1"/>
    <col min="525" max="525" width="9.5" customWidth="1"/>
    <col min="526" max="526" width="16.5" customWidth="1"/>
    <col min="527" max="527" width="20.33203125" bestFit="1" customWidth="1"/>
    <col min="528" max="528" width="25.33203125" bestFit="1" customWidth="1"/>
    <col min="529" max="529" width="23.33203125" bestFit="1" customWidth="1"/>
    <col min="530" max="530" width="18.1640625" bestFit="1" customWidth="1"/>
    <col min="531" max="531" width="18.6640625" bestFit="1" customWidth="1"/>
    <col min="532" max="532" width="16.83203125" bestFit="1" customWidth="1"/>
    <col min="533" max="533" width="10.5" customWidth="1"/>
    <col min="534" max="534" width="12.83203125" customWidth="1"/>
    <col min="535" max="535" width="14.5" customWidth="1"/>
    <col min="536" max="536" width="13.83203125" customWidth="1"/>
    <col min="537" max="537" width="17.5" customWidth="1"/>
    <col min="538" max="538" width="16.33203125" customWidth="1"/>
    <col min="539" max="539" width="20.5" customWidth="1"/>
    <col min="540" max="540" width="29.1640625" bestFit="1" customWidth="1"/>
    <col min="541" max="541" width="29.33203125" bestFit="1" customWidth="1"/>
    <col min="542" max="542" width="14.5" bestFit="1" customWidth="1"/>
    <col min="543" max="543" width="16.5" bestFit="1" customWidth="1"/>
    <col min="544" max="544" width="29.1640625" bestFit="1" customWidth="1"/>
    <col min="545" max="545" width="30.5" bestFit="1" customWidth="1"/>
    <col min="546" max="546" width="14.5" bestFit="1" customWidth="1"/>
    <col min="547" max="547" width="16.5" bestFit="1" customWidth="1"/>
    <col min="548" max="548" width="29.1640625" bestFit="1" customWidth="1"/>
    <col min="549" max="549" width="30.5" bestFit="1" customWidth="1"/>
    <col min="550" max="550" width="14.5" bestFit="1" customWidth="1"/>
    <col min="551" max="551" width="16.5" bestFit="1" customWidth="1"/>
    <col min="552" max="552" width="29.1640625" bestFit="1" customWidth="1"/>
    <col min="553" max="553" width="29.33203125" bestFit="1" customWidth="1"/>
    <col min="554" max="554" width="14.5" bestFit="1" customWidth="1"/>
    <col min="555" max="555" width="16.5" bestFit="1" customWidth="1"/>
    <col min="556" max="556" width="29.1640625" bestFit="1" customWidth="1"/>
    <col min="557" max="557" width="29.33203125" bestFit="1" customWidth="1"/>
    <col min="558" max="768" width="8.83203125" customWidth="1"/>
    <col min="769" max="769" width="13.1640625" customWidth="1"/>
    <col min="770" max="770" width="14.33203125" customWidth="1"/>
    <col min="771" max="771" width="10.5" customWidth="1"/>
    <col min="772" max="772" width="9.6640625" customWidth="1"/>
    <col min="773" max="773" width="12.5" customWidth="1"/>
    <col min="774" max="774" width="19.83203125" customWidth="1"/>
    <col min="775" max="776" width="12.5" customWidth="1"/>
    <col min="777" max="777" width="11" customWidth="1"/>
    <col min="778" max="778" width="14.5" customWidth="1"/>
    <col min="779" max="779" width="11" customWidth="1"/>
    <col min="780" max="780" width="8.83203125" customWidth="1"/>
    <col min="781" max="781" width="9.5" customWidth="1"/>
    <col min="782" max="782" width="16.5" customWidth="1"/>
    <col min="783" max="783" width="20.33203125" bestFit="1" customWidth="1"/>
    <col min="784" max="784" width="25.33203125" bestFit="1" customWidth="1"/>
    <col min="785" max="785" width="23.33203125" bestFit="1" customWidth="1"/>
    <col min="786" max="786" width="18.1640625" bestFit="1" customWidth="1"/>
    <col min="787" max="787" width="18.6640625" bestFit="1" customWidth="1"/>
    <col min="788" max="788" width="16.83203125" bestFit="1" customWidth="1"/>
    <col min="789" max="789" width="10.5" customWidth="1"/>
    <col min="790" max="790" width="12.83203125" customWidth="1"/>
    <col min="791" max="791" width="14.5" customWidth="1"/>
    <col min="792" max="792" width="13.83203125" customWidth="1"/>
    <col min="793" max="793" width="17.5" customWidth="1"/>
    <col min="794" max="794" width="16.33203125" customWidth="1"/>
    <col min="795" max="795" width="20.5" customWidth="1"/>
    <col min="796" max="796" width="29.1640625" bestFit="1" customWidth="1"/>
    <col min="797" max="797" width="29.33203125" bestFit="1" customWidth="1"/>
    <col min="798" max="798" width="14.5" bestFit="1" customWidth="1"/>
    <col min="799" max="799" width="16.5" bestFit="1" customWidth="1"/>
    <col min="800" max="800" width="29.1640625" bestFit="1" customWidth="1"/>
    <col min="801" max="801" width="30.5" bestFit="1" customWidth="1"/>
    <col min="802" max="802" width="14.5" bestFit="1" customWidth="1"/>
    <col min="803" max="803" width="16.5" bestFit="1" customWidth="1"/>
    <col min="804" max="804" width="29.1640625" bestFit="1" customWidth="1"/>
    <col min="805" max="805" width="30.5" bestFit="1" customWidth="1"/>
    <col min="806" max="806" width="14.5" bestFit="1" customWidth="1"/>
    <col min="807" max="807" width="16.5" bestFit="1" customWidth="1"/>
    <col min="808" max="808" width="29.1640625" bestFit="1" customWidth="1"/>
    <col min="809" max="809" width="29.33203125" bestFit="1" customWidth="1"/>
    <col min="810" max="810" width="14.5" bestFit="1" customWidth="1"/>
    <col min="811" max="811" width="16.5" bestFit="1" customWidth="1"/>
    <col min="812" max="812" width="29.1640625" bestFit="1" customWidth="1"/>
    <col min="813" max="813" width="29.33203125" bestFit="1" customWidth="1"/>
    <col min="814" max="1024" width="8.83203125" customWidth="1"/>
    <col min="1025" max="1025" width="13.1640625" customWidth="1"/>
    <col min="1026" max="1026" width="14.33203125" customWidth="1"/>
    <col min="1027" max="1027" width="10.5" customWidth="1"/>
    <col min="1028" max="1028" width="9.6640625" customWidth="1"/>
    <col min="1029" max="1029" width="12.5" customWidth="1"/>
    <col min="1030" max="1030" width="19.83203125" customWidth="1"/>
    <col min="1031" max="1032" width="12.5" customWidth="1"/>
    <col min="1033" max="1033" width="11" customWidth="1"/>
    <col min="1034" max="1034" width="14.5" customWidth="1"/>
    <col min="1035" max="1035" width="11" customWidth="1"/>
    <col min="1036" max="1036" width="8.83203125" customWidth="1"/>
    <col min="1037" max="1037" width="9.5" customWidth="1"/>
    <col min="1038" max="1038" width="16.5" customWidth="1"/>
    <col min="1039" max="1039" width="20.33203125" bestFit="1" customWidth="1"/>
    <col min="1040" max="1040" width="25.33203125" bestFit="1" customWidth="1"/>
    <col min="1041" max="1041" width="23.33203125" bestFit="1" customWidth="1"/>
    <col min="1042" max="1042" width="18.1640625" bestFit="1" customWidth="1"/>
    <col min="1043" max="1043" width="18.6640625" bestFit="1" customWidth="1"/>
    <col min="1044" max="1044" width="16.83203125" bestFit="1" customWidth="1"/>
    <col min="1045" max="1045" width="10.5" customWidth="1"/>
    <col min="1046" max="1046" width="12.83203125" customWidth="1"/>
    <col min="1047" max="1047" width="14.5" customWidth="1"/>
    <col min="1048" max="1048" width="13.83203125" customWidth="1"/>
    <col min="1049" max="1049" width="17.5" customWidth="1"/>
    <col min="1050" max="1050" width="16.33203125" customWidth="1"/>
    <col min="1051" max="1051" width="20.5" customWidth="1"/>
    <col min="1052" max="1052" width="29.1640625" bestFit="1" customWidth="1"/>
    <col min="1053" max="1053" width="29.33203125" bestFit="1" customWidth="1"/>
    <col min="1054" max="1054" width="14.5" bestFit="1" customWidth="1"/>
    <col min="1055" max="1055" width="16.5" bestFit="1" customWidth="1"/>
    <col min="1056" max="1056" width="29.1640625" bestFit="1" customWidth="1"/>
    <col min="1057" max="1057" width="30.5" bestFit="1" customWidth="1"/>
    <col min="1058" max="1058" width="14.5" bestFit="1" customWidth="1"/>
    <col min="1059" max="1059" width="16.5" bestFit="1" customWidth="1"/>
    <col min="1060" max="1060" width="29.1640625" bestFit="1" customWidth="1"/>
    <col min="1061" max="1061" width="30.5" bestFit="1" customWidth="1"/>
    <col min="1062" max="1062" width="14.5" bestFit="1" customWidth="1"/>
    <col min="1063" max="1063" width="16.5" bestFit="1" customWidth="1"/>
    <col min="1064" max="1064" width="29.1640625" bestFit="1" customWidth="1"/>
    <col min="1065" max="1065" width="29.33203125" bestFit="1" customWidth="1"/>
    <col min="1066" max="1066" width="14.5" bestFit="1" customWidth="1"/>
    <col min="1067" max="1067" width="16.5" bestFit="1" customWidth="1"/>
    <col min="1068" max="1068" width="29.1640625" bestFit="1" customWidth="1"/>
    <col min="1069" max="1069" width="29.33203125" bestFit="1" customWidth="1"/>
    <col min="1070" max="1280" width="8.83203125" customWidth="1"/>
    <col min="1281" max="1281" width="13.1640625" customWidth="1"/>
    <col min="1282" max="1282" width="14.33203125" customWidth="1"/>
    <col min="1283" max="1283" width="10.5" customWidth="1"/>
    <col min="1284" max="1284" width="9.6640625" customWidth="1"/>
    <col min="1285" max="1285" width="12.5" customWidth="1"/>
    <col min="1286" max="1286" width="19.83203125" customWidth="1"/>
    <col min="1287" max="1288" width="12.5" customWidth="1"/>
    <col min="1289" max="1289" width="11" customWidth="1"/>
    <col min="1290" max="1290" width="14.5" customWidth="1"/>
    <col min="1291" max="1291" width="11" customWidth="1"/>
    <col min="1292" max="1292" width="8.83203125" customWidth="1"/>
    <col min="1293" max="1293" width="9.5" customWidth="1"/>
    <col min="1294" max="1294" width="16.5" customWidth="1"/>
    <col min="1295" max="1295" width="20.33203125" bestFit="1" customWidth="1"/>
    <col min="1296" max="1296" width="25.33203125" bestFit="1" customWidth="1"/>
    <col min="1297" max="1297" width="23.33203125" bestFit="1" customWidth="1"/>
    <col min="1298" max="1298" width="18.1640625" bestFit="1" customWidth="1"/>
    <col min="1299" max="1299" width="18.6640625" bestFit="1" customWidth="1"/>
    <col min="1300" max="1300" width="16.83203125" bestFit="1" customWidth="1"/>
    <col min="1301" max="1301" width="10.5" customWidth="1"/>
    <col min="1302" max="1302" width="12.83203125" customWidth="1"/>
    <col min="1303" max="1303" width="14.5" customWidth="1"/>
    <col min="1304" max="1304" width="13.83203125" customWidth="1"/>
    <col min="1305" max="1305" width="17.5" customWidth="1"/>
    <col min="1306" max="1306" width="16.33203125" customWidth="1"/>
    <col min="1307" max="1307" width="20.5" customWidth="1"/>
    <col min="1308" max="1308" width="29.1640625" bestFit="1" customWidth="1"/>
    <col min="1309" max="1309" width="29.33203125" bestFit="1" customWidth="1"/>
    <col min="1310" max="1310" width="14.5" bestFit="1" customWidth="1"/>
    <col min="1311" max="1311" width="16.5" bestFit="1" customWidth="1"/>
    <col min="1312" max="1312" width="29.1640625" bestFit="1" customWidth="1"/>
    <col min="1313" max="1313" width="30.5" bestFit="1" customWidth="1"/>
    <col min="1314" max="1314" width="14.5" bestFit="1" customWidth="1"/>
    <col min="1315" max="1315" width="16.5" bestFit="1" customWidth="1"/>
    <col min="1316" max="1316" width="29.1640625" bestFit="1" customWidth="1"/>
    <col min="1317" max="1317" width="30.5" bestFit="1" customWidth="1"/>
    <col min="1318" max="1318" width="14.5" bestFit="1" customWidth="1"/>
    <col min="1319" max="1319" width="16.5" bestFit="1" customWidth="1"/>
    <col min="1320" max="1320" width="29.1640625" bestFit="1" customWidth="1"/>
    <col min="1321" max="1321" width="29.33203125" bestFit="1" customWidth="1"/>
    <col min="1322" max="1322" width="14.5" bestFit="1" customWidth="1"/>
    <col min="1323" max="1323" width="16.5" bestFit="1" customWidth="1"/>
    <col min="1324" max="1324" width="29.1640625" bestFit="1" customWidth="1"/>
    <col min="1325" max="1325" width="29.33203125" bestFit="1" customWidth="1"/>
    <col min="1326" max="1536" width="8.83203125" customWidth="1"/>
    <col min="1537" max="1537" width="13.1640625" customWidth="1"/>
    <col min="1538" max="1538" width="14.33203125" customWidth="1"/>
    <col min="1539" max="1539" width="10.5" customWidth="1"/>
    <col min="1540" max="1540" width="9.6640625" customWidth="1"/>
    <col min="1541" max="1541" width="12.5" customWidth="1"/>
    <col min="1542" max="1542" width="19.83203125" customWidth="1"/>
    <col min="1543" max="1544" width="12.5" customWidth="1"/>
    <col min="1545" max="1545" width="11" customWidth="1"/>
    <col min="1546" max="1546" width="14.5" customWidth="1"/>
    <col min="1547" max="1547" width="11" customWidth="1"/>
    <col min="1548" max="1548" width="8.83203125" customWidth="1"/>
    <col min="1549" max="1549" width="9.5" customWidth="1"/>
    <col min="1550" max="1550" width="16.5" customWidth="1"/>
    <col min="1551" max="1551" width="20.33203125" bestFit="1" customWidth="1"/>
    <col min="1552" max="1552" width="25.33203125" bestFit="1" customWidth="1"/>
    <col min="1553" max="1553" width="23.33203125" bestFit="1" customWidth="1"/>
    <col min="1554" max="1554" width="18.1640625" bestFit="1" customWidth="1"/>
    <col min="1555" max="1555" width="18.6640625" bestFit="1" customWidth="1"/>
    <col min="1556" max="1556" width="16.83203125" bestFit="1" customWidth="1"/>
    <col min="1557" max="1557" width="10.5" customWidth="1"/>
    <col min="1558" max="1558" width="12.83203125" customWidth="1"/>
    <col min="1559" max="1559" width="14.5" customWidth="1"/>
    <col min="1560" max="1560" width="13.83203125" customWidth="1"/>
    <col min="1561" max="1561" width="17.5" customWidth="1"/>
    <col min="1562" max="1562" width="16.33203125" customWidth="1"/>
    <col min="1563" max="1563" width="20.5" customWidth="1"/>
    <col min="1564" max="1564" width="29.1640625" bestFit="1" customWidth="1"/>
    <col min="1565" max="1565" width="29.33203125" bestFit="1" customWidth="1"/>
    <col min="1566" max="1566" width="14.5" bestFit="1" customWidth="1"/>
    <col min="1567" max="1567" width="16.5" bestFit="1" customWidth="1"/>
    <col min="1568" max="1568" width="29.1640625" bestFit="1" customWidth="1"/>
    <col min="1569" max="1569" width="30.5" bestFit="1" customWidth="1"/>
    <col min="1570" max="1570" width="14.5" bestFit="1" customWidth="1"/>
    <col min="1571" max="1571" width="16.5" bestFit="1" customWidth="1"/>
    <col min="1572" max="1572" width="29.1640625" bestFit="1" customWidth="1"/>
    <col min="1573" max="1573" width="30.5" bestFit="1" customWidth="1"/>
    <col min="1574" max="1574" width="14.5" bestFit="1" customWidth="1"/>
    <col min="1575" max="1575" width="16.5" bestFit="1" customWidth="1"/>
    <col min="1576" max="1576" width="29.1640625" bestFit="1" customWidth="1"/>
    <col min="1577" max="1577" width="29.33203125" bestFit="1" customWidth="1"/>
    <col min="1578" max="1578" width="14.5" bestFit="1" customWidth="1"/>
    <col min="1579" max="1579" width="16.5" bestFit="1" customWidth="1"/>
    <col min="1580" max="1580" width="29.1640625" bestFit="1" customWidth="1"/>
    <col min="1581" max="1581" width="29.33203125" bestFit="1" customWidth="1"/>
    <col min="1582" max="1792" width="8.83203125" customWidth="1"/>
    <col min="1793" max="1793" width="13.1640625" customWidth="1"/>
    <col min="1794" max="1794" width="14.33203125" customWidth="1"/>
    <col min="1795" max="1795" width="10.5" customWidth="1"/>
    <col min="1796" max="1796" width="9.6640625" customWidth="1"/>
    <col min="1797" max="1797" width="12.5" customWidth="1"/>
    <col min="1798" max="1798" width="19.83203125" customWidth="1"/>
    <col min="1799" max="1800" width="12.5" customWidth="1"/>
    <col min="1801" max="1801" width="11" customWidth="1"/>
    <col min="1802" max="1802" width="14.5" customWidth="1"/>
    <col min="1803" max="1803" width="11" customWidth="1"/>
    <col min="1804" max="1804" width="8.83203125" customWidth="1"/>
    <col min="1805" max="1805" width="9.5" customWidth="1"/>
    <col min="1806" max="1806" width="16.5" customWidth="1"/>
    <col min="1807" max="1807" width="20.33203125" bestFit="1" customWidth="1"/>
    <col min="1808" max="1808" width="25.33203125" bestFit="1" customWidth="1"/>
    <col min="1809" max="1809" width="23.33203125" bestFit="1" customWidth="1"/>
    <col min="1810" max="1810" width="18.1640625" bestFit="1" customWidth="1"/>
    <col min="1811" max="1811" width="18.6640625" bestFit="1" customWidth="1"/>
    <col min="1812" max="1812" width="16.83203125" bestFit="1" customWidth="1"/>
    <col min="1813" max="1813" width="10.5" customWidth="1"/>
    <col min="1814" max="1814" width="12.83203125" customWidth="1"/>
    <col min="1815" max="1815" width="14.5" customWidth="1"/>
    <col min="1816" max="1816" width="13.83203125" customWidth="1"/>
    <col min="1817" max="1817" width="17.5" customWidth="1"/>
    <col min="1818" max="1818" width="16.33203125" customWidth="1"/>
    <col min="1819" max="1819" width="20.5" customWidth="1"/>
    <col min="1820" max="1820" width="29.1640625" bestFit="1" customWidth="1"/>
    <col min="1821" max="1821" width="29.33203125" bestFit="1" customWidth="1"/>
    <col min="1822" max="1822" width="14.5" bestFit="1" customWidth="1"/>
    <col min="1823" max="1823" width="16.5" bestFit="1" customWidth="1"/>
    <col min="1824" max="1824" width="29.1640625" bestFit="1" customWidth="1"/>
    <col min="1825" max="1825" width="30.5" bestFit="1" customWidth="1"/>
    <col min="1826" max="1826" width="14.5" bestFit="1" customWidth="1"/>
    <col min="1827" max="1827" width="16.5" bestFit="1" customWidth="1"/>
    <col min="1828" max="1828" width="29.1640625" bestFit="1" customWidth="1"/>
    <col min="1829" max="1829" width="30.5" bestFit="1" customWidth="1"/>
    <col min="1830" max="1830" width="14.5" bestFit="1" customWidth="1"/>
    <col min="1831" max="1831" width="16.5" bestFit="1" customWidth="1"/>
    <col min="1832" max="1832" width="29.1640625" bestFit="1" customWidth="1"/>
    <col min="1833" max="1833" width="29.33203125" bestFit="1" customWidth="1"/>
    <col min="1834" max="1834" width="14.5" bestFit="1" customWidth="1"/>
    <col min="1835" max="1835" width="16.5" bestFit="1" customWidth="1"/>
    <col min="1836" max="1836" width="29.1640625" bestFit="1" customWidth="1"/>
    <col min="1837" max="1837" width="29.33203125" bestFit="1" customWidth="1"/>
    <col min="1838" max="2048" width="8.83203125" customWidth="1"/>
    <col min="2049" max="2049" width="13.1640625" customWidth="1"/>
    <col min="2050" max="2050" width="14.33203125" customWidth="1"/>
    <col min="2051" max="2051" width="10.5" customWidth="1"/>
    <col min="2052" max="2052" width="9.6640625" customWidth="1"/>
    <col min="2053" max="2053" width="12.5" customWidth="1"/>
    <col min="2054" max="2054" width="19.83203125" customWidth="1"/>
    <col min="2055" max="2056" width="12.5" customWidth="1"/>
    <col min="2057" max="2057" width="11" customWidth="1"/>
    <col min="2058" max="2058" width="14.5" customWidth="1"/>
    <col min="2059" max="2059" width="11" customWidth="1"/>
    <col min="2060" max="2060" width="8.83203125" customWidth="1"/>
    <col min="2061" max="2061" width="9.5" customWidth="1"/>
    <col min="2062" max="2062" width="16.5" customWidth="1"/>
    <col min="2063" max="2063" width="20.33203125" bestFit="1" customWidth="1"/>
    <col min="2064" max="2064" width="25.33203125" bestFit="1" customWidth="1"/>
    <col min="2065" max="2065" width="23.33203125" bestFit="1" customWidth="1"/>
    <col min="2066" max="2066" width="18.1640625" bestFit="1" customWidth="1"/>
    <col min="2067" max="2067" width="18.6640625" bestFit="1" customWidth="1"/>
    <col min="2068" max="2068" width="16.83203125" bestFit="1" customWidth="1"/>
    <col min="2069" max="2069" width="10.5" customWidth="1"/>
    <col min="2070" max="2070" width="12.83203125" customWidth="1"/>
    <col min="2071" max="2071" width="14.5" customWidth="1"/>
    <col min="2072" max="2072" width="13.83203125" customWidth="1"/>
    <col min="2073" max="2073" width="17.5" customWidth="1"/>
    <col min="2074" max="2074" width="16.33203125" customWidth="1"/>
    <col min="2075" max="2075" width="20.5" customWidth="1"/>
    <col min="2076" max="2076" width="29.1640625" bestFit="1" customWidth="1"/>
    <col min="2077" max="2077" width="29.33203125" bestFit="1" customWidth="1"/>
    <col min="2078" max="2078" width="14.5" bestFit="1" customWidth="1"/>
    <col min="2079" max="2079" width="16.5" bestFit="1" customWidth="1"/>
    <col min="2080" max="2080" width="29.1640625" bestFit="1" customWidth="1"/>
    <col min="2081" max="2081" width="30.5" bestFit="1" customWidth="1"/>
    <col min="2082" max="2082" width="14.5" bestFit="1" customWidth="1"/>
    <col min="2083" max="2083" width="16.5" bestFit="1" customWidth="1"/>
    <col min="2084" max="2084" width="29.1640625" bestFit="1" customWidth="1"/>
    <col min="2085" max="2085" width="30.5" bestFit="1" customWidth="1"/>
    <col min="2086" max="2086" width="14.5" bestFit="1" customWidth="1"/>
    <col min="2087" max="2087" width="16.5" bestFit="1" customWidth="1"/>
    <col min="2088" max="2088" width="29.1640625" bestFit="1" customWidth="1"/>
    <col min="2089" max="2089" width="29.33203125" bestFit="1" customWidth="1"/>
    <col min="2090" max="2090" width="14.5" bestFit="1" customWidth="1"/>
    <col min="2091" max="2091" width="16.5" bestFit="1" customWidth="1"/>
    <col min="2092" max="2092" width="29.1640625" bestFit="1" customWidth="1"/>
    <col min="2093" max="2093" width="29.33203125" bestFit="1" customWidth="1"/>
    <col min="2094" max="2304" width="8.83203125" customWidth="1"/>
    <col min="2305" max="2305" width="13.1640625" customWidth="1"/>
    <col min="2306" max="2306" width="14.33203125" customWidth="1"/>
    <col min="2307" max="2307" width="10.5" customWidth="1"/>
    <col min="2308" max="2308" width="9.6640625" customWidth="1"/>
    <col min="2309" max="2309" width="12.5" customWidth="1"/>
    <col min="2310" max="2310" width="19.83203125" customWidth="1"/>
    <col min="2311" max="2312" width="12.5" customWidth="1"/>
    <col min="2313" max="2313" width="11" customWidth="1"/>
    <col min="2314" max="2314" width="14.5" customWidth="1"/>
    <col min="2315" max="2315" width="11" customWidth="1"/>
    <col min="2316" max="2316" width="8.83203125" customWidth="1"/>
    <col min="2317" max="2317" width="9.5" customWidth="1"/>
    <col min="2318" max="2318" width="16.5" customWidth="1"/>
    <col min="2319" max="2319" width="20.33203125" bestFit="1" customWidth="1"/>
    <col min="2320" max="2320" width="25.33203125" bestFit="1" customWidth="1"/>
    <col min="2321" max="2321" width="23.33203125" bestFit="1" customWidth="1"/>
    <col min="2322" max="2322" width="18.1640625" bestFit="1" customWidth="1"/>
    <col min="2323" max="2323" width="18.6640625" bestFit="1" customWidth="1"/>
    <col min="2324" max="2324" width="16.83203125" bestFit="1" customWidth="1"/>
    <col min="2325" max="2325" width="10.5" customWidth="1"/>
    <col min="2326" max="2326" width="12.83203125" customWidth="1"/>
    <col min="2327" max="2327" width="14.5" customWidth="1"/>
    <col min="2328" max="2328" width="13.83203125" customWidth="1"/>
    <col min="2329" max="2329" width="17.5" customWidth="1"/>
    <col min="2330" max="2330" width="16.33203125" customWidth="1"/>
    <col min="2331" max="2331" width="20.5" customWidth="1"/>
    <col min="2332" max="2332" width="29.1640625" bestFit="1" customWidth="1"/>
    <col min="2333" max="2333" width="29.33203125" bestFit="1" customWidth="1"/>
    <col min="2334" max="2334" width="14.5" bestFit="1" customWidth="1"/>
    <col min="2335" max="2335" width="16.5" bestFit="1" customWidth="1"/>
    <col min="2336" max="2336" width="29.1640625" bestFit="1" customWidth="1"/>
    <col min="2337" max="2337" width="30.5" bestFit="1" customWidth="1"/>
    <col min="2338" max="2338" width="14.5" bestFit="1" customWidth="1"/>
    <col min="2339" max="2339" width="16.5" bestFit="1" customWidth="1"/>
    <col min="2340" max="2340" width="29.1640625" bestFit="1" customWidth="1"/>
    <col min="2341" max="2341" width="30.5" bestFit="1" customWidth="1"/>
    <col min="2342" max="2342" width="14.5" bestFit="1" customWidth="1"/>
    <col min="2343" max="2343" width="16.5" bestFit="1" customWidth="1"/>
    <col min="2344" max="2344" width="29.1640625" bestFit="1" customWidth="1"/>
    <col min="2345" max="2345" width="29.33203125" bestFit="1" customWidth="1"/>
    <col min="2346" max="2346" width="14.5" bestFit="1" customWidth="1"/>
    <col min="2347" max="2347" width="16.5" bestFit="1" customWidth="1"/>
    <col min="2348" max="2348" width="29.1640625" bestFit="1" customWidth="1"/>
    <col min="2349" max="2349" width="29.33203125" bestFit="1" customWidth="1"/>
    <col min="2350" max="2560" width="8.83203125" customWidth="1"/>
    <col min="2561" max="2561" width="13.1640625" customWidth="1"/>
    <col min="2562" max="2562" width="14.33203125" customWidth="1"/>
    <col min="2563" max="2563" width="10.5" customWidth="1"/>
    <col min="2564" max="2564" width="9.6640625" customWidth="1"/>
    <col min="2565" max="2565" width="12.5" customWidth="1"/>
    <col min="2566" max="2566" width="19.83203125" customWidth="1"/>
    <col min="2567" max="2568" width="12.5" customWidth="1"/>
    <col min="2569" max="2569" width="11" customWidth="1"/>
    <col min="2570" max="2570" width="14.5" customWidth="1"/>
    <col min="2571" max="2571" width="11" customWidth="1"/>
    <col min="2572" max="2572" width="8.83203125" customWidth="1"/>
    <col min="2573" max="2573" width="9.5" customWidth="1"/>
    <col min="2574" max="2574" width="16.5" customWidth="1"/>
    <col min="2575" max="2575" width="20.33203125" bestFit="1" customWidth="1"/>
    <col min="2576" max="2576" width="25.33203125" bestFit="1" customWidth="1"/>
    <col min="2577" max="2577" width="23.33203125" bestFit="1" customWidth="1"/>
    <col min="2578" max="2578" width="18.1640625" bestFit="1" customWidth="1"/>
    <col min="2579" max="2579" width="18.6640625" bestFit="1" customWidth="1"/>
    <col min="2580" max="2580" width="16.83203125" bestFit="1" customWidth="1"/>
    <col min="2581" max="2581" width="10.5" customWidth="1"/>
    <col min="2582" max="2582" width="12.83203125" customWidth="1"/>
    <col min="2583" max="2583" width="14.5" customWidth="1"/>
    <col min="2584" max="2584" width="13.83203125" customWidth="1"/>
    <col min="2585" max="2585" width="17.5" customWidth="1"/>
    <col min="2586" max="2586" width="16.33203125" customWidth="1"/>
    <col min="2587" max="2587" width="20.5" customWidth="1"/>
    <col min="2588" max="2588" width="29.1640625" bestFit="1" customWidth="1"/>
    <col min="2589" max="2589" width="29.33203125" bestFit="1" customWidth="1"/>
    <col min="2590" max="2590" width="14.5" bestFit="1" customWidth="1"/>
    <col min="2591" max="2591" width="16.5" bestFit="1" customWidth="1"/>
    <col min="2592" max="2592" width="29.1640625" bestFit="1" customWidth="1"/>
    <col min="2593" max="2593" width="30.5" bestFit="1" customWidth="1"/>
    <col min="2594" max="2594" width="14.5" bestFit="1" customWidth="1"/>
    <col min="2595" max="2595" width="16.5" bestFit="1" customWidth="1"/>
    <col min="2596" max="2596" width="29.1640625" bestFit="1" customWidth="1"/>
    <col min="2597" max="2597" width="30.5" bestFit="1" customWidth="1"/>
    <col min="2598" max="2598" width="14.5" bestFit="1" customWidth="1"/>
    <col min="2599" max="2599" width="16.5" bestFit="1" customWidth="1"/>
    <col min="2600" max="2600" width="29.1640625" bestFit="1" customWidth="1"/>
    <col min="2601" max="2601" width="29.33203125" bestFit="1" customWidth="1"/>
    <col min="2602" max="2602" width="14.5" bestFit="1" customWidth="1"/>
    <col min="2603" max="2603" width="16.5" bestFit="1" customWidth="1"/>
    <col min="2604" max="2604" width="29.1640625" bestFit="1" customWidth="1"/>
    <col min="2605" max="2605" width="29.33203125" bestFit="1" customWidth="1"/>
    <col min="2606" max="2816" width="8.83203125" customWidth="1"/>
    <col min="2817" max="2817" width="13.1640625" customWidth="1"/>
    <col min="2818" max="2818" width="14.33203125" customWidth="1"/>
    <col min="2819" max="2819" width="10.5" customWidth="1"/>
    <col min="2820" max="2820" width="9.6640625" customWidth="1"/>
    <col min="2821" max="2821" width="12.5" customWidth="1"/>
    <col min="2822" max="2822" width="19.83203125" customWidth="1"/>
    <col min="2823" max="2824" width="12.5" customWidth="1"/>
    <col min="2825" max="2825" width="11" customWidth="1"/>
    <col min="2826" max="2826" width="14.5" customWidth="1"/>
    <col min="2827" max="2827" width="11" customWidth="1"/>
    <col min="2828" max="2828" width="8.83203125" customWidth="1"/>
    <col min="2829" max="2829" width="9.5" customWidth="1"/>
    <col min="2830" max="2830" width="16.5" customWidth="1"/>
    <col min="2831" max="2831" width="20.33203125" bestFit="1" customWidth="1"/>
    <col min="2832" max="2832" width="25.33203125" bestFit="1" customWidth="1"/>
    <col min="2833" max="2833" width="23.33203125" bestFit="1" customWidth="1"/>
    <col min="2834" max="2834" width="18.1640625" bestFit="1" customWidth="1"/>
    <col min="2835" max="2835" width="18.6640625" bestFit="1" customWidth="1"/>
    <col min="2836" max="2836" width="16.83203125" bestFit="1" customWidth="1"/>
    <col min="2837" max="2837" width="10.5" customWidth="1"/>
    <col min="2838" max="2838" width="12.83203125" customWidth="1"/>
    <col min="2839" max="2839" width="14.5" customWidth="1"/>
    <col min="2840" max="2840" width="13.83203125" customWidth="1"/>
    <col min="2841" max="2841" width="17.5" customWidth="1"/>
    <col min="2842" max="2842" width="16.33203125" customWidth="1"/>
    <col min="2843" max="2843" width="20.5" customWidth="1"/>
    <col min="2844" max="2844" width="29.1640625" bestFit="1" customWidth="1"/>
    <col min="2845" max="2845" width="29.33203125" bestFit="1" customWidth="1"/>
    <col min="2846" max="2846" width="14.5" bestFit="1" customWidth="1"/>
    <col min="2847" max="2847" width="16.5" bestFit="1" customWidth="1"/>
    <col min="2848" max="2848" width="29.1640625" bestFit="1" customWidth="1"/>
    <col min="2849" max="2849" width="30.5" bestFit="1" customWidth="1"/>
    <col min="2850" max="2850" width="14.5" bestFit="1" customWidth="1"/>
    <col min="2851" max="2851" width="16.5" bestFit="1" customWidth="1"/>
    <col min="2852" max="2852" width="29.1640625" bestFit="1" customWidth="1"/>
    <col min="2853" max="2853" width="30.5" bestFit="1" customWidth="1"/>
    <col min="2854" max="2854" width="14.5" bestFit="1" customWidth="1"/>
    <col min="2855" max="2855" width="16.5" bestFit="1" customWidth="1"/>
    <col min="2856" max="2856" width="29.1640625" bestFit="1" customWidth="1"/>
    <col min="2857" max="2857" width="29.33203125" bestFit="1" customWidth="1"/>
    <col min="2858" max="2858" width="14.5" bestFit="1" customWidth="1"/>
    <col min="2859" max="2859" width="16.5" bestFit="1" customWidth="1"/>
    <col min="2860" max="2860" width="29.1640625" bestFit="1" customWidth="1"/>
    <col min="2861" max="2861" width="29.33203125" bestFit="1" customWidth="1"/>
    <col min="2862" max="3072" width="8.83203125" customWidth="1"/>
    <col min="3073" max="3073" width="13.1640625" customWidth="1"/>
    <col min="3074" max="3074" width="14.33203125" customWidth="1"/>
    <col min="3075" max="3075" width="10.5" customWidth="1"/>
    <col min="3076" max="3076" width="9.6640625" customWidth="1"/>
    <col min="3077" max="3077" width="12.5" customWidth="1"/>
    <col min="3078" max="3078" width="19.83203125" customWidth="1"/>
    <col min="3079" max="3080" width="12.5" customWidth="1"/>
    <col min="3081" max="3081" width="11" customWidth="1"/>
    <col min="3082" max="3082" width="14.5" customWidth="1"/>
    <col min="3083" max="3083" width="11" customWidth="1"/>
    <col min="3084" max="3084" width="8.83203125" customWidth="1"/>
    <col min="3085" max="3085" width="9.5" customWidth="1"/>
    <col min="3086" max="3086" width="16.5" customWidth="1"/>
    <col min="3087" max="3087" width="20.33203125" bestFit="1" customWidth="1"/>
    <col min="3088" max="3088" width="25.33203125" bestFit="1" customWidth="1"/>
    <col min="3089" max="3089" width="23.33203125" bestFit="1" customWidth="1"/>
    <col min="3090" max="3090" width="18.1640625" bestFit="1" customWidth="1"/>
    <col min="3091" max="3091" width="18.6640625" bestFit="1" customWidth="1"/>
    <col min="3092" max="3092" width="16.83203125" bestFit="1" customWidth="1"/>
    <col min="3093" max="3093" width="10.5" customWidth="1"/>
    <col min="3094" max="3094" width="12.83203125" customWidth="1"/>
    <col min="3095" max="3095" width="14.5" customWidth="1"/>
    <col min="3096" max="3096" width="13.83203125" customWidth="1"/>
    <col min="3097" max="3097" width="17.5" customWidth="1"/>
    <col min="3098" max="3098" width="16.33203125" customWidth="1"/>
    <col min="3099" max="3099" width="20.5" customWidth="1"/>
    <col min="3100" max="3100" width="29.1640625" bestFit="1" customWidth="1"/>
    <col min="3101" max="3101" width="29.33203125" bestFit="1" customWidth="1"/>
    <col min="3102" max="3102" width="14.5" bestFit="1" customWidth="1"/>
    <col min="3103" max="3103" width="16.5" bestFit="1" customWidth="1"/>
    <col min="3104" max="3104" width="29.1640625" bestFit="1" customWidth="1"/>
    <col min="3105" max="3105" width="30.5" bestFit="1" customWidth="1"/>
    <col min="3106" max="3106" width="14.5" bestFit="1" customWidth="1"/>
    <col min="3107" max="3107" width="16.5" bestFit="1" customWidth="1"/>
    <col min="3108" max="3108" width="29.1640625" bestFit="1" customWidth="1"/>
    <col min="3109" max="3109" width="30.5" bestFit="1" customWidth="1"/>
    <col min="3110" max="3110" width="14.5" bestFit="1" customWidth="1"/>
    <col min="3111" max="3111" width="16.5" bestFit="1" customWidth="1"/>
    <col min="3112" max="3112" width="29.1640625" bestFit="1" customWidth="1"/>
    <col min="3113" max="3113" width="29.33203125" bestFit="1" customWidth="1"/>
    <col min="3114" max="3114" width="14.5" bestFit="1" customWidth="1"/>
    <col min="3115" max="3115" width="16.5" bestFit="1" customWidth="1"/>
    <col min="3116" max="3116" width="29.1640625" bestFit="1" customWidth="1"/>
    <col min="3117" max="3117" width="29.33203125" bestFit="1" customWidth="1"/>
    <col min="3118" max="3328" width="8.83203125" customWidth="1"/>
    <col min="3329" max="3329" width="13.1640625" customWidth="1"/>
    <col min="3330" max="3330" width="14.33203125" customWidth="1"/>
    <col min="3331" max="3331" width="10.5" customWidth="1"/>
    <col min="3332" max="3332" width="9.6640625" customWidth="1"/>
    <col min="3333" max="3333" width="12.5" customWidth="1"/>
    <col min="3334" max="3334" width="19.83203125" customWidth="1"/>
    <col min="3335" max="3336" width="12.5" customWidth="1"/>
    <col min="3337" max="3337" width="11" customWidth="1"/>
    <col min="3338" max="3338" width="14.5" customWidth="1"/>
    <col min="3339" max="3339" width="11" customWidth="1"/>
    <col min="3340" max="3340" width="8.83203125" customWidth="1"/>
    <col min="3341" max="3341" width="9.5" customWidth="1"/>
    <col min="3342" max="3342" width="16.5" customWidth="1"/>
    <col min="3343" max="3343" width="20.33203125" bestFit="1" customWidth="1"/>
    <col min="3344" max="3344" width="25.33203125" bestFit="1" customWidth="1"/>
    <col min="3345" max="3345" width="23.33203125" bestFit="1" customWidth="1"/>
    <col min="3346" max="3346" width="18.1640625" bestFit="1" customWidth="1"/>
    <col min="3347" max="3347" width="18.6640625" bestFit="1" customWidth="1"/>
    <col min="3348" max="3348" width="16.83203125" bestFit="1" customWidth="1"/>
    <col min="3349" max="3349" width="10.5" customWidth="1"/>
    <col min="3350" max="3350" width="12.83203125" customWidth="1"/>
    <col min="3351" max="3351" width="14.5" customWidth="1"/>
    <col min="3352" max="3352" width="13.83203125" customWidth="1"/>
    <col min="3353" max="3353" width="17.5" customWidth="1"/>
    <col min="3354" max="3354" width="16.33203125" customWidth="1"/>
    <col min="3355" max="3355" width="20.5" customWidth="1"/>
    <col min="3356" max="3356" width="29.1640625" bestFit="1" customWidth="1"/>
    <col min="3357" max="3357" width="29.33203125" bestFit="1" customWidth="1"/>
    <col min="3358" max="3358" width="14.5" bestFit="1" customWidth="1"/>
    <col min="3359" max="3359" width="16.5" bestFit="1" customWidth="1"/>
    <col min="3360" max="3360" width="29.1640625" bestFit="1" customWidth="1"/>
    <col min="3361" max="3361" width="30.5" bestFit="1" customWidth="1"/>
    <col min="3362" max="3362" width="14.5" bestFit="1" customWidth="1"/>
    <col min="3363" max="3363" width="16.5" bestFit="1" customWidth="1"/>
    <col min="3364" max="3364" width="29.1640625" bestFit="1" customWidth="1"/>
    <col min="3365" max="3365" width="30.5" bestFit="1" customWidth="1"/>
    <col min="3366" max="3366" width="14.5" bestFit="1" customWidth="1"/>
    <col min="3367" max="3367" width="16.5" bestFit="1" customWidth="1"/>
    <col min="3368" max="3368" width="29.1640625" bestFit="1" customWidth="1"/>
    <col min="3369" max="3369" width="29.33203125" bestFit="1" customWidth="1"/>
    <col min="3370" max="3370" width="14.5" bestFit="1" customWidth="1"/>
    <col min="3371" max="3371" width="16.5" bestFit="1" customWidth="1"/>
    <col min="3372" max="3372" width="29.1640625" bestFit="1" customWidth="1"/>
    <col min="3373" max="3373" width="29.33203125" bestFit="1" customWidth="1"/>
    <col min="3374" max="3584" width="8.83203125" customWidth="1"/>
    <col min="3585" max="3585" width="13.1640625" customWidth="1"/>
    <col min="3586" max="3586" width="14.33203125" customWidth="1"/>
    <col min="3587" max="3587" width="10.5" customWidth="1"/>
    <col min="3588" max="3588" width="9.6640625" customWidth="1"/>
    <col min="3589" max="3589" width="12.5" customWidth="1"/>
    <col min="3590" max="3590" width="19.83203125" customWidth="1"/>
    <col min="3591" max="3592" width="12.5" customWidth="1"/>
    <col min="3593" max="3593" width="11" customWidth="1"/>
    <col min="3594" max="3594" width="14.5" customWidth="1"/>
    <col min="3595" max="3595" width="11" customWidth="1"/>
    <col min="3596" max="3596" width="8.83203125" customWidth="1"/>
    <col min="3597" max="3597" width="9.5" customWidth="1"/>
    <col min="3598" max="3598" width="16.5" customWidth="1"/>
    <col min="3599" max="3599" width="20.33203125" bestFit="1" customWidth="1"/>
    <col min="3600" max="3600" width="25.33203125" bestFit="1" customWidth="1"/>
    <col min="3601" max="3601" width="23.33203125" bestFit="1" customWidth="1"/>
    <col min="3602" max="3602" width="18.1640625" bestFit="1" customWidth="1"/>
    <col min="3603" max="3603" width="18.6640625" bestFit="1" customWidth="1"/>
    <col min="3604" max="3604" width="16.83203125" bestFit="1" customWidth="1"/>
    <col min="3605" max="3605" width="10.5" customWidth="1"/>
    <col min="3606" max="3606" width="12.83203125" customWidth="1"/>
    <col min="3607" max="3607" width="14.5" customWidth="1"/>
    <col min="3608" max="3608" width="13.83203125" customWidth="1"/>
    <col min="3609" max="3609" width="17.5" customWidth="1"/>
    <col min="3610" max="3610" width="16.33203125" customWidth="1"/>
    <col min="3611" max="3611" width="20.5" customWidth="1"/>
    <col min="3612" max="3612" width="29.1640625" bestFit="1" customWidth="1"/>
    <col min="3613" max="3613" width="29.33203125" bestFit="1" customWidth="1"/>
    <col min="3614" max="3614" width="14.5" bestFit="1" customWidth="1"/>
    <col min="3615" max="3615" width="16.5" bestFit="1" customWidth="1"/>
    <col min="3616" max="3616" width="29.1640625" bestFit="1" customWidth="1"/>
    <col min="3617" max="3617" width="30.5" bestFit="1" customWidth="1"/>
    <col min="3618" max="3618" width="14.5" bestFit="1" customWidth="1"/>
    <col min="3619" max="3619" width="16.5" bestFit="1" customWidth="1"/>
    <col min="3620" max="3620" width="29.1640625" bestFit="1" customWidth="1"/>
    <col min="3621" max="3621" width="30.5" bestFit="1" customWidth="1"/>
    <col min="3622" max="3622" width="14.5" bestFit="1" customWidth="1"/>
    <col min="3623" max="3623" width="16.5" bestFit="1" customWidth="1"/>
    <col min="3624" max="3624" width="29.1640625" bestFit="1" customWidth="1"/>
    <col min="3625" max="3625" width="29.33203125" bestFit="1" customWidth="1"/>
    <col min="3626" max="3626" width="14.5" bestFit="1" customWidth="1"/>
    <col min="3627" max="3627" width="16.5" bestFit="1" customWidth="1"/>
    <col min="3628" max="3628" width="29.1640625" bestFit="1" customWidth="1"/>
    <col min="3629" max="3629" width="29.33203125" bestFit="1" customWidth="1"/>
    <col min="3630" max="3840" width="8.83203125" customWidth="1"/>
    <col min="3841" max="3841" width="13.1640625" customWidth="1"/>
    <col min="3842" max="3842" width="14.33203125" customWidth="1"/>
    <col min="3843" max="3843" width="10.5" customWidth="1"/>
    <col min="3844" max="3844" width="9.6640625" customWidth="1"/>
    <col min="3845" max="3845" width="12.5" customWidth="1"/>
    <col min="3846" max="3846" width="19.83203125" customWidth="1"/>
    <col min="3847" max="3848" width="12.5" customWidth="1"/>
    <col min="3849" max="3849" width="11" customWidth="1"/>
    <col min="3850" max="3850" width="14.5" customWidth="1"/>
    <col min="3851" max="3851" width="11" customWidth="1"/>
    <col min="3852" max="3852" width="8.83203125" customWidth="1"/>
    <col min="3853" max="3853" width="9.5" customWidth="1"/>
    <col min="3854" max="3854" width="16.5" customWidth="1"/>
    <col min="3855" max="3855" width="20.33203125" bestFit="1" customWidth="1"/>
    <col min="3856" max="3856" width="25.33203125" bestFit="1" customWidth="1"/>
    <col min="3857" max="3857" width="23.33203125" bestFit="1" customWidth="1"/>
    <col min="3858" max="3858" width="18.1640625" bestFit="1" customWidth="1"/>
    <col min="3859" max="3859" width="18.6640625" bestFit="1" customWidth="1"/>
    <col min="3860" max="3860" width="16.83203125" bestFit="1" customWidth="1"/>
    <col min="3861" max="3861" width="10.5" customWidth="1"/>
    <col min="3862" max="3862" width="12.83203125" customWidth="1"/>
    <col min="3863" max="3863" width="14.5" customWidth="1"/>
    <col min="3864" max="3864" width="13.83203125" customWidth="1"/>
    <col min="3865" max="3865" width="17.5" customWidth="1"/>
    <col min="3866" max="3866" width="16.33203125" customWidth="1"/>
    <col min="3867" max="3867" width="20.5" customWidth="1"/>
    <col min="3868" max="3868" width="29.1640625" bestFit="1" customWidth="1"/>
    <col min="3869" max="3869" width="29.33203125" bestFit="1" customWidth="1"/>
    <col min="3870" max="3870" width="14.5" bestFit="1" customWidth="1"/>
    <col min="3871" max="3871" width="16.5" bestFit="1" customWidth="1"/>
    <col min="3872" max="3872" width="29.1640625" bestFit="1" customWidth="1"/>
    <col min="3873" max="3873" width="30.5" bestFit="1" customWidth="1"/>
    <col min="3874" max="3874" width="14.5" bestFit="1" customWidth="1"/>
    <col min="3875" max="3875" width="16.5" bestFit="1" customWidth="1"/>
    <col min="3876" max="3876" width="29.1640625" bestFit="1" customWidth="1"/>
    <col min="3877" max="3877" width="30.5" bestFit="1" customWidth="1"/>
    <col min="3878" max="3878" width="14.5" bestFit="1" customWidth="1"/>
    <col min="3879" max="3879" width="16.5" bestFit="1" customWidth="1"/>
    <col min="3880" max="3880" width="29.1640625" bestFit="1" customWidth="1"/>
    <col min="3881" max="3881" width="29.33203125" bestFit="1" customWidth="1"/>
    <col min="3882" max="3882" width="14.5" bestFit="1" customWidth="1"/>
    <col min="3883" max="3883" width="16.5" bestFit="1" customWidth="1"/>
    <col min="3884" max="3884" width="29.1640625" bestFit="1" customWidth="1"/>
    <col min="3885" max="3885" width="29.33203125" bestFit="1" customWidth="1"/>
    <col min="3886" max="4096" width="8.83203125" customWidth="1"/>
    <col min="4097" max="4097" width="13.1640625" customWidth="1"/>
    <col min="4098" max="4098" width="14.33203125" customWidth="1"/>
    <col min="4099" max="4099" width="10.5" customWidth="1"/>
    <col min="4100" max="4100" width="9.6640625" customWidth="1"/>
    <col min="4101" max="4101" width="12.5" customWidth="1"/>
    <col min="4102" max="4102" width="19.83203125" customWidth="1"/>
    <col min="4103" max="4104" width="12.5" customWidth="1"/>
    <col min="4105" max="4105" width="11" customWidth="1"/>
    <col min="4106" max="4106" width="14.5" customWidth="1"/>
    <col min="4107" max="4107" width="11" customWidth="1"/>
    <col min="4108" max="4108" width="8.83203125" customWidth="1"/>
    <col min="4109" max="4109" width="9.5" customWidth="1"/>
    <col min="4110" max="4110" width="16.5" customWidth="1"/>
    <col min="4111" max="4111" width="20.33203125" bestFit="1" customWidth="1"/>
    <col min="4112" max="4112" width="25.33203125" bestFit="1" customWidth="1"/>
    <col min="4113" max="4113" width="23.33203125" bestFit="1" customWidth="1"/>
    <col min="4114" max="4114" width="18.1640625" bestFit="1" customWidth="1"/>
    <col min="4115" max="4115" width="18.6640625" bestFit="1" customWidth="1"/>
    <col min="4116" max="4116" width="16.83203125" bestFit="1" customWidth="1"/>
    <col min="4117" max="4117" width="10.5" customWidth="1"/>
    <col min="4118" max="4118" width="12.83203125" customWidth="1"/>
    <col min="4119" max="4119" width="14.5" customWidth="1"/>
    <col min="4120" max="4120" width="13.83203125" customWidth="1"/>
    <col min="4121" max="4121" width="17.5" customWidth="1"/>
    <col min="4122" max="4122" width="16.33203125" customWidth="1"/>
    <col min="4123" max="4123" width="20.5" customWidth="1"/>
    <col min="4124" max="4124" width="29.1640625" bestFit="1" customWidth="1"/>
    <col min="4125" max="4125" width="29.33203125" bestFit="1" customWidth="1"/>
    <col min="4126" max="4126" width="14.5" bestFit="1" customWidth="1"/>
    <col min="4127" max="4127" width="16.5" bestFit="1" customWidth="1"/>
    <col min="4128" max="4128" width="29.1640625" bestFit="1" customWidth="1"/>
    <col min="4129" max="4129" width="30.5" bestFit="1" customWidth="1"/>
    <col min="4130" max="4130" width="14.5" bestFit="1" customWidth="1"/>
    <col min="4131" max="4131" width="16.5" bestFit="1" customWidth="1"/>
    <col min="4132" max="4132" width="29.1640625" bestFit="1" customWidth="1"/>
    <col min="4133" max="4133" width="30.5" bestFit="1" customWidth="1"/>
    <col min="4134" max="4134" width="14.5" bestFit="1" customWidth="1"/>
    <col min="4135" max="4135" width="16.5" bestFit="1" customWidth="1"/>
    <col min="4136" max="4136" width="29.1640625" bestFit="1" customWidth="1"/>
    <col min="4137" max="4137" width="29.33203125" bestFit="1" customWidth="1"/>
    <col min="4138" max="4138" width="14.5" bestFit="1" customWidth="1"/>
    <col min="4139" max="4139" width="16.5" bestFit="1" customWidth="1"/>
    <col min="4140" max="4140" width="29.1640625" bestFit="1" customWidth="1"/>
    <col min="4141" max="4141" width="29.33203125" bestFit="1" customWidth="1"/>
    <col min="4142" max="4352" width="8.83203125" customWidth="1"/>
    <col min="4353" max="4353" width="13.1640625" customWidth="1"/>
    <col min="4354" max="4354" width="14.33203125" customWidth="1"/>
    <col min="4355" max="4355" width="10.5" customWidth="1"/>
    <col min="4356" max="4356" width="9.6640625" customWidth="1"/>
    <col min="4357" max="4357" width="12.5" customWidth="1"/>
    <col min="4358" max="4358" width="19.83203125" customWidth="1"/>
    <col min="4359" max="4360" width="12.5" customWidth="1"/>
    <col min="4361" max="4361" width="11" customWidth="1"/>
    <col min="4362" max="4362" width="14.5" customWidth="1"/>
    <col min="4363" max="4363" width="11" customWidth="1"/>
    <col min="4364" max="4364" width="8.83203125" customWidth="1"/>
    <col min="4365" max="4365" width="9.5" customWidth="1"/>
    <col min="4366" max="4366" width="16.5" customWidth="1"/>
    <col min="4367" max="4367" width="20.33203125" bestFit="1" customWidth="1"/>
    <col min="4368" max="4368" width="25.33203125" bestFit="1" customWidth="1"/>
    <col min="4369" max="4369" width="23.33203125" bestFit="1" customWidth="1"/>
    <col min="4370" max="4370" width="18.1640625" bestFit="1" customWidth="1"/>
    <col min="4371" max="4371" width="18.6640625" bestFit="1" customWidth="1"/>
    <col min="4372" max="4372" width="16.83203125" bestFit="1" customWidth="1"/>
    <col min="4373" max="4373" width="10.5" customWidth="1"/>
    <col min="4374" max="4374" width="12.83203125" customWidth="1"/>
    <col min="4375" max="4375" width="14.5" customWidth="1"/>
    <col min="4376" max="4376" width="13.83203125" customWidth="1"/>
    <col min="4377" max="4377" width="17.5" customWidth="1"/>
    <col min="4378" max="4378" width="16.33203125" customWidth="1"/>
    <col min="4379" max="4379" width="20.5" customWidth="1"/>
    <col min="4380" max="4380" width="29.1640625" bestFit="1" customWidth="1"/>
    <col min="4381" max="4381" width="29.33203125" bestFit="1" customWidth="1"/>
    <col min="4382" max="4382" width="14.5" bestFit="1" customWidth="1"/>
    <col min="4383" max="4383" width="16.5" bestFit="1" customWidth="1"/>
    <col min="4384" max="4384" width="29.1640625" bestFit="1" customWidth="1"/>
    <col min="4385" max="4385" width="30.5" bestFit="1" customWidth="1"/>
    <col min="4386" max="4386" width="14.5" bestFit="1" customWidth="1"/>
    <col min="4387" max="4387" width="16.5" bestFit="1" customWidth="1"/>
    <col min="4388" max="4388" width="29.1640625" bestFit="1" customWidth="1"/>
    <col min="4389" max="4389" width="30.5" bestFit="1" customWidth="1"/>
    <col min="4390" max="4390" width="14.5" bestFit="1" customWidth="1"/>
    <col min="4391" max="4391" width="16.5" bestFit="1" customWidth="1"/>
    <col min="4392" max="4392" width="29.1640625" bestFit="1" customWidth="1"/>
    <col min="4393" max="4393" width="29.33203125" bestFit="1" customWidth="1"/>
    <col min="4394" max="4394" width="14.5" bestFit="1" customWidth="1"/>
    <col min="4395" max="4395" width="16.5" bestFit="1" customWidth="1"/>
    <col min="4396" max="4396" width="29.1640625" bestFit="1" customWidth="1"/>
    <col min="4397" max="4397" width="29.33203125" bestFit="1" customWidth="1"/>
    <col min="4398" max="4608" width="8.83203125" customWidth="1"/>
    <col min="4609" max="4609" width="13.1640625" customWidth="1"/>
    <col min="4610" max="4610" width="14.33203125" customWidth="1"/>
    <col min="4611" max="4611" width="10.5" customWidth="1"/>
    <col min="4612" max="4612" width="9.6640625" customWidth="1"/>
    <col min="4613" max="4613" width="12.5" customWidth="1"/>
    <col min="4614" max="4614" width="19.83203125" customWidth="1"/>
    <col min="4615" max="4616" width="12.5" customWidth="1"/>
    <col min="4617" max="4617" width="11" customWidth="1"/>
    <col min="4618" max="4618" width="14.5" customWidth="1"/>
    <col min="4619" max="4619" width="11" customWidth="1"/>
    <col min="4620" max="4620" width="8.83203125" customWidth="1"/>
    <col min="4621" max="4621" width="9.5" customWidth="1"/>
    <col min="4622" max="4622" width="16.5" customWidth="1"/>
    <col min="4623" max="4623" width="20.33203125" bestFit="1" customWidth="1"/>
    <col min="4624" max="4624" width="25.33203125" bestFit="1" customWidth="1"/>
    <col min="4625" max="4625" width="23.33203125" bestFit="1" customWidth="1"/>
    <col min="4626" max="4626" width="18.1640625" bestFit="1" customWidth="1"/>
    <col min="4627" max="4627" width="18.6640625" bestFit="1" customWidth="1"/>
    <col min="4628" max="4628" width="16.83203125" bestFit="1" customWidth="1"/>
    <col min="4629" max="4629" width="10.5" customWidth="1"/>
    <col min="4630" max="4630" width="12.83203125" customWidth="1"/>
    <col min="4631" max="4631" width="14.5" customWidth="1"/>
    <col min="4632" max="4632" width="13.83203125" customWidth="1"/>
    <col min="4633" max="4633" width="17.5" customWidth="1"/>
    <col min="4634" max="4634" width="16.33203125" customWidth="1"/>
    <col min="4635" max="4635" width="20.5" customWidth="1"/>
    <col min="4636" max="4636" width="29.1640625" bestFit="1" customWidth="1"/>
    <col min="4637" max="4637" width="29.33203125" bestFit="1" customWidth="1"/>
    <col min="4638" max="4638" width="14.5" bestFit="1" customWidth="1"/>
    <col min="4639" max="4639" width="16.5" bestFit="1" customWidth="1"/>
    <col min="4640" max="4640" width="29.1640625" bestFit="1" customWidth="1"/>
    <col min="4641" max="4641" width="30.5" bestFit="1" customWidth="1"/>
    <col min="4642" max="4642" width="14.5" bestFit="1" customWidth="1"/>
    <col min="4643" max="4643" width="16.5" bestFit="1" customWidth="1"/>
    <col min="4644" max="4644" width="29.1640625" bestFit="1" customWidth="1"/>
    <col min="4645" max="4645" width="30.5" bestFit="1" customWidth="1"/>
    <col min="4646" max="4646" width="14.5" bestFit="1" customWidth="1"/>
    <col min="4647" max="4647" width="16.5" bestFit="1" customWidth="1"/>
    <col min="4648" max="4648" width="29.1640625" bestFit="1" customWidth="1"/>
    <col min="4649" max="4649" width="29.33203125" bestFit="1" customWidth="1"/>
    <col min="4650" max="4650" width="14.5" bestFit="1" customWidth="1"/>
    <col min="4651" max="4651" width="16.5" bestFit="1" customWidth="1"/>
    <col min="4652" max="4652" width="29.1640625" bestFit="1" customWidth="1"/>
    <col min="4653" max="4653" width="29.33203125" bestFit="1" customWidth="1"/>
    <col min="4654" max="4864" width="8.83203125" customWidth="1"/>
    <col min="4865" max="4865" width="13.1640625" customWidth="1"/>
    <col min="4866" max="4866" width="14.33203125" customWidth="1"/>
    <col min="4867" max="4867" width="10.5" customWidth="1"/>
    <col min="4868" max="4868" width="9.6640625" customWidth="1"/>
    <col min="4869" max="4869" width="12.5" customWidth="1"/>
    <col min="4870" max="4870" width="19.83203125" customWidth="1"/>
    <col min="4871" max="4872" width="12.5" customWidth="1"/>
    <col min="4873" max="4873" width="11" customWidth="1"/>
    <col min="4874" max="4874" width="14.5" customWidth="1"/>
    <col min="4875" max="4875" width="11" customWidth="1"/>
    <col min="4876" max="4876" width="8.83203125" customWidth="1"/>
    <col min="4877" max="4877" width="9.5" customWidth="1"/>
    <col min="4878" max="4878" width="16.5" customWidth="1"/>
    <col min="4879" max="4879" width="20.33203125" bestFit="1" customWidth="1"/>
    <col min="4880" max="4880" width="25.33203125" bestFit="1" customWidth="1"/>
    <col min="4881" max="4881" width="23.33203125" bestFit="1" customWidth="1"/>
    <col min="4882" max="4882" width="18.1640625" bestFit="1" customWidth="1"/>
    <col min="4883" max="4883" width="18.6640625" bestFit="1" customWidth="1"/>
    <col min="4884" max="4884" width="16.83203125" bestFit="1" customWidth="1"/>
    <col min="4885" max="4885" width="10.5" customWidth="1"/>
    <col min="4886" max="4886" width="12.83203125" customWidth="1"/>
    <col min="4887" max="4887" width="14.5" customWidth="1"/>
    <col min="4888" max="4888" width="13.83203125" customWidth="1"/>
    <col min="4889" max="4889" width="17.5" customWidth="1"/>
    <col min="4890" max="4890" width="16.33203125" customWidth="1"/>
    <col min="4891" max="4891" width="20.5" customWidth="1"/>
    <col min="4892" max="4892" width="29.1640625" bestFit="1" customWidth="1"/>
    <col min="4893" max="4893" width="29.33203125" bestFit="1" customWidth="1"/>
    <col min="4894" max="4894" width="14.5" bestFit="1" customWidth="1"/>
    <col min="4895" max="4895" width="16.5" bestFit="1" customWidth="1"/>
    <col min="4896" max="4896" width="29.1640625" bestFit="1" customWidth="1"/>
    <col min="4897" max="4897" width="30.5" bestFit="1" customWidth="1"/>
    <col min="4898" max="4898" width="14.5" bestFit="1" customWidth="1"/>
    <col min="4899" max="4899" width="16.5" bestFit="1" customWidth="1"/>
    <col min="4900" max="4900" width="29.1640625" bestFit="1" customWidth="1"/>
    <col min="4901" max="4901" width="30.5" bestFit="1" customWidth="1"/>
    <col min="4902" max="4902" width="14.5" bestFit="1" customWidth="1"/>
    <col min="4903" max="4903" width="16.5" bestFit="1" customWidth="1"/>
    <col min="4904" max="4904" width="29.1640625" bestFit="1" customWidth="1"/>
    <col min="4905" max="4905" width="29.33203125" bestFit="1" customWidth="1"/>
    <col min="4906" max="4906" width="14.5" bestFit="1" customWidth="1"/>
    <col min="4907" max="4907" width="16.5" bestFit="1" customWidth="1"/>
    <col min="4908" max="4908" width="29.1640625" bestFit="1" customWidth="1"/>
    <col min="4909" max="4909" width="29.33203125" bestFit="1" customWidth="1"/>
    <col min="4910" max="5120" width="8.83203125" customWidth="1"/>
    <col min="5121" max="5121" width="13.1640625" customWidth="1"/>
    <col min="5122" max="5122" width="14.33203125" customWidth="1"/>
    <col min="5123" max="5123" width="10.5" customWidth="1"/>
    <col min="5124" max="5124" width="9.6640625" customWidth="1"/>
    <col min="5125" max="5125" width="12.5" customWidth="1"/>
    <col min="5126" max="5126" width="19.83203125" customWidth="1"/>
    <col min="5127" max="5128" width="12.5" customWidth="1"/>
    <col min="5129" max="5129" width="11" customWidth="1"/>
    <col min="5130" max="5130" width="14.5" customWidth="1"/>
    <col min="5131" max="5131" width="11" customWidth="1"/>
    <col min="5132" max="5132" width="8.83203125" customWidth="1"/>
    <col min="5133" max="5133" width="9.5" customWidth="1"/>
    <col min="5134" max="5134" width="16.5" customWidth="1"/>
    <col min="5135" max="5135" width="20.33203125" bestFit="1" customWidth="1"/>
    <col min="5136" max="5136" width="25.33203125" bestFit="1" customWidth="1"/>
    <col min="5137" max="5137" width="23.33203125" bestFit="1" customWidth="1"/>
    <col min="5138" max="5138" width="18.1640625" bestFit="1" customWidth="1"/>
    <col min="5139" max="5139" width="18.6640625" bestFit="1" customWidth="1"/>
    <col min="5140" max="5140" width="16.83203125" bestFit="1" customWidth="1"/>
    <col min="5141" max="5141" width="10.5" customWidth="1"/>
    <col min="5142" max="5142" width="12.83203125" customWidth="1"/>
    <col min="5143" max="5143" width="14.5" customWidth="1"/>
    <col min="5144" max="5144" width="13.83203125" customWidth="1"/>
    <col min="5145" max="5145" width="17.5" customWidth="1"/>
    <col min="5146" max="5146" width="16.33203125" customWidth="1"/>
    <col min="5147" max="5147" width="20.5" customWidth="1"/>
    <col min="5148" max="5148" width="29.1640625" bestFit="1" customWidth="1"/>
    <col min="5149" max="5149" width="29.33203125" bestFit="1" customWidth="1"/>
    <col min="5150" max="5150" width="14.5" bestFit="1" customWidth="1"/>
    <col min="5151" max="5151" width="16.5" bestFit="1" customWidth="1"/>
    <col min="5152" max="5152" width="29.1640625" bestFit="1" customWidth="1"/>
    <col min="5153" max="5153" width="30.5" bestFit="1" customWidth="1"/>
    <col min="5154" max="5154" width="14.5" bestFit="1" customWidth="1"/>
    <col min="5155" max="5155" width="16.5" bestFit="1" customWidth="1"/>
    <col min="5156" max="5156" width="29.1640625" bestFit="1" customWidth="1"/>
    <col min="5157" max="5157" width="30.5" bestFit="1" customWidth="1"/>
    <col min="5158" max="5158" width="14.5" bestFit="1" customWidth="1"/>
    <col min="5159" max="5159" width="16.5" bestFit="1" customWidth="1"/>
    <col min="5160" max="5160" width="29.1640625" bestFit="1" customWidth="1"/>
    <col min="5161" max="5161" width="29.33203125" bestFit="1" customWidth="1"/>
    <col min="5162" max="5162" width="14.5" bestFit="1" customWidth="1"/>
    <col min="5163" max="5163" width="16.5" bestFit="1" customWidth="1"/>
    <col min="5164" max="5164" width="29.1640625" bestFit="1" customWidth="1"/>
    <col min="5165" max="5165" width="29.33203125" bestFit="1" customWidth="1"/>
    <col min="5166" max="5376" width="8.83203125" customWidth="1"/>
    <col min="5377" max="5377" width="13.1640625" customWidth="1"/>
    <col min="5378" max="5378" width="14.33203125" customWidth="1"/>
    <col min="5379" max="5379" width="10.5" customWidth="1"/>
    <col min="5380" max="5380" width="9.6640625" customWidth="1"/>
    <col min="5381" max="5381" width="12.5" customWidth="1"/>
    <col min="5382" max="5382" width="19.83203125" customWidth="1"/>
    <col min="5383" max="5384" width="12.5" customWidth="1"/>
    <col min="5385" max="5385" width="11" customWidth="1"/>
    <col min="5386" max="5386" width="14.5" customWidth="1"/>
    <col min="5387" max="5387" width="11" customWidth="1"/>
    <col min="5388" max="5388" width="8.83203125" customWidth="1"/>
    <col min="5389" max="5389" width="9.5" customWidth="1"/>
    <col min="5390" max="5390" width="16.5" customWidth="1"/>
    <col min="5391" max="5391" width="20.33203125" bestFit="1" customWidth="1"/>
    <col min="5392" max="5392" width="25.33203125" bestFit="1" customWidth="1"/>
    <col min="5393" max="5393" width="23.33203125" bestFit="1" customWidth="1"/>
    <col min="5394" max="5394" width="18.1640625" bestFit="1" customWidth="1"/>
    <col min="5395" max="5395" width="18.6640625" bestFit="1" customWidth="1"/>
    <col min="5396" max="5396" width="16.83203125" bestFit="1" customWidth="1"/>
    <col min="5397" max="5397" width="10.5" customWidth="1"/>
    <col min="5398" max="5398" width="12.83203125" customWidth="1"/>
    <col min="5399" max="5399" width="14.5" customWidth="1"/>
    <col min="5400" max="5400" width="13.83203125" customWidth="1"/>
    <col min="5401" max="5401" width="17.5" customWidth="1"/>
    <col min="5402" max="5402" width="16.33203125" customWidth="1"/>
    <col min="5403" max="5403" width="20.5" customWidth="1"/>
    <col min="5404" max="5404" width="29.1640625" bestFit="1" customWidth="1"/>
    <col min="5405" max="5405" width="29.33203125" bestFit="1" customWidth="1"/>
    <col min="5406" max="5406" width="14.5" bestFit="1" customWidth="1"/>
    <col min="5407" max="5407" width="16.5" bestFit="1" customWidth="1"/>
    <col min="5408" max="5408" width="29.1640625" bestFit="1" customWidth="1"/>
    <col min="5409" max="5409" width="30.5" bestFit="1" customWidth="1"/>
    <col min="5410" max="5410" width="14.5" bestFit="1" customWidth="1"/>
    <col min="5411" max="5411" width="16.5" bestFit="1" customWidth="1"/>
    <col min="5412" max="5412" width="29.1640625" bestFit="1" customWidth="1"/>
    <col min="5413" max="5413" width="30.5" bestFit="1" customWidth="1"/>
    <col min="5414" max="5414" width="14.5" bestFit="1" customWidth="1"/>
    <col min="5415" max="5415" width="16.5" bestFit="1" customWidth="1"/>
    <col min="5416" max="5416" width="29.1640625" bestFit="1" customWidth="1"/>
    <col min="5417" max="5417" width="29.33203125" bestFit="1" customWidth="1"/>
    <col min="5418" max="5418" width="14.5" bestFit="1" customWidth="1"/>
    <col min="5419" max="5419" width="16.5" bestFit="1" customWidth="1"/>
    <col min="5420" max="5420" width="29.1640625" bestFit="1" customWidth="1"/>
    <col min="5421" max="5421" width="29.33203125" bestFit="1" customWidth="1"/>
    <col min="5422" max="5632" width="8.83203125" customWidth="1"/>
    <col min="5633" max="5633" width="13.1640625" customWidth="1"/>
    <col min="5634" max="5634" width="14.33203125" customWidth="1"/>
    <col min="5635" max="5635" width="10.5" customWidth="1"/>
    <col min="5636" max="5636" width="9.6640625" customWidth="1"/>
    <col min="5637" max="5637" width="12.5" customWidth="1"/>
    <col min="5638" max="5638" width="19.83203125" customWidth="1"/>
    <col min="5639" max="5640" width="12.5" customWidth="1"/>
    <col min="5641" max="5641" width="11" customWidth="1"/>
    <col min="5642" max="5642" width="14.5" customWidth="1"/>
    <col min="5643" max="5643" width="11" customWidth="1"/>
    <col min="5644" max="5644" width="8.83203125" customWidth="1"/>
    <col min="5645" max="5645" width="9.5" customWidth="1"/>
    <col min="5646" max="5646" width="16.5" customWidth="1"/>
    <col min="5647" max="5647" width="20.33203125" bestFit="1" customWidth="1"/>
    <col min="5648" max="5648" width="25.33203125" bestFit="1" customWidth="1"/>
    <col min="5649" max="5649" width="23.33203125" bestFit="1" customWidth="1"/>
    <col min="5650" max="5650" width="18.1640625" bestFit="1" customWidth="1"/>
    <col min="5651" max="5651" width="18.6640625" bestFit="1" customWidth="1"/>
    <col min="5652" max="5652" width="16.83203125" bestFit="1" customWidth="1"/>
    <col min="5653" max="5653" width="10.5" customWidth="1"/>
    <col min="5654" max="5654" width="12.83203125" customWidth="1"/>
    <col min="5655" max="5655" width="14.5" customWidth="1"/>
    <col min="5656" max="5656" width="13.83203125" customWidth="1"/>
    <col min="5657" max="5657" width="17.5" customWidth="1"/>
    <col min="5658" max="5658" width="16.33203125" customWidth="1"/>
    <col min="5659" max="5659" width="20.5" customWidth="1"/>
    <col min="5660" max="5660" width="29.1640625" bestFit="1" customWidth="1"/>
    <col min="5661" max="5661" width="29.33203125" bestFit="1" customWidth="1"/>
    <col min="5662" max="5662" width="14.5" bestFit="1" customWidth="1"/>
    <col min="5663" max="5663" width="16.5" bestFit="1" customWidth="1"/>
    <col min="5664" max="5664" width="29.1640625" bestFit="1" customWidth="1"/>
    <col min="5665" max="5665" width="30.5" bestFit="1" customWidth="1"/>
    <col min="5666" max="5666" width="14.5" bestFit="1" customWidth="1"/>
    <col min="5667" max="5667" width="16.5" bestFit="1" customWidth="1"/>
    <col min="5668" max="5668" width="29.1640625" bestFit="1" customWidth="1"/>
    <col min="5669" max="5669" width="30.5" bestFit="1" customWidth="1"/>
    <col min="5670" max="5670" width="14.5" bestFit="1" customWidth="1"/>
    <col min="5671" max="5671" width="16.5" bestFit="1" customWidth="1"/>
    <col min="5672" max="5672" width="29.1640625" bestFit="1" customWidth="1"/>
    <col min="5673" max="5673" width="29.33203125" bestFit="1" customWidth="1"/>
    <col min="5674" max="5674" width="14.5" bestFit="1" customWidth="1"/>
    <col min="5675" max="5675" width="16.5" bestFit="1" customWidth="1"/>
    <col min="5676" max="5676" width="29.1640625" bestFit="1" customWidth="1"/>
    <col min="5677" max="5677" width="29.33203125" bestFit="1" customWidth="1"/>
    <col min="5678" max="5888" width="8.83203125" customWidth="1"/>
    <col min="5889" max="5889" width="13.1640625" customWidth="1"/>
    <col min="5890" max="5890" width="14.33203125" customWidth="1"/>
    <col min="5891" max="5891" width="10.5" customWidth="1"/>
    <col min="5892" max="5892" width="9.6640625" customWidth="1"/>
    <col min="5893" max="5893" width="12.5" customWidth="1"/>
    <col min="5894" max="5894" width="19.83203125" customWidth="1"/>
    <col min="5895" max="5896" width="12.5" customWidth="1"/>
    <col min="5897" max="5897" width="11" customWidth="1"/>
    <col min="5898" max="5898" width="14.5" customWidth="1"/>
    <col min="5899" max="5899" width="11" customWidth="1"/>
    <col min="5900" max="5900" width="8.83203125" customWidth="1"/>
    <col min="5901" max="5901" width="9.5" customWidth="1"/>
    <col min="5902" max="5902" width="16.5" customWidth="1"/>
    <col min="5903" max="5903" width="20.33203125" bestFit="1" customWidth="1"/>
    <col min="5904" max="5904" width="25.33203125" bestFit="1" customWidth="1"/>
    <col min="5905" max="5905" width="23.33203125" bestFit="1" customWidth="1"/>
    <col min="5906" max="5906" width="18.1640625" bestFit="1" customWidth="1"/>
    <col min="5907" max="5907" width="18.6640625" bestFit="1" customWidth="1"/>
    <col min="5908" max="5908" width="16.83203125" bestFit="1" customWidth="1"/>
    <col min="5909" max="5909" width="10.5" customWidth="1"/>
    <col min="5910" max="5910" width="12.83203125" customWidth="1"/>
    <col min="5911" max="5911" width="14.5" customWidth="1"/>
    <col min="5912" max="5912" width="13.83203125" customWidth="1"/>
    <col min="5913" max="5913" width="17.5" customWidth="1"/>
    <col min="5914" max="5914" width="16.33203125" customWidth="1"/>
    <col min="5915" max="5915" width="20.5" customWidth="1"/>
    <col min="5916" max="5916" width="29.1640625" bestFit="1" customWidth="1"/>
    <col min="5917" max="5917" width="29.33203125" bestFit="1" customWidth="1"/>
    <col min="5918" max="5918" width="14.5" bestFit="1" customWidth="1"/>
    <col min="5919" max="5919" width="16.5" bestFit="1" customWidth="1"/>
    <col min="5920" max="5920" width="29.1640625" bestFit="1" customWidth="1"/>
    <col min="5921" max="5921" width="30.5" bestFit="1" customWidth="1"/>
    <col min="5922" max="5922" width="14.5" bestFit="1" customWidth="1"/>
    <col min="5923" max="5923" width="16.5" bestFit="1" customWidth="1"/>
    <col min="5924" max="5924" width="29.1640625" bestFit="1" customWidth="1"/>
    <col min="5925" max="5925" width="30.5" bestFit="1" customWidth="1"/>
    <col min="5926" max="5926" width="14.5" bestFit="1" customWidth="1"/>
    <col min="5927" max="5927" width="16.5" bestFit="1" customWidth="1"/>
    <col min="5928" max="5928" width="29.1640625" bestFit="1" customWidth="1"/>
    <col min="5929" max="5929" width="29.33203125" bestFit="1" customWidth="1"/>
    <col min="5930" max="5930" width="14.5" bestFit="1" customWidth="1"/>
    <col min="5931" max="5931" width="16.5" bestFit="1" customWidth="1"/>
    <col min="5932" max="5932" width="29.1640625" bestFit="1" customWidth="1"/>
    <col min="5933" max="5933" width="29.33203125" bestFit="1" customWidth="1"/>
    <col min="5934" max="6144" width="8.83203125" customWidth="1"/>
    <col min="6145" max="6145" width="13.1640625" customWidth="1"/>
    <col min="6146" max="6146" width="14.33203125" customWidth="1"/>
    <col min="6147" max="6147" width="10.5" customWidth="1"/>
    <col min="6148" max="6148" width="9.6640625" customWidth="1"/>
    <col min="6149" max="6149" width="12.5" customWidth="1"/>
    <col min="6150" max="6150" width="19.83203125" customWidth="1"/>
    <col min="6151" max="6152" width="12.5" customWidth="1"/>
    <col min="6153" max="6153" width="11" customWidth="1"/>
    <col min="6154" max="6154" width="14.5" customWidth="1"/>
    <col min="6155" max="6155" width="11" customWidth="1"/>
    <col min="6156" max="6156" width="8.83203125" customWidth="1"/>
    <col min="6157" max="6157" width="9.5" customWidth="1"/>
    <col min="6158" max="6158" width="16.5" customWidth="1"/>
    <col min="6159" max="6159" width="20.33203125" bestFit="1" customWidth="1"/>
    <col min="6160" max="6160" width="25.33203125" bestFit="1" customWidth="1"/>
    <col min="6161" max="6161" width="23.33203125" bestFit="1" customWidth="1"/>
    <col min="6162" max="6162" width="18.1640625" bestFit="1" customWidth="1"/>
    <col min="6163" max="6163" width="18.6640625" bestFit="1" customWidth="1"/>
    <col min="6164" max="6164" width="16.83203125" bestFit="1" customWidth="1"/>
    <col min="6165" max="6165" width="10.5" customWidth="1"/>
    <col min="6166" max="6166" width="12.83203125" customWidth="1"/>
    <col min="6167" max="6167" width="14.5" customWidth="1"/>
    <col min="6168" max="6168" width="13.83203125" customWidth="1"/>
    <col min="6169" max="6169" width="17.5" customWidth="1"/>
    <col min="6170" max="6170" width="16.33203125" customWidth="1"/>
    <col min="6171" max="6171" width="20.5" customWidth="1"/>
    <col min="6172" max="6172" width="29.1640625" bestFit="1" customWidth="1"/>
    <col min="6173" max="6173" width="29.33203125" bestFit="1" customWidth="1"/>
    <col min="6174" max="6174" width="14.5" bestFit="1" customWidth="1"/>
    <col min="6175" max="6175" width="16.5" bestFit="1" customWidth="1"/>
    <col min="6176" max="6176" width="29.1640625" bestFit="1" customWidth="1"/>
    <col min="6177" max="6177" width="30.5" bestFit="1" customWidth="1"/>
    <col min="6178" max="6178" width="14.5" bestFit="1" customWidth="1"/>
    <col min="6179" max="6179" width="16.5" bestFit="1" customWidth="1"/>
    <col min="6180" max="6180" width="29.1640625" bestFit="1" customWidth="1"/>
    <col min="6181" max="6181" width="30.5" bestFit="1" customWidth="1"/>
    <col min="6182" max="6182" width="14.5" bestFit="1" customWidth="1"/>
    <col min="6183" max="6183" width="16.5" bestFit="1" customWidth="1"/>
    <col min="6184" max="6184" width="29.1640625" bestFit="1" customWidth="1"/>
    <col min="6185" max="6185" width="29.33203125" bestFit="1" customWidth="1"/>
    <col min="6186" max="6186" width="14.5" bestFit="1" customWidth="1"/>
    <col min="6187" max="6187" width="16.5" bestFit="1" customWidth="1"/>
    <col min="6188" max="6188" width="29.1640625" bestFit="1" customWidth="1"/>
    <col min="6189" max="6189" width="29.33203125" bestFit="1" customWidth="1"/>
    <col min="6190" max="6400" width="8.83203125" customWidth="1"/>
    <col min="6401" max="6401" width="13.1640625" customWidth="1"/>
    <col min="6402" max="6402" width="14.33203125" customWidth="1"/>
    <col min="6403" max="6403" width="10.5" customWidth="1"/>
    <col min="6404" max="6404" width="9.6640625" customWidth="1"/>
    <col min="6405" max="6405" width="12.5" customWidth="1"/>
    <col min="6406" max="6406" width="19.83203125" customWidth="1"/>
    <col min="6407" max="6408" width="12.5" customWidth="1"/>
    <col min="6409" max="6409" width="11" customWidth="1"/>
    <col min="6410" max="6410" width="14.5" customWidth="1"/>
    <col min="6411" max="6411" width="11" customWidth="1"/>
    <col min="6412" max="6412" width="8.83203125" customWidth="1"/>
    <col min="6413" max="6413" width="9.5" customWidth="1"/>
    <col min="6414" max="6414" width="16.5" customWidth="1"/>
    <col min="6415" max="6415" width="20.33203125" bestFit="1" customWidth="1"/>
    <col min="6416" max="6416" width="25.33203125" bestFit="1" customWidth="1"/>
    <col min="6417" max="6417" width="23.33203125" bestFit="1" customWidth="1"/>
    <col min="6418" max="6418" width="18.1640625" bestFit="1" customWidth="1"/>
    <col min="6419" max="6419" width="18.6640625" bestFit="1" customWidth="1"/>
    <col min="6420" max="6420" width="16.83203125" bestFit="1" customWidth="1"/>
    <col min="6421" max="6421" width="10.5" customWidth="1"/>
    <col min="6422" max="6422" width="12.83203125" customWidth="1"/>
    <col min="6423" max="6423" width="14.5" customWidth="1"/>
    <col min="6424" max="6424" width="13.83203125" customWidth="1"/>
    <col min="6425" max="6425" width="17.5" customWidth="1"/>
    <col min="6426" max="6426" width="16.33203125" customWidth="1"/>
    <col min="6427" max="6427" width="20.5" customWidth="1"/>
    <col min="6428" max="6428" width="29.1640625" bestFit="1" customWidth="1"/>
    <col min="6429" max="6429" width="29.33203125" bestFit="1" customWidth="1"/>
    <col min="6430" max="6430" width="14.5" bestFit="1" customWidth="1"/>
    <col min="6431" max="6431" width="16.5" bestFit="1" customWidth="1"/>
    <col min="6432" max="6432" width="29.1640625" bestFit="1" customWidth="1"/>
    <col min="6433" max="6433" width="30.5" bestFit="1" customWidth="1"/>
    <col min="6434" max="6434" width="14.5" bestFit="1" customWidth="1"/>
    <col min="6435" max="6435" width="16.5" bestFit="1" customWidth="1"/>
    <col min="6436" max="6436" width="29.1640625" bestFit="1" customWidth="1"/>
    <col min="6437" max="6437" width="30.5" bestFit="1" customWidth="1"/>
    <col min="6438" max="6438" width="14.5" bestFit="1" customWidth="1"/>
    <col min="6439" max="6439" width="16.5" bestFit="1" customWidth="1"/>
    <col min="6440" max="6440" width="29.1640625" bestFit="1" customWidth="1"/>
    <col min="6441" max="6441" width="29.33203125" bestFit="1" customWidth="1"/>
    <col min="6442" max="6442" width="14.5" bestFit="1" customWidth="1"/>
    <col min="6443" max="6443" width="16.5" bestFit="1" customWidth="1"/>
    <col min="6444" max="6444" width="29.1640625" bestFit="1" customWidth="1"/>
    <col min="6445" max="6445" width="29.33203125" bestFit="1" customWidth="1"/>
    <col min="6446" max="6656" width="8.83203125" customWidth="1"/>
    <col min="6657" max="6657" width="13.1640625" customWidth="1"/>
    <col min="6658" max="6658" width="14.33203125" customWidth="1"/>
    <col min="6659" max="6659" width="10.5" customWidth="1"/>
    <col min="6660" max="6660" width="9.6640625" customWidth="1"/>
    <col min="6661" max="6661" width="12.5" customWidth="1"/>
    <col min="6662" max="6662" width="19.83203125" customWidth="1"/>
    <col min="6663" max="6664" width="12.5" customWidth="1"/>
    <col min="6665" max="6665" width="11" customWidth="1"/>
    <col min="6666" max="6666" width="14.5" customWidth="1"/>
    <col min="6667" max="6667" width="11" customWidth="1"/>
    <col min="6668" max="6668" width="8.83203125" customWidth="1"/>
    <col min="6669" max="6669" width="9.5" customWidth="1"/>
    <col min="6670" max="6670" width="16.5" customWidth="1"/>
    <col min="6671" max="6671" width="20.33203125" bestFit="1" customWidth="1"/>
    <col min="6672" max="6672" width="25.33203125" bestFit="1" customWidth="1"/>
    <col min="6673" max="6673" width="23.33203125" bestFit="1" customWidth="1"/>
    <col min="6674" max="6674" width="18.1640625" bestFit="1" customWidth="1"/>
    <col min="6675" max="6675" width="18.6640625" bestFit="1" customWidth="1"/>
    <col min="6676" max="6676" width="16.83203125" bestFit="1" customWidth="1"/>
    <col min="6677" max="6677" width="10.5" customWidth="1"/>
    <col min="6678" max="6678" width="12.83203125" customWidth="1"/>
    <col min="6679" max="6679" width="14.5" customWidth="1"/>
    <col min="6680" max="6680" width="13.83203125" customWidth="1"/>
    <col min="6681" max="6681" width="17.5" customWidth="1"/>
    <col min="6682" max="6682" width="16.33203125" customWidth="1"/>
    <col min="6683" max="6683" width="20.5" customWidth="1"/>
    <col min="6684" max="6684" width="29.1640625" bestFit="1" customWidth="1"/>
    <col min="6685" max="6685" width="29.33203125" bestFit="1" customWidth="1"/>
    <col min="6686" max="6686" width="14.5" bestFit="1" customWidth="1"/>
    <col min="6687" max="6687" width="16.5" bestFit="1" customWidth="1"/>
    <col min="6688" max="6688" width="29.1640625" bestFit="1" customWidth="1"/>
    <col min="6689" max="6689" width="30.5" bestFit="1" customWidth="1"/>
    <col min="6690" max="6690" width="14.5" bestFit="1" customWidth="1"/>
    <col min="6691" max="6691" width="16.5" bestFit="1" customWidth="1"/>
    <col min="6692" max="6692" width="29.1640625" bestFit="1" customWidth="1"/>
    <col min="6693" max="6693" width="30.5" bestFit="1" customWidth="1"/>
    <col min="6694" max="6694" width="14.5" bestFit="1" customWidth="1"/>
    <col min="6695" max="6695" width="16.5" bestFit="1" customWidth="1"/>
    <col min="6696" max="6696" width="29.1640625" bestFit="1" customWidth="1"/>
    <col min="6697" max="6697" width="29.33203125" bestFit="1" customWidth="1"/>
    <col min="6698" max="6698" width="14.5" bestFit="1" customWidth="1"/>
    <col min="6699" max="6699" width="16.5" bestFit="1" customWidth="1"/>
    <col min="6700" max="6700" width="29.1640625" bestFit="1" customWidth="1"/>
    <col min="6701" max="6701" width="29.33203125" bestFit="1" customWidth="1"/>
    <col min="6702" max="6912" width="8.83203125" customWidth="1"/>
    <col min="6913" max="6913" width="13.1640625" customWidth="1"/>
    <col min="6914" max="6914" width="14.33203125" customWidth="1"/>
    <col min="6915" max="6915" width="10.5" customWidth="1"/>
    <col min="6916" max="6916" width="9.6640625" customWidth="1"/>
    <col min="6917" max="6917" width="12.5" customWidth="1"/>
    <col min="6918" max="6918" width="19.83203125" customWidth="1"/>
    <col min="6919" max="6920" width="12.5" customWidth="1"/>
    <col min="6921" max="6921" width="11" customWidth="1"/>
    <col min="6922" max="6922" width="14.5" customWidth="1"/>
    <col min="6923" max="6923" width="11" customWidth="1"/>
    <col min="6924" max="6924" width="8.83203125" customWidth="1"/>
    <col min="6925" max="6925" width="9.5" customWidth="1"/>
    <col min="6926" max="6926" width="16.5" customWidth="1"/>
    <col min="6927" max="6927" width="20.33203125" bestFit="1" customWidth="1"/>
    <col min="6928" max="6928" width="25.33203125" bestFit="1" customWidth="1"/>
    <col min="6929" max="6929" width="23.33203125" bestFit="1" customWidth="1"/>
    <col min="6930" max="6930" width="18.1640625" bestFit="1" customWidth="1"/>
    <col min="6931" max="6931" width="18.6640625" bestFit="1" customWidth="1"/>
    <col min="6932" max="6932" width="16.83203125" bestFit="1" customWidth="1"/>
    <col min="6933" max="6933" width="10.5" customWidth="1"/>
    <col min="6934" max="6934" width="12.83203125" customWidth="1"/>
    <col min="6935" max="6935" width="14.5" customWidth="1"/>
    <col min="6936" max="6936" width="13.83203125" customWidth="1"/>
    <col min="6937" max="6937" width="17.5" customWidth="1"/>
    <col min="6938" max="6938" width="16.33203125" customWidth="1"/>
    <col min="6939" max="6939" width="20.5" customWidth="1"/>
    <col min="6940" max="6940" width="29.1640625" bestFit="1" customWidth="1"/>
    <col min="6941" max="6941" width="29.33203125" bestFit="1" customWidth="1"/>
    <col min="6942" max="6942" width="14.5" bestFit="1" customWidth="1"/>
    <col min="6943" max="6943" width="16.5" bestFit="1" customWidth="1"/>
    <col min="6944" max="6944" width="29.1640625" bestFit="1" customWidth="1"/>
    <col min="6945" max="6945" width="30.5" bestFit="1" customWidth="1"/>
    <col min="6946" max="6946" width="14.5" bestFit="1" customWidth="1"/>
    <col min="6947" max="6947" width="16.5" bestFit="1" customWidth="1"/>
    <col min="6948" max="6948" width="29.1640625" bestFit="1" customWidth="1"/>
    <col min="6949" max="6949" width="30.5" bestFit="1" customWidth="1"/>
    <col min="6950" max="6950" width="14.5" bestFit="1" customWidth="1"/>
    <col min="6951" max="6951" width="16.5" bestFit="1" customWidth="1"/>
    <col min="6952" max="6952" width="29.1640625" bestFit="1" customWidth="1"/>
    <col min="6953" max="6953" width="29.33203125" bestFit="1" customWidth="1"/>
    <col min="6954" max="6954" width="14.5" bestFit="1" customWidth="1"/>
    <col min="6955" max="6955" width="16.5" bestFit="1" customWidth="1"/>
    <col min="6956" max="6956" width="29.1640625" bestFit="1" customWidth="1"/>
    <col min="6957" max="6957" width="29.33203125" bestFit="1" customWidth="1"/>
    <col min="6958" max="7168" width="8.83203125" customWidth="1"/>
    <col min="7169" max="7169" width="13.1640625" customWidth="1"/>
    <col min="7170" max="7170" width="14.33203125" customWidth="1"/>
    <col min="7171" max="7171" width="10.5" customWidth="1"/>
    <col min="7172" max="7172" width="9.6640625" customWidth="1"/>
    <col min="7173" max="7173" width="12.5" customWidth="1"/>
    <col min="7174" max="7174" width="19.83203125" customWidth="1"/>
    <col min="7175" max="7176" width="12.5" customWidth="1"/>
    <col min="7177" max="7177" width="11" customWidth="1"/>
    <col min="7178" max="7178" width="14.5" customWidth="1"/>
    <col min="7179" max="7179" width="11" customWidth="1"/>
    <col min="7180" max="7180" width="8.83203125" customWidth="1"/>
    <col min="7181" max="7181" width="9.5" customWidth="1"/>
    <col min="7182" max="7182" width="16.5" customWidth="1"/>
    <col min="7183" max="7183" width="20.33203125" bestFit="1" customWidth="1"/>
    <col min="7184" max="7184" width="25.33203125" bestFit="1" customWidth="1"/>
    <col min="7185" max="7185" width="23.33203125" bestFit="1" customWidth="1"/>
    <col min="7186" max="7186" width="18.1640625" bestFit="1" customWidth="1"/>
    <col min="7187" max="7187" width="18.6640625" bestFit="1" customWidth="1"/>
    <col min="7188" max="7188" width="16.83203125" bestFit="1" customWidth="1"/>
    <col min="7189" max="7189" width="10.5" customWidth="1"/>
    <col min="7190" max="7190" width="12.83203125" customWidth="1"/>
    <col min="7191" max="7191" width="14.5" customWidth="1"/>
    <col min="7192" max="7192" width="13.83203125" customWidth="1"/>
    <col min="7193" max="7193" width="17.5" customWidth="1"/>
    <col min="7194" max="7194" width="16.33203125" customWidth="1"/>
    <col min="7195" max="7195" width="20.5" customWidth="1"/>
    <col min="7196" max="7196" width="29.1640625" bestFit="1" customWidth="1"/>
    <col min="7197" max="7197" width="29.33203125" bestFit="1" customWidth="1"/>
    <col min="7198" max="7198" width="14.5" bestFit="1" customWidth="1"/>
    <col min="7199" max="7199" width="16.5" bestFit="1" customWidth="1"/>
    <col min="7200" max="7200" width="29.1640625" bestFit="1" customWidth="1"/>
    <col min="7201" max="7201" width="30.5" bestFit="1" customWidth="1"/>
    <col min="7202" max="7202" width="14.5" bestFit="1" customWidth="1"/>
    <col min="7203" max="7203" width="16.5" bestFit="1" customWidth="1"/>
    <col min="7204" max="7204" width="29.1640625" bestFit="1" customWidth="1"/>
    <col min="7205" max="7205" width="30.5" bestFit="1" customWidth="1"/>
    <col min="7206" max="7206" width="14.5" bestFit="1" customWidth="1"/>
    <col min="7207" max="7207" width="16.5" bestFit="1" customWidth="1"/>
    <col min="7208" max="7208" width="29.1640625" bestFit="1" customWidth="1"/>
    <col min="7209" max="7209" width="29.33203125" bestFit="1" customWidth="1"/>
    <col min="7210" max="7210" width="14.5" bestFit="1" customWidth="1"/>
    <col min="7211" max="7211" width="16.5" bestFit="1" customWidth="1"/>
    <col min="7212" max="7212" width="29.1640625" bestFit="1" customWidth="1"/>
    <col min="7213" max="7213" width="29.33203125" bestFit="1" customWidth="1"/>
    <col min="7214" max="7424" width="8.83203125" customWidth="1"/>
    <col min="7425" max="7425" width="13.1640625" customWidth="1"/>
    <col min="7426" max="7426" width="14.33203125" customWidth="1"/>
    <col min="7427" max="7427" width="10.5" customWidth="1"/>
    <col min="7428" max="7428" width="9.6640625" customWidth="1"/>
    <col min="7429" max="7429" width="12.5" customWidth="1"/>
    <col min="7430" max="7430" width="19.83203125" customWidth="1"/>
    <col min="7431" max="7432" width="12.5" customWidth="1"/>
    <col min="7433" max="7433" width="11" customWidth="1"/>
    <col min="7434" max="7434" width="14.5" customWidth="1"/>
    <col min="7435" max="7435" width="11" customWidth="1"/>
    <col min="7436" max="7436" width="8.83203125" customWidth="1"/>
    <col min="7437" max="7437" width="9.5" customWidth="1"/>
    <col min="7438" max="7438" width="16.5" customWidth="1"/>
    <col min="7439" max="7439" width="20.33203125" bestFit="1" customWidth="1"/>
    <col min="7440" max="7440" width="25.33203125" bestFit="1" customWidth="1"/>
    <col min="7441" max="7441" width="23.33203125" bestFit="1" customWidth="1"/>
    <col min="7442" max="7442" width="18.1640625" bestFit="1" customWidth="1"/>
    <col min="7443" max="7443" width="18.6640625" bestFit="1" customWidth="1"/>
    <col min="7444" max="7444" width="16.83203125" bestFit="1" customWidth="1"/>
    <col min="7445" max="7445" width="10.5" customWidth="1"/>
    <col min="7446" max="7446" width="12.83203125" customWidth="1"/>
    <col min="7447" max="7447" width="14.5" customWidth="1"/>
    <col min="7448" max="7448" width="13.83203125" customWidth="1"/>
    <col min="7449" max="7449" width="17.5" customWidth="1"/>
    <col min="7450" max="7450" width="16.33203125" customWidth="1"/>
    <col min="7451" max="7451" width="20.5" customWidth="1"/>
    <col min="7452" max="7452" width="29.1640625" bestFit="1" customWidth="1"/>
    <col min="7453" max="7453" width="29.33203125" bestFit="1" customWidth="1"/>
    <col min="7454" max="7454" width="14.5" bestFit="1" customWidth="1"/>
    <col min="7455" max="7455" width="16.5" bestFit="1" customWidth="1"/>
    <col min="7456" max="7456" width="29.1640625" bestFit="1" customWidth="1"/>
    <col min="7457" max="7457" width="30.5" bestFit="1" customWidth="1"/>
    <col min="7458" max="7458" width="14.5" bestFit="1" customWidth="1"/>
    <col min="7459" max="7459" width="16.5" bestFit="1" customWidth="1"/>
    <col min="7460" max="7460" width="29.1640625" bestFit="1" customWidth="1"/>
    <col min="7461" max="7461" width="30.5" bestFit="1" customWidth="1"/>
    <col min="7462" max="7462" width="14.5" bestFit="1" customWidth="1"/>
    <col min="7463" max="7463" width="16.5" bestFit="1" customWidth="1"/>
    <col min="7464" max="7464" width="29.1640625" bestFit="1" customWidth="1"/>
    <col min="7465" max="7465" width="29.33203125" bestFit="1" customWidth="1"/>
    <col min="7466" max="7466" width="14.5" bestFit="1" customWidth="1"/>
    <col min="7467" max="7467" width="16.5" bestFit="1" customWidth="1"/>
    <col min="7468" max="7468" width="29.1640625" bestFit="1" customWidth="1"/>
    <col min="7469" max="7469" width="29.33203125" bestFit="1" customWidth="1"/>
    <col min="7470" max="7680" width="8.83203125" customWidth="1"/>
    <col min="7681" max="7681" width="13.1640625" customWidth="1"/>
    <col min="7682" max="7682" width="14.33203125" customWidth="1"/>
    <col min="7683" max="7683" width="10.5" customWidth="1"/>
    <col min="7684" max="7684" width="9.6640625" customWidth="1"/>
    <col min="7685" max="7685" width="12.5" customWidth="1"/>
    <col min="7686" max="7686" width="19.83203125" customWidth="1"/>
    <col min="7687" max="7688" width="12.5" customWidth="1"/>
    <col min="7689" max="7689" width="11" customWidth="1"/>
    <col min="7690" max="7690" width="14.5" customWidth="1"/>
    <col min="7691" max="7691" width="11" customWidth="1"/>
    <col min="7692" max="7692" width="8.83203125" customWidth="1"/>
    <col min="7693" max="7693" width="9.5" customWidth="1"/>
    <col min="7694" max="7694" width="16.5" customWidth="1"/>
    <col min="7695" max="7695" width="20.33203125" bestFit="1" customWidth="1"/>
    <col min="7696" max="7696" width="25.33203125" bestFit="1" customWidth="1"/>
    <col min="7697" max="7697" width="23.33203125" bestFit="1" customWidth="1"/>
    <col min="7698" max="7698" width="18.1640625" bestFit="1" customWidth="1"/>
    <col min="7699" max="7699" width="18.6640625" bestFit="1" customWidth="1"/>
    <col min="7700" max="7700" width="16.83203125" bestFit="1" customWidth="1"/>
    <col min="7701" max="7701" width="10.5" customWidth="1"/>
    <col min="7702" max="7702" width="12.83203125" customWidth="1"/>
    <col min="7703" max="7703" width="14.5" customWidth="1"/>
    <col min="7704" max="7704" width="13.83203125" customWidth="1"/>
    <col min="7705" max="7705" width="17.5" customWidth="1"/>
    <col min="7706" max="7706" width="16.33203125" customWidth="1"/>
    <col min="7707" max="7707" width="20.5" customWidth="1"/>
    <col min="7708" max="7708" width="29.1640625" bestFit="1" customWidth="1"/>
    <col min="7709" max="7709" width="29.33203125" bestFit="1" customWidth="1"/>
    <col min="7710" max="7710" width="14.5" bestFit="1" customWidth="1"/>
    <col min="7711" max="7711" width="16.5" bestFit="1" customWidth="1"/>
    <col min="7712" max="7712" width="29.1640625" bestFit="1" customWidth="1"/>
    <col min="7713" max="7713" width="30.5" bestFit="1" customWidth="1"/>
    <col min="7714" max="7714" width="14.5" bestFit="1" customWidth="1"/>
    <col min="7715" max="7715" width="16.5" bestFit="1" customWidth="1"/>
    <col min="7716" max="7716" width="29.1640625" bestFit="1" customWidth="1"/>
    <col min="7717" max="7717" width="30.5" bestFit="1" customWidth="1"/>
    <col min="7718" max="7718" width="14.5" bestFit="1" customWidth="1"/>
    <col min="7719" max="7719" width="16.5" bestFit="1" customWidth="1"/>
    <col min="7720" max="7720" width="29.1640625" bestFit="1" customWidth="1"/>
    <col min="7721" max="7721" width="29.33203125" bestFit="1" customWidth="1"/>
    <col min="7722" max="7722" width="14.5" bestFit="1" customWidth="1"/>
    <col min="7723" max="7723" width="16.5" bestFit="1" customWidth="1"/>
    <col min="7724" max="7724" width="29.1640625" bestFit="1" customWidth="1"/>
    <col min="7725" max="7725" width="29.33203125" bestFit="1" customWidth="1"/>
    <col min="7726" max="7936" width="8.83203125" customWidth="1"/>
    <col min="7937" max="7937" width="13.1640625" customWidth="1"/>
    <col min="7938" max="7938" width="14.33203125" customWidth="1"/>
    <col min="7939" max="7939" width="10.5" customWidth="1"/>
    <col min="7940" max="7940" width="9.6640625" customWidth="1"/>
    <col min="7941" max="7941" width="12.5" customWidth="1"/>
    <col min="7942" max="7942" width="19.83203125" customWidth="1"/>
    <col min="7943" max="7944" width="12.5" customWidth="1"/>
    <col min="7945" max="7945" width="11" customWidth="1"/>
    <col min="7946" max="7946" width="14.5" customWidth="1"/>
    <col min="7947" max="7947" width="11" customWidth="1"/>
    <col min="7948" max="7948" width="8.83203125" customWidth="1"/>
    <col min="7949" max="7949" width="9.5" customWidth="1"/>
    <col min="7950" max="7950" width="16.5" customWidth="1"/>
    <col min="7951" max="7951" width="20.33203125" bestFit="1" customWidth="1"/>
    <col min="7952" max="7952" width="25.33203125" bestFit="1" customWidth="1"/>
    <col min="7953" max="7953" width="23.33203125" bestFit="1" customWidth="1"/>
    <col min="7954" max="7954" width="18.1640625" bestFit="1" customWidth="1"/>
    <col min="7955" max="7955" width="18.6640625" bestFit="1" customWidth="1"/>
    <col min="7956" max="7956" width="16.83203125" bestFit="1" customWidth="1"/>
    <col min="7957" max="7957" width="10.5" customWidth="1"/>
    <col min="7958" max="7958" width="12.83203125" customWidth="1"/>
    <col min="7959" max="7959" width="14.5" customWidth="1"/>
    <col min="7960" max="7960" width="13.83203125" customWidth="1"/>
    <col min="7961" max="7961" width="17.5" customWidth="1"/>
    <col min="7962" max="7962" width="16.33203125" customWidth="1"/>
    <col min="7963" max="7963" width="20.5" customWidth="1"/>
    <col min="7964" max="7964" width="29.1640625" bestFit="1" customWidth="1"/>
    <col min="7965" max="7965" width="29.33203125" bestFit="1" customWidth="1"/>
    <col min="7966" max="7966" width="14.5" bestFit="1" customWidth="1"/>
    <col min="7967" max="7967" width="16.5" bestFit="1" customWidth="1"/>
    <col min="7968" max="7968" width="29.1640625" bestFit="1" customWidth="1"/>
    <col min="7969" max="7969" width="30.5" bestFit="1" customWidth="1"/>
    <col min="7970" max="7970" width="14.5" bestFit="1" customWidth="1"/>
    <col min="7971" max="7971" width="16.5" bestFit="1" customWidth="1"/>
    <col min="7972" max="7972" width="29.1640625" bestFit="1" customWidth="1"/>
    <col min="7973" max="7973" width="30.5" bestFit="1" customWidth="1"/>
    <col min="7974" max="7974" width="14.5" bestFit="1" customWidth="1"/>
    <col min="7975" max="7975" width="16.5" bestFit="1" customWidth="1"/>
    <col min="7976" max="7976" width="29.1640625" bestFit="1" customWidth="1"/>
    <col min="7977" max="7977" width="29.33203125" bestFit="1" customWidth="1"/>
    <col min="7978" max="7978" width="14.5" bestFit="1" customWidth="1"/>
    <col min="7979" max="7979" width="16.5" bestFit="1" customWidth="1"/>
    <col min="7980" max="7980" width="29.1640625" bestFit="1" customWidth="1"/>
    <col min="7981" max="7981" width="29.33203125" bestFit="1" customWidth="1"/>
    <col min="7982" max="8192" width="8.83203125" customWidth="1"/>
    <col min="8193" max="8193" width="13.1640625" customWidth="1"/>
    <col min="8194" max="8194" width="14.33203125" customWidth="1"/>
    <col min="8195" max="8195" width="10.5" customWidth="1"/>
    <col min="8196" max="8196" width="9.6640625" customWidth="1"/>
    <col min="8197" max="8197" width="12.5" customWidth="1"/>
    <col min="8198" max="8198" width="19.83203125" customWidth="1"/>
    <col min="8199" max="8200" width="12.5" customWidth="1"/>
    <col min="8201" max="8201" width="11" customWidth="1"/>
    <col min="8202" max="8202" width="14.5" customWidth="1"/>
    <col min="8203" max="8203" width="11" customWidth="1"/>
    <col min="8204" max="8204" width="8.83203125" customWidth="1"/>
    <col min="8205" max="8205" width="9.5" customWidth="1"/>
    <col min="8206" max="8206" width="16.5" customWidth="1"/>
    <col min="8207" max="8207" width="20.33203125" bestFit="1" customWidth="1"/>
    <col min="8208" max="8208" width="25.33203125" bestFit="1" customWidth="1"/>
    <col min="8209" max="8209" width="23.33203125" bestFit="1" customWidth="1"/>
    <col min="8210" max="8210" width="18.1640625" bestFit="1" customWidth="1"/>
    <col min="8211" max="8211" width="18.6640625" bestFit="1" customWidth="1"/>
    <col min="8212" max="8212" width="16.83203125" bestFit="1" customWidth="1"/>
    <col min="8213" max="8213" width="10.5" customWidth="1"/>
    <col min="8214" max="8214" width="12.83203125" customWidth="1"/>
    <col min="8215" max="8215" width="14.5" customWidth="1"/>
    <col min="8216" max="8216" width="13.83203125" customWidth="1"/>
    <col min="8217" max="8217" width="17.5" customWidth="1"/>
    <col min="8218" max="8218" width="16.33203125" customWidth="1"/>
    <col min="8219" max="8219" width="20.5" customWidth="1"/>
    <col min="8220" max="8220" width="29.1640625" bestFit="1" customWidth="1"/>
    <col min="8221" max="8221" width="29.33203125" bestFit="1" customWidth="1"/>
    <col min="8222" max="8222" width="14.5" bestFit="1" customWidth="1"/>
    <col min="8223" max="8223" width="16.5" bestFit="1" customWidth="1"/>
    <col min="8224" max="8224" width="29.1640625" bestFit="1" customWidth="1"/>
    <col min="8225" max="8225" width="30.5" bestFit="1" customWidth="1"/>
    <col min="8226" max="8226" width="14.5" bestFit="1" customWidth="1"/>
    <col min="8227" max="8227" width="16.5" bestFit="1" customWidth="1"/>
    <col min="8228" max="8228" width="29.1640625" bestFit="1" customWidth="1"/>
    <col min="8229" max="8229" width="30.5" bestFit="1" customWidth="1"/>
    <col min="8230" max="8230" width="14.5" bestFit="1" customWidth="1"/>
    <col min="8231" max="8231" width="16.5" bestFit="1" customWidth="1"/>
    <col min="8232" max="8232" width="29.1640625" bestFit="1" customWidth="1"/>
    <col min="8233" max="8233" width="29.33203125" bestFit="1" customWidth="1"/>
    <col min="8234" max="8234" width="14.5" bestFit="1" customWidth="1"/>
    <col min="8235" max="8235" width="16.5" bestFit="1" customWidth="1"/>
    <col min="8236" max="8236" width="29.1640625" bestFit="1" customWidth="1"/>
    <col min="8237" max="8237" width="29.33203125" bestFit="1" customWidth="1"/>
    <col min="8238" max="8448" width="8.83203125" customWidth="1"/>
    <col min="8449" max="8449" width="13.1640625" customWidth="1"/>
    <col min="8450" max="8450" width="14.33203125" customWidth="1"/>
    <col min="8451" max="8451" width="10.5" customWidth="1"/>
    <col min="8452" max="8452" width="9.6640625" customWidth="1"/>
    <col min="8453" max="8453" width="12.5" customWidth="1"/>
    <col min="8454" max="8454" width="19.83203125" customWidth="1"/>
    <col min="8455" max="8456" width="12.5" customWidth="1"/>
    <col min="8457" max="8457" width="11" customWidth="1"/>
    <col min="8458" max="8458" width="14.5" customWidth="1"/>
    <col min="8459" max="8459" width="11" customWidth="1"/>
    <col min="8460" max="8460" width="8.83203125" customWidth="1"/>
    <col min="8461" max="8461" width="9.5" customWidth="1"/>
    <col min="8462" max="8462" width="16.5" customWidth="1"/>
    <col min="8463" max="8463" width="20.33203125" bestFit="1" customWidth="1"/>
    <col min="8464" max="8464" width="25.33203125" bestFit="1" customWidth="1"/>
    <col min="8465" max="8465" width="23.33203125" bestFit="1" customWidth="1"/>
    <col min="8466" max="8466" width="18.1640625" bestFit="1" customWidth="1"/>
    <col min="8467" max="8467" width="18.6640625" bestFit="1" customWidth="1"/>
    <col min="8468" max="8468" width="16.83203125" bestFit="1" customWidth="1"/>
    <col min="8469" max="8469" width="10.5" customWidth="1"/>
    <col min="8470" max="8470" width="12.83203125" customWidth="1"/>
    <col min="8471" max="8471" width="14.5" customWidth="1"/>
    <col min="8472" max="8472" width="13.83203125" customWidth="1"/>
    <col min="8473" max="8473" width="17.5" customWidth="1"/>
    <col min="8474" max="8474" width="16.33203125" customWidth="1"/>
    <col min="8475" max="8475" width="20.5" customWidth="1"/>
    <col min="8476" max="8476" width="29.1640625" bestFit="1" customWidth="1"/>
    <col min="8477" max="8477" width="29.33203125" bestFit="1" customWidth="1"/>
    <col min="8478" max="8478" width="14.5" bestFit="1" customWidth="1"/>
    <col min="8479" max="8479" width="16.5" bestFit="1" customWidth="1"/>
    <col min="8480" max="8480" width="29.1640625" bestFit="1" customWidth="1"/>
    <col min="8481" max="8481" width="30.5" bestFit="1" customWidth="1"/>
    <col min="8482" max="8482" width="14.5" bestFit="1" customWidth="1"/>
    <col min="8483" max="8483" width="16.5" bestFit="1" customWidth="1"/>
    <col min="8484" max="8484" width="29.1640625" bestFit="1" customWidth="1"/>
    <col min="8485" max="8485" width="30.5" bestFit="1" customWidth="1"/>
    <col min="8486" max="8486" width="14.5" bestFit="1" customWidth="1"/>
    <col min="8487" max="8487" width="16.5" bestFit="1" customWidth="1"/>
    <col min="8488" max="8488" width="29.1640625" bestFit="1" customWidth="1"/>
    <col min="8489" max="8489" width="29.33203125" bestFit="1" customWidth="1"/>
    <col min="8490" max="8490" width="14.5" bestFit="1" customWidth="1"/>
    <col min="8491" max="8491" width="16.5" bestFit="1" customWidth="1"/>
    <col min="8492" max="8492" width="29.1640625" bestFit="1" customWidth="1"/>
    <col min="8493" max="8493" width="29.33203125" bestFit="1" customWidth="1"/>
    <col min="8494" max="8704" width="8.83203125" customWidth="1"/>
    <col min="8705" max="8705" width="13.1640625" customWidth="1"/>
    <col min="8706" max="8706" width="14.33203125" customWidth="1"/>
    <col min="8707" max="8707" width="10.5" customWidth="1"/>
    <col min="8708" max="8708" width="9.6640625" customWidth="1"/>
    <col min="8709" max="8709" width="12.5" customWidth="1"/>
    <col min="8710" max="8710" width="19.83203125" customWidth="1"/>
    <col min="8711" max="8712" width="12.5" customWidth="1"/>
    <col min="8713" max="8713" width="11" customWidth="1"/>
    <col min="8714" max="8714" width="14.5" customWidth="1"/>
    <col min="8715" max="8715" width="11" customWidth="1"/>
    <col min="8716" max="8716" width="8.83203125" customWidth="1"/>
    <col min="8717" max="8717" width="9.5" customWidth="1"/>
    <col min="8718" max="8718" width="16.5" customWidth="1"/>
    <col min="8719" max="8719" width="20.33203125" bestFit="1" customWidth="1"/>
    <col min="8720" max="8720" width="25.33203125" bestFit="1" customWidth="1"/>
    <col min="8721" max="8721" width="23.33203125" bestFit="1" customWidth="1"/>
    <col min="8722" max="8722" width="18.1640625" bestFit="1" customWidth="1"/>
    <col min="8723" max="8723" width="18.6640625" bestFit="1" customWidth="1"/>
    <col min="8724" max="8724" width="16.83203125" bestFit="1" customWidth="1"/>
    <col min="8725" max="8725" width="10.5" customWidth="1"/>
    <col min="8726" max="8726" width="12.83203125" customWidth="1"/>
    <col min="8727" max="8727" width="14.5" customWidth="1"/>
    <col min="8728" max="8728" width="13.83203125" customWidth="1"/>
    <col min="8729" max="8729" width="17.5" customWidth="1"/>
    <col min="8730" max="8730" width="16.33203125" customWidth="1"/>
    <col min="8731" max="8731" width="20.5" customWidth="1"/>
    <col min="8732" max="8732" width="29.1640625" bestFit="1" customWidth="1"/>
    <col min="8733" max="8733" width="29.33203125" bestFit="1" customWidth="1"/>
    <col min="8734" max="8734" width="14.5" bestFit="1" customWidth="1"/>
    <col min="8735" max="8735" width="16.5" bestFit="1" customWidth="1"/>
    <col min="8736" max="8736" width="29.1640625" bestFit="1" customWidth="1"/>
    <col min="8737" max="8737" width="30.5" bestFit="1" customWidth="1"/>
    <col min="8738" max="8738" width="14.5" bestFit="1" customWidth="1"/>
    <col min="8739" max="8739" width="16.5" bestFit="1" customWidth="1"/>
    <col min="8740" max="8740" width="29.1640625" bestFit="1" customWidth="1"/>
    <col min="8741" max="8741" width="30.5" bestFit="1" customWidth="1"/>
    <col min="8742" max="8742" width="14.5" bestFit="1" customWidth="1"/>
    <col min="8743" max="8743" width="16.5" bestFit="1" customWidth="1"/>
    <col min="8744" max="8744" width="29.1640625" bestFit="1" customWidth="1"/>
    <col min="8745" max="8745" width="29.33203125" bestFit="1" customWidth="1"/>
    <col min="8746" max="8746" width="14.5" bestFit="1" customWidth="1"/>
    <col min="8747" max="8747" width="16.5" bestFit="1" customWidth="1"/>
    <col min="8748" max="8748" width="29.1640625" bestFit="1" customWidth="1"/>
    <col min="8749" max="8749" width="29.33203125" bestFit="1" customWidth="1"/>
    <col min="8750" max="8960" width="8.83203125" customWidth="1"/>
    <col min="8961" max="8961" width="13.1640625" customWidth="1"/>
    <col min="8962" max="8962" width="14.33203125" customWidth="1"/>
    <col min="8963" max="8963" width="10.5" customWidth="1"/>
    <col min="8964" max="8964" width="9.6640625" customWidth="1"/>
    <col min="8965" max="8965" width="12.5" customWidth="1"/>
    <col min="8966" max="8966" width="19.83203125" customWidth="1"/>
    <col min="8967" max="8968" width="12.5" customWidth="1"/>
    <col min="8969" max="8969" width="11" customWidth="1"/>
    <col min="8970" max="8970" width="14.5" customWidth="1"/>
    <col min="8971" max="8971" width="11" customWidth="1"/>
    <col min="8972" max="8972" width="8.83203125" customWidth="1"/>
    <col min="8973" max="8973" width="9.5" customWidth="1"/>
    <col min="8974" max="8974" width="16.5" customWidth="1"/>
    <col min="8975" max="8975" width="20.33203125" bestFit="1" customWidth="1"/>
    <col min="8976" max="8976" width="25.33203125" bestFit="1" customWidth="1"/>
    <col min="8977" max="8977" width="23.33203125" bestFit="1" customWidth="1"/>
    <col min="8978" max="8978" width="18.1640625" bestFit="1" customWidth="1"/>
    <col min="8979" max="8979" width="18.6640625" bestFit="1" customWidth="1"/>
    <col min="8980" max="8980" width="16.83203125" bestFit="1" customWidth="1"/>
    <col min="8981" max="8981" width="10.5" customWidth="1"/>
    <col min="8982" max="8982" width="12.83203125" customWidth="1"/>
    <col min="8983" max="8983" width="14.5" customWidth="1"/>
    <col min="8984" max="8984" width="13.83203125" customWidth="1"/>
    <col min="8985" max="8985" width="17.5" customWidth="1"/>
    <col min="8986" max="8986" width="16.33203125" customWidth="1"/>
    <col min="8987" max="8987" width="20.5" customWidth="1"/>
    <col min="8988" max="8988" width="29.1640625" bestFit="1" customWidth="1"/>
    <col min="8989" max="8989" width="29.33203125" bestFit="1" customWidth="1"/>
    <col min="8990" max="8990" width="14.5" bestFit="1" customWidth="1"/>
    <col min="8991" max="8991" width="16.5" bestFit="1" customWidth="1"/>
    <col min="8992" max="8992" width="29.1640625" bestFit="1" customWidth="1"/>
    <col min="8993" max="8993" width="30.5" bestFit="1" customWidth="1"/>
    <col min="8994" max="8994" width="14.5" bestFit="1" customWidth="1"/>
    <col min="8995" max="8995" width="16.5" bestFit="1" customWidth="1"/>
    <col min="8996" max="8996" width="29.1640625" bestFit="1" customWidth="1"/>
    <col min="8997" max="8997" width="30.5" bestFit="1" customWidth="1"/>
    <col min="8998" max="8998" width="14.5" bestFit="1" customWidth="1"/>
    <col min="8999" max="8999" width="16.5" bestFit="1" customWidth="1"/>
    <col min="9000" max="9000" width="29.1640625" bestFit="1" customWidth="1"/>
    <col min="9001" max="9001" width="29.33203125" bestFit="1" customWidth="1"/>
    <col min="9002" max="9002" width="14.5" bestFit="1" customWidth="1"/>
    <col min="9003" max="9003" width="16.5" bestFit="1" customWidth="1"/>
    <col min="9004" max="9004" width="29.1640625" bestFit="1" customWidth="1"/>
    <col min="9005" max="9005" width="29.33203125" bestFit="1" customWidth="1"/>
    <col min="9006" max="9216" width="8.83203125" customWidth="1"/>
    <col min="9217" max="9217" width="13.1640625" customWidth="1"/>
    <col min="9218" max="9218" width="14.33203125" customWidth="1"/>
    <col min="9219" max="9219" width="10.5" customWidth="1"/>
    <col min="9220" max="9220" width="9.6640625" customWidth="1"/>
    <col min="9221" max="9221" width="12.5" customWidth="1"/>
    <col min="9222" max="9222" width="19.83203125" customWidth="1"/>
    <col min="9223" max="9224" width="12.5" customWidth="1"/>
    <col min="9225" max="9225" width="11" customWidth="1"/>
    <col min="9226" max="9226" width="14.5" customWidth="1"/>
    <col min="9227" max="9227" width="11" customWidth="1"/>
    <col min="9228" max="9228" width="8.83203125" customWidth="1"/>
    <col min="9229" max="9229" width="9.5" customWidth="1"/>
    <col min="9230" max="9230" width="16.5" customWidth="1"/>
    <col min="9231" max="9231" width="20.33203125" bestFit="1" customWidth="1"/>
    <col min="9232" max="9232" width="25.33203125" bestFit="1" customWidth="1"/>
    <col min="9233" max="9233" width="23.33203125" bestFit="1" customWidth="1"/>
    <col min="9234" max="9234" width="18.1640625" bestFit="1" customWidth="1"/>
    <col min="9235" max="9235" width="18.6640625" bestFit="1" customWidth="1"/>
    <col min="9236" max="9236" width="16.83203125" bestFit="1" customWidth="1"/>
    <col min="9237" max="9237" width="10.5" customWidth="1"/>
    <col min="9238" max="9238" width="12.83203125" customWidth="1"/>
    <col min="9239" max="9239" width="14.5" customWidth="1"/>
    <col min="9240" max="9240" width="13.83203125" customWidth="1"/>
    <col min="9241" max="9241" width="17.5" customWidth="1"/>
    <col min="9242" max="9242" width="16.33203125" customWidth="1"/>
    <col min="9243" max="9243" width="20.5" customWidth="1"/>
    <col min="9244" max="9244" width="29.1640625" bestFit="1" customWidth="1"/>
    <col min="9245" max="9245" width="29.33203125" bestFit="1" customWidth="1"/>
    <col min="9246" max="9246" width="14.5" bestFit="1" customWidth="1"/>
    <col min="9247" max="9247" width="16.5" bestFit="1" customWidth="1"/>
    <col min="9248" max="9248" width="29.1640625" bestFit="1" customWidth="1"/>
    <col min="9249" max="9249" width="30.5" bestFit="1" customWidth="1"/>
    <col min="9250" max="9250" width="14.5" bestFit="1" customWidth="1"/>
    <col min="9251" max="9251" width="16.5" bestFit="1" customWidth="1"/>
    <col min="9252" max="9252" width="29.1640625" bestFit="1" customWidth="1"/>
    <col min="9253" max="9253" width="30.5" bestFit="1" customWidth="1"/>
    <col min="9254" max="9254" width="14.5" bestFit="1" customWidth="1"/>
    <col min="9255" max="9255" width="16.5" bestFit="1" customWidth="1"/>
    <col min="9256" max="9256" width="29.1640625" bestFit="1" customWidth="1"/>
    <col min="9257" max="9257" width="29.33203125" bestFit="1" customWidth="1"/>
    <col min="9258" max="9258" width="14.5" bestFit="1" customWidth="1"/>
    <col min="9259" max="9259" width="16.5" bestFit="1" customWidth="1"/>
    <col min="9260" max="9260" width="29.1640625" bestFit="1" customWidth="1"/>
    <col min="9261" max="9261" width="29.33203125" bestFit="1" customWidth="1"/>
    <col min="9262" max="9472" width="8.83203125" customWidth="1"/>
    <col min="9473" max="9473" width="13.1640625" customWidth="1"/>
    <col min="9474" max="9474" width="14.33203125" customWidth="1"/>
    <col min="9475" max="9475" width="10.5" customWidth="1"/>
    <col min="9476" max="9476" width="9.6640625" customWidth="1"/>
    <col min="9477" max="9477" width="12.5" customWidth="1"/>
    <col min="9478" max="9478" width="19.83203125" customWidth="1"/>
    <col min="9479" max="9480" width="12.5" customWidth="1"/>
    <col min="9481" max="9481" width="11" customWidth="1"/>
    <col min="9482" max="9482" width="14.5" customWidth="1"/>
    <col min="9483" max="9483" width="11" customWidth="1"/>
    <col min="9484" max="9484" width="8.83203125" customWidth="1"/>
    <col min="9485" max="9485" width="9.5" customWidth="1"/>
    <col min="9486" max="9486" width="16.5" customWidth="1"/>
    <col min="9487" max="9487" width="20.33203125" bestFit="1" customWidth="1"/>
    <col min="9488" max="9488" width="25.33203125" bestFit="1" customWidth="1"/>
    <col min="9489" max="9489" width="23.33203125" bestFit="1" customWidth="1"/>
    <col min="9490" max="9490" width="18.1640625" bestFit="1" customWidth="1"/>
    <col min="9491" max="9491" width="18.6640625" bestFit="1" customWidth="1"/>
    <col min="9492" max="9492" width="16.83203125" bestFit="1" customWidth="1"/>
    <col min="9493" max="9493" width="10.5" customWidth="1"/>
    <col min="9494" max="9494" width="12.83203125" customWidth="1"/>
    <col min="9495" max="9495" width="14.5" customWidth="1"/>
    <col min="9496" max="9496" width="13.83203125" customWidth="1"/>
    <col min="9497" max="9497" width="17.5" customWidth="1"/>
    <col min="9498" max="9498" width="16.33203125" customWidth="1"/>
    <col min="9499" max="9499" width="20.5" customWidth="1"/>
    <col min="9500" max="9500" width="29.1640625" bestFit="1" customWidth="1"/>
    <col min="9501" max="9501" width="29.33203125" bestFit="1" customWidth="1"/>
    <col min="9502" max="9502" width="14.5" bestFit="1" customWidth="1"/>
    <col min="9503" max="9503" width="16.5" bestFit="1" customWidth="1"/>
    <col min="9504" max="9504" width="29.1640625" bestFit="1" customWidth="1"/>
    <col min="9505" max="9505" width="30.5" bestFit="1" customWidth="1"/>
    <col min="9506" max="9506" width="14.5" bestFit="1" customWidth="1"/>
    <col min="9507" max="9507" width="16.5" bestFit="1" customWidth="1"/>
    <col min="9508" max="9508" width="29.1640625" bestFit="1" customWidth="1"/>
    <col min="9509" max="9509" width="30.5" bestFit="1" customWidth="1"/>
    <col min="9510" max="9510" width="14.5" bestFit="1" customWidth="1"/>
    <col min="9511" max="9511" width="16.5" bestFit="1" customWidth="1"/>
    <col min="9512" max="9512" width="29.1640625" bestFit="1" customWidth="1"/>
    <col min="9513" max="9513" width="29.33203125" bestFit="1" customWidth="1"/>
    <col min="9514" max="9514" width="14.5" bestFit="1" customWidth="1"/>
    <col min="9515" max="9515" width="16.5" bestFit="1" customWidth="1"/>
    <col min="9516" max="9516" width="29.1640625" bestFit="1" customWidth="1"/>
    <col min="9517" max="9517" width="29.33203125" bestFit="1" customWidth="1"/>
    <col min="9518" max="9728" width="8.83203125" customWidth="1"/>
    <col min="9729" max="9729" width="13.1640625" customWidth="1"/>
    <col min="9730" max="9730" width="14.33203125" customWidth="1"/>
    <col min="9731" max="9731" width="10.5" customWidth="1"/>
    <col min="9732" max="9732" width="9.6640625" customWidth="1"/>
    <col min="9733" max="9733" width="12.5" customWidth="1"/>
    <col min="9734" max="9734" width="19.83203125" customWidth="1"/>
    <col min="9735" max="9736" width="12.5" customWidth="1"/>
    <col min="9737" max="9737" width="11" customWidth="1"/>
    <col min="9738" max="9738" width="14.5" customWidth="1"/>
    <col min="9739" max="9739" width="11" customWidth="1"/>
    <col min="9740" max="9740" width="8.83203125" customWidth="1"/>
    <col min="9741" max="9741" width="9.5" customWidth="1"/>
    <col min="9742" max="9742" width="16.5" customWidth="1"/>
    <col min="9743" max="9743" width="20.33203125" bestFit="1" customWidth="1"/>
    <col min="9744" max="9744" width="25.33203125" bestFit="1" customWidth="1"/>
    <col min="9745" max="9745" width="23.33203125" bestFit="1" customWidth="1"/>
    <col min="9746" max="9746" width="18.1640625" bestFit="1" customWidth="1"/>
    <col min="9747" max="9747" width="18.6640625" bestFit="1" customWidth="1"/>
    <col min="9748" max="9748" width="16.83203125" bestFit="1" customWidth="1"/>
    <col min="9749" max="9749" width="10.5" customWidth="1"/>
    <col min="9750" max="9750" width="12.83203125" customWidth="1"/>
    <col min="9751" max="9751" width="14.5" customWidth="1"/>
    <col min="9752" max="9752" width="13.83203125" customWidth="1"/>
    <col min="9753" max="9753" width="17.5" customWidth="1"/>
    <col min="9754" max="9754" width="16.33203125" customWidth="1"/>
    <col min="9755" max="9755" width="20.5" customWidth="1"/>
    <col min="9756" max="9756" width="29.1640625" bestFit="1" customWidth="1"/>
    <col min="9757" max="9757" width="29.33203125" bestFit="1" customWidth="1"/>
    <col min="9758" max="9758" width="14.5" bestFit="1" customWidth="1"/>
    <col min="9759" max="9759" width="16.5" bestFit="1" customWidth="1"/>
    <col min="9760" max="9760" width="29.1640625" bestFit="1" customWidth="1"/>
    <col min="9761" max="9761" width="30.5" bestFit="1" customWidth="1"/>
    <col min="9762" max="9762" width="14.5" bestFit="1" customWidth="1"/>
    <col min="9763" max="9763" width="16.5" bestFit="1" customWidth="1"/>
    <col min="9764" max="9764" width="29.1640625" bestFit="1" customWidth="1"/>
    <col min="9765" max="9765" width="30.5" bestFit="1" customWidth="1"/>
    <col min="9766" max="9766" width="14.5" bestFit="1" customWidth="1"/>
    <col min="9767" max="9767" width="16.5" bestFit="1" customWidth="1"/>
    <col min="9768" max="9768" width="29.1640625" bestFit="1" customWidth="1"/>
    <col min="9769" max="9769" width="29.33203125" bestFit="1" customWidth="1"/>
    <col min="9770" max="9770" width="14.5" bestFit="1" customWidth="1"/>
    <col min="9771" max="9771" width="16.5" bestFit="1" customWidth="1"/>
    <col min="9772" max="9772" width="29.1640625" bestFit="1" customWidth="1"/>
    <col min="9773" max="9773" width="29.33203125" bestFit="1" customWidth="1"/>
    <col min="9774" max="9984" width="8.83203125" customWidth="1"/>
    <col min="9985" max="9985" width="13.1640625" customWidth="1"/>
    <col min="9986" max="9986" width="14.33203125" customWidth="1"/>
    <col min="9987" max="9987" width="10.5" customWidth="1"/>
    <col min="9988" max="9988" width="9.6640625" customWidth="1"/>
    <col min="9989" max="9989" width="12.5" customWidth="1"/>
    <col min="9990" max="9990" width="19.83203125" customWidth="1"/>
    <col min="9991" max="9992" width="12.5" customWidth="1"/>
    <col min="9993" max="9993" width="11" customWidth="1"/>
    <col min="9994" max="9994" width="14.5" customWidth="1"/>
    <col min="9995" max="9995" width="11" customWidth="1"/>
    <col min="9996" max="9996" width="8.83203125" customWidth="1"/>
    <col min="9997" max="9997" width="9.5" customWidth="1"/>
    <col min="9998" max="9998" width="16.5" customWidth="1"/>
    <col min="9999" max="9999" width="20.33203125" bestFit="1" customWidth="1"/>
    <col min="10000" max="10000" width="25.33203125" bestFit="1" customWidth="1"/>
    <col min="10001" max="10001" width="23.33203125" bestFit="1" customWidth="1"/>
    <col min="10002" max="10002" width="18.1640625" bestFit="1" customWidth="1"/>
    <col min="10003" max="10003" width="18.6640625" bestFit="1" customWidth="1"/>
    <col min="10004" max="10004" width="16.83203125" bestFit="1" customWidth="1"/>
    <col min="10005" max="10005" width="10.5" customWidth="1"/>
    <col min="10006" max="10006" width="12.83203125" customWidth="1"/>
    <col min="10007" max="10007" width="14.5" customWidth="1"/>
    <col min="10008" max="10008" width="13.83203125" customWidth="1"/>
    <col min="10009" max="10009" width="17.5" customWidth="1"/>
    <col min="10010" max="10010" width="16.33203125" customWidth="1"/>
    <col min="10011" max="10011" width="20.5" customWidth="1"/>
    <col min="10012" max="10012" width="29.1640625" bestFit="1" customWidth="1"/>
    <col min="10013" max="10013" width="29.33203125" bestFit="1" customWidth="1"/>
    <col min="10014" max="10014" width="14.5" bestFit="1" customWidth="1"/>
    <col min="10015" max="10015" width="16.5" bestFit="1" customWidth="1"/>
    <col min="10016" max="10016" width="29.1640625" bestFit="1" customWidth="1"/>
    <col min="10017" max="10017" width="30.5" bestFit="1" customWidth="1"/>
    <col min="10018" max="10018" width="14.5" bestFit="1" customWidth="1"/>
    <col min="10019" max="10019" width="16.5" bestFit="1" customWidth="1"/>
    <col min="10020" max="10020" width="29.1640625" bestFit="1" customWidth="1"/>
    <col min="10021" max="10021" width="30.5" bestFit="1" customWidth="1"/>
    <col min="10022" max="10022" width="14.5" bestFit="1" customWidth="1"/>
    <col min="10023" max="10023" width="16.5" bestFit="1" customWidth="1"/>
    <col min="10024" max="10024" width="29.1640625" bestFit="1" customWidth="1"/>
    <col min="10025" max="10025" width="29.33203125" bestFit="1" customWidth="1"/>
    <col min="10026" max="10026" width="14.5" bestFit="1" customWidth="1"/>
    <col min="10027" max="10027" width="16.5" bestFit="1" customWidth="1"/>
    <col min="10028" max="10028" width="29.1640625" bestFit="1" customWidth="1"/>
    <col min="10029" max="10029" width="29.33203125" bestFit="1" customWidth="1"/>
    <col min="10030" max="10240" width="8.83203125" customWidth="1"/>
    <col min="10241" max="10241" width="13.1640625" customWidth="1"/>
    <col min="10242" max="10242" width="14.33203125" customWidth="1"/>
    <col min="10243" max="10243" width="10.5" customWidth="1"/>
    <col min="10244" max="10244" width="9.6640625" customWidth="1"/>
    <col min="10245" max="10245" width="12.5" customWidth="1"/>
    <col min="10246" max="10246" width="19.83203125" customWidth="1"/>
    <col min="10247" max="10248" width="12.5" customWidth="1"/>
    <col min="10249" max="10249" width="11" customWidth="1"/>
    <col min="10250" max="10250" width="14.5" customWidth="1"/>
    <col min="10251" max="10251" width="11" customWidth="1"/>
    <col min="10252" max="10252" width="8.83203125" customWidth="1"/>
    <col min="10253" max="10253" width="9.5" customWidth="1"/>
    <col min="10254" max="10254" width="16.5" customWidth="1"/>
    <col min="10255" max="10255" width="20.33203125" bestFit="1" customWidth="1"/>
    <col min="10256" max="10256" width="25.33203125" bestFit="1" customWidth="1"/>
    <col min="10257" max="10257" width="23.33203125" bestFit="1" customWidth="1"/>
    <col min="10258" max="10258" width="18.1640625" bestFit="1" customWidth="1"/>
    <col min="10259" max="10259" width="18.6640625" bestFit="1" customWidth="1"/>
    <col min="10260" max="10260" width="16.83203125" bestFit="1" customWidth="1"/>
    <col min="10261" max="10261" width="10.5" customWidth="1"/>
    <col min="10262" max="10262" width="12.83203125" customWidth="1"/>
    <col min="10263" max="10263" width="14.5" customWidth="1"/>
    <col min="10264" max="10264" width="13.83203125" customWidth="1"/>
    <col min="10265" max="10265" width="17.5" customWidth="1"/>
    <col min="10266" max="10266" width="16.33203125" customWidth="1"/>
    <col min="10267" max="10267" width="20.5" customWidth="1"/>
    <col min="10268" max="10268" width="29.1640625" bestFit="1" customWidth="1"/>
    <col min="10269" max="10269" width="29.33203125" bestFit="1" customWidth="1"/>
    <col min="10270" max="10270" width="14.5" bestFit="1" customWidth="1"/>
    <col min="10271" max="10271" width="16.5" bestFit="1" customWidth="1"/>
    <col min="10272" max="10272" width="29.1640625" bestFit="1" customWidth="1"/>
    <col min="10273" max="10273" width="30.5" bestFit="1" customWidth="1"/>
    <col min="10274" max="10274" width="14.5" bestFit="1" customWidth="1"/>
    <col min="10275" max="10275" width="16.5" bestFit="1" customWidth="1"/>
    <col min="10276" max="10276" width="29.1640625" bestFit="1" customWidth="1"/>
    <col min="10277" max="10277" width="30.5" bestFit="1" customWidth="1"/>
    <col min="10278" max="10278" width="14.5" bestFit="1" customWidth="1"/>
    <col min="10279" max="10279" width="16.5" bestFit="1" customWidth="1"/>
    <col min="10280" max="10280" width="29.1640625" bestFit="1" customWidth="1"/>
    <col min="10281" max="10281" width="29.33203125" bestFit="1" customWidth="1"/>
    <col min="10282" max="10282" width="14.5" bestFit="1" customWidth="1"/>
    <col min="10283" max="10283" width="16.5" bestFit="1" customWidth="1"/>
    <col min="10284" max="10284" width="29.1640625" bestFit="1" customWidth="1"/>
    <col min="10285" max="10285" width="29.33203125" bestFit="1" customWidth="1"/>
    <col min="10286" max="10496" width="8.83203125" customWidth="1"/>
    <col min="10497" max="10497" width="13.1640625" customWidth="1"/>
    <col min="10498" max="10498" width="14.33203125" customWidth="1"/>
    <col min="10499" max="10499" width="10.5" customWidth="1"/>
    <col min="10500" max="10500" width="9.6640625" customWidth="1"/>
    <col min="10501" max="10501" width="12.5" customWidth="1"/>
    <col min="10502" max="10502" width="19.83203125" customWidth="1"/>
    <col min="10503" max="10504" width="12.5" customWidth="1"/>
    <col min="10505" max="10505" width="11" customWidth="1"/>
    <col min="10506" max="10506" width="14.5" customWidth="1"/>
    <col min="10507" max="10507" width="11" customWidth="1"/>
    <col min="10508" max="10508" width="8.83203125" customWidth="1"/>
    <col min="10509" max="10509" width="9.5" customWidth="1"/>
    <col min="10510" max="10510" width="16.5" customWidth="1"/>
    <col min="10511" max="10511" width="20.33203125" bestFit="1" customWidth="1"/>
    <col min="10512" max="10512" width="25.33203125" bestFit="1" customWidth="1"/>
    <col min="10513" max="10513" width="23.33203125" bestFit="1" customWidth="1"/>
    <col min="10514" max="10514" width="18.1640625" bestFit="1" customWidth="1"/>
    <col min="10515" max="10515" width="18.6640625" bestFit="1" customWidth="1"/>
    <col min="10516" max="10516" width="16.83203125" bestFit="1" customWidth="1"/>
    <col min="10517" max="10517" width="10.5" customWidth="1"/>
    <col min="10518" max="10518" width="12.83203125" customWidth="1"/>
    <col min="10519" max="10519" width="14.5" customWidth="1"/>
    <col min="10520" max="10520" width="13.83203125" customWidth="1"/>
    <col min="10521" max="10521" width="17.5" customWidth="1"/>
    <col min="10522" max="10522" width="16.33203125" customWidth="1"/>
    <col min="10523" max="10523" width="20.5" customWidth="1"/>
    <col min="10524" max="10524" width="29.1640625" bestFit="1" customWidth="1"/>
    <col min="10525" max="10525" width="29.33203125" bestFit="1" customWidth="1"/>
    <col min="10526" max="10526" width="14.5" bestFit="1" customWidth="1"/>
    <col min="10527" max="10527" width="16.5" bestFit="1" customWidth="1"/>
    <col min="10528" max="10528" width="29.1640625" bestFit="1" customWidth="1"/>
    <col min="10529" max="10529" width="30.5" bestFit="1" customWidth="1"/>
    <col min="10530" max="10530" width="14.5" bestFit="1" customWidth="1"/>
    <col min="10531" max="10531" width="16.5" bestFit="1" customWidth="1"/>
    <col min="10532" max="10532" width="29.1640625" bestFit="1" customWidth="1"/>
    <col min="10533" max="10533" width="30.5" bestFit="1" customWidth="1"/>
    <col min="10534" max="10534" width="14.5" bestFit="1" customWidth="1"/>
    <col min="10535" max="10535" width="16.5" bestFit="1" customWidth="1"/>
    <col min="10536" max="10536" width="29.1640625" bestFit="1" customWidth="1"/>
    <col min="10537" max="10537" width="29.33203125" bestFit="1" customWidth="1"/>
    <col min="10538" max="10538" width="14.5" bestFit="1" customWidth="1"/>
    <col min="10539" max="10539" width="16.5" bestFit="1" customWidth="1"/>
    <col min="10540" max="10540" width="29.1640625" bestFit="1" customWidth="1"/>
    <col min="10541" max="10541" width="29.33203125" bestFit="1" customWidth="1"/>
    <col min="10542" max="10752" width="8.83203125" customWidth="1"/>
    <col min="10753" max="10753" width="13.1640625" customWidth="1"/>
    <col min="10754" max="10754" width="14.33203125" customWidth="1"/>
    <col min="10755" max="10755" width="10.5" customWidth="1"/>
    <col min="10756" max="10756" width="9.6640625" customWidth="1"/>
    <col min="10757" max="10757" width="12.5" customWidth="1"/>
    <col min="10758" max="10758" width="19.83203125" customWidth="1"/>
    <col min="10759" max="10760" width="12.5" customWidth="1"/>
    <col min="10761" max="10761" width="11" customWidth="1"/>
    <col min="10762" max="10762" width="14.5" customWidth="1"/>
    <col min="10763" max="10763" width="11" customWidth="1"/>
    <col min="10764" max="10764" width="8.83203125" customWidth="1"/>
    <col min="10765" max="10765" width="9.5" customWidth="1"/>
    <col min="10766" max="10766" width="16.5" customWidth="1"/>
    <col min="10767" max="10767" width="20.33203125" bestFit="1" customWidth="1"/>
    <col min="10768" max="10768" width="25.33203125" bestFit="1" customWidth="1"/>
    <col min="10769" max="10769" width="23.33203125" bestFit="1" customWidth="1"/>
    <col min="10770" max="10770" width="18.1640625" bestFit="1" customWidth="1"/>
    <col min="10771" max="10771" width="18.6640625" bestFit="1" customWidth="1"/>
    <col min="10772" max="10772" width="16.83203125" bestFit="1" customWidth="1"/>
    <col min="10773" max="10773" width="10.5" customWidth="1"/>
    <col min="10774" max="10774" width="12.83203125" customWidth="1"/>
    <col min="10775" max="10775" width="14.5" customWidth="1"/>
    <col min="10776" max="10776" width="13.83203125" customWidth="1"/>
    <col min="10777" max="10777" width="17.5" customWidth="1"/>
    <col min="10778" max="10778" width="16.33203125" customWidth="1"/>
    <col min="10779" max="10779" width="20.5" customWidth="1"/>
    <col min="10780" max="10780" width="29.1640625" bestFit="1" customWidth="1"/>
    <col min="10781" max="10781" width="29.33203125" bestFit="1" customWidth="1"/>
    <col min="10782" max="10782" width="14.5" bestFit="1" customWidth="1"/>
    <col min="10783" max="10783" width="16.5" bestFit="1" customWidth="1"/>
    <col min="10784" max="10784" width="29.1640625" bestFit="1" customWidth="1"/>
    <col min="10785" max="10785" width="30.5" bestFit="1" customWidth="1"/>
    <col min="10786" max="10786" width="14.5" bestFit="1" customWidth="1"/>
    <col min="10787" max="10787" width="16.5" bestFit="1" customWidth="1"/>
    <col min="10788" max="10788" width="29.1640625" bestFit="1" customWidth="1"/>
    <col min="10789" max="10789" width="30.5" bestFit="1" customWidth="1"/>
    <col min="10790" max="10790" width="14.5" bestFit="1" customWidth="1"/>
    <col min="10791" max="10791" width="16.5" bestFit="1" customWidth="1"/>
    <col min="10792" max="10792" width="29.1640625" bestFit="1" customWidth="1"/>
    <col min="10793" max="10793" width="29.33203125" bestFit="1" customWidth="1"/>
    <col min="10794" max="10794" width="14.5" bestFit="1" customWidth="1"/>
    <col min="10795" max="10795" width="16.5" bestFit="1" customWidth="1"/>
    <col min="10796" max="10796" width="29.1640625" bestFit="1" customWidth="1"/>
    <col min="10797" max="10797" width="29.33203125" bestFit="1" customWidth="1"/>
    <col min="10798" max="11008" width="8.83203125" customWidth="1"/>
    <col min="11009" max="11009" width="13.1640625" customWidth="1"/>
    <col min="11010" max="11010" width="14.33203125" customWidth="1"/>
    <col min="11011" max="11011" width="10.5" customWidth="1"/>
    <col min="11012" max="11012" width="9.6640625" customWidth="1"/>
    <col min="11013" max="11013" width="12.5" customWidth="1"/>
    <col min="11014" max="11014" width="19.83203125" customWidth="1"/>
    <col min="11015" max="11016" width="12.5" customWidth="1"/>
    <col min="11017" max="11017" width="11" customWidth="1"/>
    <col min="11018" max="11018" width="14.5" customWidth="1"/>
    <col min="11019" max="11019" width="11" customWidth="1"/>
    <col min="11020" max="11020" width="8.83203125" customWidth="1"/>
    <col min="11021" max="11021" width="9.5" customWidth="1"/>
    <col min="11022" max="11022" width="16.5" customWidth="1"/>
    <col min="11023" max="11023" width="20.33203125" bestFit="1" customWidth="1"/>
    <col min="11024" max="11024" width="25.33203125" bestFit="1" customWidth="1"/>
    <col min="11025" max="11025" width="23.33203125" bestFit="1" customWidth="1"/>
    <col min="11026" max="11026" width="18.1640625" bestFit="1" customWidth="1"/>
    <col min="11027" max="11027" width="18.6640625" bestFit="1" customWidth="1"/>
    <col min="11028" max="11028" width="16.83203125" bestFit="1" customWidth="1"/>
    <col min="11029" max="11029" width="10.5" customWidth="1"/>
    <col min="11030" max="11030" width="12.83203125" customWidth="1"/>
    <col min="11031" max="11031" width="14.5" customWidth="1"/>
    <col min="11032" max="11032" width="13.83203125" customWidth="1"/>
    <col min="11033" max="11033" width="17.5" customWidth="1"/>
    <col min="11034" max="11034" width="16.33203125" customWidth="1"/>
    <col min="11035" max="11035" width="20.5" customWidth="1"/>
    <col min="11036" max="11036" width="29.1640625" bestFit="1" customWidth="1"/>
    <col min="11037" max="11037" width="29.33203125" bestFit="1" customWidth="1"/>
    <col min="11038" max="11038" width="14.5" bestFit="1" customWidth="1"/>
    <col min="11039" max="11039" width="16.5" bestFit="1" customWidth="1"/>
    <col min="11040" max="11040" width="29.1640625" bestFit="1" customWidth="1"/>
    <col min="11041" max="11041" width="30.5" bestFit="1" customWidth="1"/>
    <col min="11042" max="11042" width="14.5" bestFit="1" customWidth="1"/>
    <col min="11043" max="11043" width="16.5" bestFit="1" customWidth="1"/>
    <col min="11044" max="11044" width="29.1640625" bestFit="1" customWidth="1"/>
    <col min="11045" max="11045" width="30.5" bestFit="1" customWidth="1"/>
    <col min="11046" max="11046" width="14.5" bestFit="1" customWidth="1"/>
    <col min="11047" max="11047" width="16.5" bestFit="1" customWidth="1"/>
    <col min="11048" max="11048" width="29.1640625" bestFit="1" customWidth="1"/>
    <col min="11049" max="11049" width="29.33203125" bestFit="1" customWidth="1"/>
    <col min="11050" max="11050" width="14.5" bestFit="1" customWidth="1"/>
    <col min="11051" max="11051" width="16.5" bestFit="1" customWidth="1"/>
    <col min="11052" max="11052" width="29.1640625" bestFit="1" customWidth="1"/>
    <col min="11053" max="11053" width="29.33203125" bestFit="1" customWidth="1"/>
    <col min="11054" max="11264" width="8.83203125" customWidth="1"/>
    <col min="11265" max="11265" width="13.1640625" customWidth="1"/>
    <col min="11266" max="11266" width="14.33203125" customWidth="1"/>
    <col min="11267" max="11267" width="10.5" customWidth="1"/>
    <col min="11268" max="11268" width="9.6640625" customWidth="1"/>
    <col min="11269" max="11269" width="12.5" customWidth="1"/>
    <col min="11270" max="11270" width="19.83203125" customWidth="1"/>
    <col min="11271" max="11272" width="12.5" customWidth="1"/>
    <col min="11273" max="11273" width="11" customWidth="1"/>
    <col min="11274" max="11274" width="14.5" customWidth="1"/>
    <col min="11275" max="11275" width="11" customWidth="1"/>
    <col min="11276" max="11276" width="8.83203125" customWidth="1"/>
    <col min="11277" max="11277" width="9.5" customWidth="1"/>
    <col min="11278" max="11278" width="16.5" customWidth="1"/>
    <col min="11279" max="11279" width="20.33203125" bestFit="1" customWidth="1"/>
    <col min="11280" max="11280" width="25.33203125" bestFit="1" customWidth="1"/>
    <col min="11281" max="11281" width="23.33203125" bestFit="1" customWidth="1"/>
    <col min="11282" max="11282" width="18.1640625" bestFit="1" customWidth="1"/>
    <col min="11283" max="11283" width="18.6640625" bestFit="1" customWidth="1"/>
    <col min="11284" max="11284" width="16.83203125" bestFit="1" customWidth="1"/>
    <col min="11285" max="11285" width="10.5" customWidth="1"/>
    <col min="11286" max="11286" width="12.83203125" customWidth="1"/>
    <col min="11287" max="11287" width="14.5" customWidth="1"/>
    <col min="11288" max="11288" width="13.83203125" customWidth="1"/>
    <col min="11289" max="11289" width="17.5" customWidth="1"/>
    <col min="11290" max="11290" width="16.33203125" customWidth="1"/>
    <col min="11291" max="11291" width="20.5" customWidth="1"/>
    <col min="11292" max="11292" width="29.1640625" bestFit="1" customWidth="1"/>
    <col min="11293" max="11293" width="29.33203125" bestFit="1" customWidth="1"/>
    <col min="11294" max="11294" width="14.5" bestFit="1" customWidth="1"/>
    <col min="11295" max="11295" width="16.5" bestFit="1" customWidth="1"/>
    <col min="11296" max="11296" width="29.1640625" bestFit="1" customWidth="1"/>
    <col min="11297" max="11297" width="30.5" bestFit="1" customWidth="1"/>
    <col min="11298" max="11298" width="14.5" bestFit="1" customWidth="1"/>
    <col min="11299" max="11299" width="16.5" bestFit="1" customWidth="1"/>
    <col min="11300" max="11300" width="29.1640625" bestFit="1" customWidth="1"/>
    <col min="11301" max="11301" width="30.5" bestFit="1" customWidth="1"/>
    <col min="11302" max="11302" width="14.5" bestFit="1" customWidth="1"/>
    <col min="11303" max="11303" width="16.5" bestFit="1" customWidth="1"/>
    <col min="11304" max="11304" width="29.1640625" bestFit="1" customWidth="1"/>
    <col min="11305" max="11305" width="29.33203125" bestFit="1" customWidth="1"/>
    <col min="11306" max="11306" width="14.5" bestFit="1" customWidth="1"/>
    <col min="11307" max="11307" width="16.5" bestFit="1" customWidth="1"/>
    <col min="11308" max="11308" width="29.1640625" bestFit="1" customWidth="1"/>
    <col min="11309" max="11309" width="29.33203125" bestFit="1" customWidth="1"/>
    <col min="11310" max="11520" width="8.83203125" customWidth="1"/>
    <col min="11521" max="11521" width="13.1640625" customWidth="1"/>
    <col min="11522" max="11522" width="14.33203125" customWidth="1"/>
    <col min="11523" max="11523" width="10.5" customWidth="1"/>
    <col min="11524" max="11524" width="9.6640625" customWidth="1"/>
    <col min="11525" max="11525" width="12.5" customWidth="1"/>
    <col min="11526" max="11526" width="19.83203125" customWidth="1"/>
    <col min="11527" max="11528" width="12.5" customWidth="1"/>
    <col min="11529" max="11529" width="11" customWidth="1"/>
    <col min="11530" max="11530" width="14.5" customWidth="1"/>
    <col min="11531" max="11531" width="11" customWidth="1"/>
    <col min="11532" max="11532" width="8.83203125" customWidth="1"/>
    <col min="11533" max="11533" width="9.5" customWidth="1"/>
    <col min="11534" max="11534" width="16.5" customWidth="1"/>
    <col min="11535" max="11535" width="20.33203125" bestFit="1" customWidth="1"/>
    <col min="11536" max="11536" width="25.33203125" bestFit="1" customWidth="1"/>
    <col min="11537" max="11537" width="23.33203125" bestFit="1" customWidth="1"/>
    <col min="11538" max="11538" width="18.1640625" bestFit="1" customWidth="1"/>
    <col min="11539" max="11539" width="18.6640625" bestFit="1" customWidth="1"/>
    <col min="11540" max="11540" width="16.83203125" bestFit="1" customWidth="1"/>
    <col min="11541" max="11541" width="10.5" customWidth="1"/>
    <col min="11542" max="11542" width="12.83203125" customWidth="1"/>
    <col min="11543" max="11543" width="14.5" customWidth="1"/>
    <col min="11544" max="11544" width="13.83203125" customWidth="1"/>
    <col min="11545" max="11545" width="17.5" customWidth="1"/>
    <col min="11546" max="11546" width="16.33203125" customWidth="1"/>
    <col min="11547" max="11547" width="20.5" customWidth="1"/>
    <col min="11548" max="11548" width="29.1640625" bestFit="1" customWidth="1"/>
    <col min="11549" max="11549" width="29.33203125" bestFit="1" customWidth="1"/>
    <col min="11550" max="11550" width="14.5" bestFit="1" customWidth="1"/>
    <col min="11551" max="11551" width="16.5" bestFit="1" customWidth="1"/>
    <col min="11552" max="11552" width="29.1640625" bestFit="1" customWidth="1"/>
    <col min="11553" max="11553" width="30.5" bestFit="1" customWidth="1"/>
    <col min="11554" max="11554" width="14.5" bestFit="1" customWidth="1"/>
    <col min="11555" max="11555" width="16.5" bestFit="1" customWidth="1"/>
    <col min="11556" max="11556" width="29.1640625" bestFit="1" customWidth="1"/>
    <col min="11557" max="11557" width="30.5" bestFit="1" customWidth="1"/>
    <col min="11558" max="11558" width="14.5" bestFit="1" customWidth="1"/>
    <col min="11559" max="11559" width="16.5" bestFit="1" customWidth="1"/>
    <col min="11560" max="11560" width="29.1640625" bestFit="1" customWidth="1"/>
    <col min="11561" max="11561" width="29.33203125" bestFit="1" customWidth="1"/>
    <col min="11562" max="11562" width="14.5" bestFit="1" customWidth="1"/>
    <col min="11563" max="11563" width="16.5" bestFit="1" customWidth="1"/>
    <col min="11564" max="11564" width="29.1640625" bestFit="1" customWidth="1"/>
    <col min="11565" max="11565" width="29.33203125" bestFit="1" customWidth="1"/>
    <col min="11566" max="11776" width="8.83203125" customWidth="1"/>
    <col min="11777" max="11777" width="13.1640625" customWidth="1"/>
    <col min="11778" max="11778" width="14.33203125" customWidth="1"/>
    <col min="11779" max="11779" width="10.5" customWidth="1"/>
    <col min="11780" max="11780" width="9.6640625" customWidth="1"/>
    <col min="11781" max="11781" width="12.5" customWidth="1"/>
    <col min="11782" max="11782" width="19.83203125" customWidth="1"/>
    <col min="11783" max="11784" width="12.5" customWidth="1"/>
    <col min="11785" max="11785" width="11" customWidth="1"/>
    <col min="11786" max="11786" width="14.5" customWidth="1"/>
    <col min="11787" max="11787" width="11" customWidth="1"/>
    <col min="11788" max="11788" width="8.83203125" customWidth="1"/>
    <col min="11789" max="11789" width="9.5" customWidth="1"/>
    <col min="11790" max="11790" width="16.5" customWidth="1"/>
    <col min="11791" max="11791" width="20.33203125" bestFit="1" customWidth="1"/>
    <col min="11792" max="11792" width="25.33203125" bestFit="1" customWidth="1"/>
    <col min="11793" max="11793" width="23.33203125" bestFit="1" customWidth="1"/>
    <col min="11794" max="11794" width="18.1640625" bestFit="1" customWidth="1"/>
    <col min="11795" max="11795" width="18.6640625" bestFit="1" customWidth="1"/>
    <col min="11796" max="11796" width="16.83203125" bestFit="1" customWidth="1"/>
    <col min="11797" max="11797" width="10.5" customWidth="1"/>
    <col min="11798" max="11798" width="12.83203125" customWidth="1"/>
    <col min="11799" max="11799" width="14.5" customWidth="1"/>
    <col min="11800" max="11800" width="13.83203125" customWidth="1"/>
    <col min="11801" max="11801" width="17.5" customWidth="1"/>
    <col min="11802" max="11802" width="16.33203125" customWidth="1"/>
    <col min="11803" max="11803" width="20.5" customWidth="1"/>
    <col min="11804" max="11804" width="29.1640625" bestFit="1" customWidth="1"/>
    <col min="11805" max="11805" width="29.33203125" bestFit="1" customWidth="1"/>
    <col min="11806" max="11806" width="14.5" bestFit="1" customWidth="1"/>
    <col min="11807" max="11807" width="16.5" bestFit="1" customWidth="1"/>
    <col min="11808" max="11808" width="29.1640625" bestFit="1" customWidth="1"/>
    <col min="11809" max="11809" width="30.5" bestFit="1" customWidth="1"/>
    <col min="11810" max="11810" width="14.5" bestFit="1" customWidth="1"/>
    <col min="11811" max="11811" width="16.5" bestFit="1" customWidth="1"/>
    <col min="11812" max="11812" width="29.1640625" bestFit="1" customWidth="1"/>
    <col min="11813" max="11813" width="30.5" bestFit="1" customWidth="1"/>
    <col min="11814" max="11814" width="14.5" bestFit="1" customWidth="1"/>
    <col min="11815" max="11815" width="16.5" bestFit="1" customWidth="1"/>
    <col min="11816" max="11816" width="29.1640625" bestFit="1" customWidth="1"/>
    <col min="11817" max="11817" width="29.33203125" bestFit="1" customWidth="1"/>
    <col min="11818" max="11818" width="14.5" bestFit="1" customWidth="1"/>
    <col min="11819" max="11819" width="16.5" bestFit="1" customWidth="1"/>
    <col min="11820" max="11820" width="29.1640625" bestFit="1" customWidth="1"/>
    <col min="11821" max="11821" width="29.33203125" bestFit="1" customWidth="1"/>
    <col min="11822" max="12032" width="8.83203125" customWidth="1"/>
    <col min="12033" max="12033" width="13.1640625" customWidth="1"/>
    <col min="12034" max="12034" width="14.33203125" customWidth="1"/>
    <col min="12035" max="12035" width="10.5" customWidth="1"/>
    <col min="12036" max="12036" width="9.6640625" customWidth="1"/>
    <col min="12037" max="12037" width="12.5" customWidth="1"/>
    <col min="12038" max="12038" width="19.83203125" customWidth="1"/>
    <col min="12039" max="12040" width="12.5" customWidth="1"/>
    <col min="12041" max="12041" width="11" customWidth="1"/>
    <col min="12042" max="12042" width="14.5" customWidth="1"/>
    <col min="12043" max="12043" width="11" customWidth="1"/>
    <col min="12044" max="12044" width="8.83203125" customWidth="1"/>
    <col min="12045" max="12045" width="9.5" customWidth="1"/>
    <col min="12046" max="12046" width="16.5" customWidth="1"/>
    <col min="12047" max="12047" width="20.33203125" bestFit="1" customWidth="1"/>
    <col min="12048" max="12048" width="25.33203125" bestFit="1" customWidth="1"/>
    <col min="12049" max="12049" width="23.33203125" bestFit="1" customWidth="1"/>
    <col min="12050" max="12050" width="18.1640625" bestFit="1" customWidth="1"/>
    <col min="12051" max="12051" width="18.6640625" bestFit="1" customWidth="1"/>
    <col min="12052" max="12052" width="16.83203125" bestFit="1" customWidth="1"/>
    <col min="12053" max="12053" width="10.5" customWidth="1"/>
    <col min="12054" max="12054" width="12.83203125" customWidth="1"/>
    <col min="12055" max="12055" width="14.5" customWidth="1"/>
    <col min="12056" max="12056" width="13.83203125" customWidth="1"/>
    <col min="12057" max="12057" width="17.5" customWidth="1"/>
    <col min="12058" max="12058" width="16.33203125" customWidth="1"/>
    <col min="12059" max="12059" width="20.5" customWidth="1"/>
    <col min="12060" max="12060" width="29.1640625" bestFit="1" customWidth="1"/>
    <col min="12061" max="12061" width="29.33203125" bestFit="1" customWidth="1"/>
    <col min="12062" max="12062" width="14.5" bestFit="1" customWidth="1"/>
    <col min="12063" max="12063" width="16.5" bestFit="1" customWidth="1"/>
    <col min="12064" max="12064" width="29.1640625" bestFit="1" customWidth="1"/>
    <col min="12065" max="12065" width="30.5" bestFit="1" customWidth="1"/>
    <col min="12066" max="12066" width="14.5" bestFit="1" customWidth="1"/>
    <col min="12067" max="12067" width="16.5" bestFit="1" customWidth="1"/>
    <col min="12068" max="12068" width="29.1640625" bestFit="1" customWidth="1"/>
    <col min="12069" max="12069" width="30.5" bestFit="1" customWidth="1"/>
    <col min="12070" max="12070" width="14.5" bestFit="1" customWidth="1"/>
    <col min="12071" max="12071" width="16.5" bestFit="1" customWidth="1"/>
    <col min="12072" max="12072" width="29.1640625" bestFit="1" customWidth="1"/>
    <col min="12073" max="12073" width="29.33203125" bestFit="1" customWidth="1"/>
    <col min="12074" max="12074" width="14.5" bestFit="1" customWidth="1"/>
    <col min="12075" max="12075" width="16.5" bestFit="1" customWidth="1"/>
    <col min="12076" max="12076" width="29.1640625" bestFit="1" customWidth="1"/>
    <col min="12077" max="12077" width="29.33203125" bestFit="1" customWidth="1"/>
    <col min="12078" max="12288" width="8.83203125" customWidth="1"/>
    <col min="12289" max="12289" width="13.1640625" customWidth="1"/>
    <col min="12290" max="12290" width="14.33203125" customWidth="1"/>
    <col min="12291" max="12291" width="10.5" customWidth="1"/>
    <col min="12292" max="12292" width="9.6640625" customWidth="1"/>
    <col min="12293" max="12293" width="12.5" customWidth="1"/>
    <col min="12294" max="12294" width="19.83203125" customWidth="1"/>
    <col min="12295" max="12296" width="12.5" customWidth="1"/>
    <col min="12297" max="12297" width="11" customWidth="1"/>
    <col min="12298" max="12298" width="14.5" customWidth="1"/>
    <col min="12299" max="12299" width="11" customWidth="1"/>
    <col min="12300" max="12300" width="8.83203125" customWidth="1"/>
    <col min="12301" max="12301" width="9.5" customWidth="1"/>
    <col min="12302" max="12302" width="16.5" customWidth="1"/>
    <col min="12303" max="12303" width="20.33203125" bestFit="1" customWidth="1"/>
    <col min="12304" max="12304" width="25.33203125" bestFit="1" customWidth="1"/>
    <col min="12305" max="12305" width="23.33203125" bestFit="1" customWidth="1"/>
    <col min="12306" max="12306" width="18.1640625" bestFit="1" customWidth="1"/>
    <col min="12307" max="12307" width="18.6640625" bestFit="1" customWidth="1"/>
    <col min="12308" max="12308" width="16.83203125" bestFit="1" customWidth="1"/>
    <col min="12309" max="12309" width="10.5" customWidth="1"/>
    <col min="12310" max="12310" width="12.83203125" customWidth="1"/>
    <col min="12311" max="12311" width="14.5" customWidth="1"/>
    <col min="12312" max="12312" width="13.83203125" customWidth="1"/>
    <col min="12313" max="12313" width="17.5" customWidth="1"/>
    <col min="12314" max="12314" width="16.33203125" customWidth="1"/>
    <col min="12315" max="12315" width="20.5" customWidth="1"/>
    <col min="12316" max="12316" width="29.1640625" bestFit="1" customWidth="1"/>
    <col min="12317" max="12317" width="29.33203125" bestFit="1" customWidth="1"/>
    <col min="12318" max="12318" width="14.5" bestFit="1" customWidth="1"/>
    <col min="12319" max="12319" width="16.5" bestFit="1" customWidth="1"/>
    <col min="12320" max="12320" width="29.1640625" bestFit="1" customWidth="1"/>
    <col min="12321" max="12321" width="30.5" bestFit="1" customWidth="1"/>
    <col min="12322" max="12322" width="14.5" bestFit="1" customWidth="1"/>
    <col min="12323" max="12323" width="16.5" bestFit="1" customWidth="1"/>
    <col min="12324" max="12324" width="29.1640625" bestFit="1" customWidth="1"/>
    <col min="12325" max="12325" width="30.5" bestFit="1" customWidth="1"/>
    <col min="12326" max="12326" width="14.5" bestFit="1" customWidth="1"/>
    <col min="12327" max="12327" width="16.5" bestFit="1" customWidth="1"/>
    <col min="12328" max="12328" width="29.1640625" bestFit="1" customWidth="1"/>
    <col min="12329" max="12329" width="29.33203125" bestFit="1" customWidth="1"/>
    <col min="12330" max="12330" width="14.5" bestFit="1" customWidth="1"/>
    <col min="12331" max="12331" width="16.5" bestFit="1" customWidth="1"/>
    <col min="12332" max="12332" width="29.1640625" bestFit="1" customWidth="1"/>
    <col min="12333" max="12333" width="29.33203125" bestFit="1" customWidth="1"/>
    <col min="12334" max="12544" width="8.83203125" customWidth="1"/>
    <col min="12545" max="12545" width="13.1640625" customWidth="1"/>
    <col min="12546" max="12546" width="14.33203125" customWidth="1"/>
    <col min="12547" max="12547" width="10.5" customWidth="1"/>
    <col min="12548" max="12548" width="9.6640625" customWidth="1"/>
    <col min="12549" max="12549" width="12.5" customWidth="1"/>
    <col min="12550" max="12550" width="19.83203125" customWidth="1"/>
    <col min="12551" max="12552" width="12.5" customWidth="1"/>
    <col min="12553" max="12553" width="11" customWidth="1"/>
    <col min="12554" max="12554" width="14.5" customWidth="1"/>
    <col min="12555" max="12555" width="11" customWidth="1"/>
    <col min="12556" max="12556" width="8.83203125" customWidth="1"/>
    <col min="12557" max="12557" width="9.5" customWidth="1"/>
    <col min="12558" max="12558" width="16.5" customWidth="1"/>
    <col min="12559" max="12559" width="20.33203125" bestFit="1" customWidth="1"/>
    <col min="12560" max="12560" width="25.33203125" bestFit="1" customWidth="1"/>
    <col min="12561" max="12561" width="23.33203125" bestFit="1" customWidth="1"/>
    <col min="12562" max="12562" width="18.1640625" bestFit="1" customWidth="1"/>
    <col min="12563" max="12563" width="18.6640625" bestFit="1" customWidth="1"/>
    <col min="12564" max="12564" width="16.83203125" bestFit="1" customWidth="1"/>
    <col min="12565" max="12565" width="10.5" customWidth="1"/>
    <col min="12566" max="12566" width="12.83203125" customWidth="1"/>
    <col min="12567" max="12567" width="14.5" customWidth="1"/>
    <col min="12568" max="12568" width="13.83203125" customWidth="1"/>
    <col min="12569" max="12569" width="17.5" customWidth="1"/>
    <col min="12570" max="12570" width="16.33203125" customWidth="1"/>
    <col min="12571" max="12571" width="20.5" customWidth="1"/>
    <col min="12572" max="12572" width="29.1640625" bestFit="1" customWidth="1"/>
    <col min="12573" max="12573" width="29.33203125" bestFit="1" customWidth="1"/>
    <col min="12574" max="12574" width="14.5" bestFit="1" customWidth="1"/>
    <col min="12575" max="12575" width="16.5" bestFit="1" customWidth="1"/>
    <col min="12576" max="12576" width="29.1640625" bestFit="1" customWidth="1"/>
    <col min="12577" max="12577" width="30.5" bestFit="1" customWidth="1"/>
    <col min="12578" max="12578" width="14.5" bestFit="1" customWidth="1"/>
    <col min="12579" max="12579" width="16.5" bestFit="1" customWidth="1"/>
    <col min="12580" max="12580" width="29.1640625" bestFit="1" customWidth="1"/>
    <col min="12581" max="12581" width="30.5" bestFit="1" customWidth="1"/>
    <col min="12582" max="12582" width="14.5" bestFit="1" customWidth="1"/>
    <col min="12583" max="12583" width="16.5" bestFit="1" customWidth="1"/>
    <col min="12584" max="12584" width="29.1640625" bestFit="1" customWidth="1"/>
    <col min="12585" max="12585" width="29.33203125" bestFit="1" customWidth="1"/>
    <col min="12586" max="12586" width="14.5" bestFit="1" customWidth="1"/>
    <col min="12587" max="12587" width="16.5" bestFit="1" customWidth="1"/>
    <col min="12588" max="12588" width="29.1640625" bestFit="1" customWidth="1"/>
    <col min="12589" max="12589" width="29.33203125" bestFit="1" customWidth="1"/>
    <col min="12590" max="12800" width="8.83203125" customWidth="1"/>
    <col min="12801" max="12801" width="13.1640625" customWidth="1"/>
    <col min="12802" max="12802" width="14.33203125" customWidth="1"/>
    <col min="12803" max="12803" width="10.5" customWidth="1"/>
    <col min="12804" max="12804" width="9.6640625" customWidth="1"/>
    <col min="12805" max="12805" width="12.5" customWidth="1"/>
    <col min="12806" max="12806" width="19.83203125" customWidth="1"/>
    <col min="12807" max="12808" width="12.5" customWidth="1"/>
    <col min="12809" max="12809" width="11" customWidth="1"/>
    <col min="12810" max="12810" width="14.5" customWidth="1"/>
    <col min="12811" max="12811" width="11" customWidth="1"/>
    <col min="12812" max="12812" width="8.83203125" customWidth="1"/>
    <col min="12813" max="12813" width="9.5" customWidth="1"/>
    <col min="12814" max="12814" width="16.5" customWidth="1"/>
    <col min="12815" max="12815" width="20.33203125" bestFit="1" customWidth="1"/>
    <col min="12816" max="12816" width="25.33203125" bestFit="1" customWidth="1"/>
    <col min="12817" max="12817" width="23.33203125" bestFit="1" customWidth="1"/>
    <col min="12818" max="12818" width="18.1640625" bestFit="1" customWidth="1"/>
    <col min="12819" max="12819" width="18.6640625" bestFit="1" customWidth="1"/>
    <col min="12820" max="12820" width="16.83203125" bestFit="1" customWidth="1"/>
    <col min="12821" max="12821" width="10.5" customWidth="1"/>
    <col min="12822" max="12822" width="12.83203125" customWidth="1"/>
    <col min="12823" max="12823" width="14.5" customWidth="1"/>
    <col min="12824" max="12824" width="13.83203125" customWidth="1"/>
    <col min="12825" max="12825" width="17.5" customWidth="1"/>
    <col min="12826" max="12826" width="16.33203125" customWidth="1"/>
    <col min="12827" max="12827" width="20.5" customWidth="1"/>
    <col min="12828" max="12828" width="29.1640625" bestFit="1" customWidth="1"/>
    <col min="12829" max="12829" width="29.33203125" bestFit="1" customWidth="1"/>
    <col min="12830" max="12830" width="14.5" bestFit="1" customWidth="1"/>
    <col min="12831" max="12831" width="16.5" bestFit="1" customWidth="1"/>
    <col min="12832" max="12832" width="29.1640625" bestFit="1" customWidth="1"/>
    <col min="12833" max="12833" width="30.5" bestFit="1" customWidth="1"/>
    <col min="12834" max="12834" width="14.5" bestFit="1" customWidth="1"/>
    <col min="12835" max="12835" width="16.5" bestFit="1" customWidth="1"/>
    <col min="12836" max="12836" width="29.1640625" bestFit="1" customWidth="1"/>
    <col min="12837" max="12837" width="30.5" bestFit="1" customWidth="1"/>
    <col min="12838" max="12838" width="14.5" bestFit="1" customWidth="1"/>
    <col min="12839" max="12839" width="16.5" bestFit="1" customWidth="1"/>
    <col min="12840" max="12840" width="29.1640625" bestFit="1" customWidth="1"/>
    <col min="12841" max="12841" width="29.33203125" bestFit="1" customWidth="1"/>
    <col min="12842" max="12842" width="14.5" bestFit="1" customWidth="1"/>
    <col min="12843" max="12843" width="16.5" bestFit="1" customWidth="1"/>
    <col min="12844" max="12844" width="29.1640625" bestFit="1" customWidth="1"/>
    <col min="12845" max="12845" width="29.33203125" bestFit="1" customWidth="1"/>
    <col min="12846" max="13056" width="8.83203125" customWidth="1"/>
    <col min="13057" max="13057" width="13.1640625" customWidth="1"/>
    <col min="13058" max="13058" width="14.33203125" customWidth="1"/>
    <col min="13059" max="13059" width="10.5" customWidth="1"/>
    <col min="13060" max="13060" width="9.6640625" customWidth="1"/>
    <col min="13061" max="13061" width="12.5" customWidth="1"/>
    <col min="13062" max="13062" width="19.83203125" customWidth="1"/>
    <col min="13063" max="13064" width="12.5" customWidth="1"/>
    <col min="13065" max="13065" width="11" customWidth="1"/>
    <col min="13066" max="13066" width="14.5" customWidth="1"/>
    <col min="13067" max="13067" width="11" customWidth="1"/>
    <col min="13068" max="13068" width="8.83203125" customWidth="1"/>
    <col min="13069" max="13069" width="9.5" customWidth="1"/>
    <col min="13070" max="13070" width="16.5" customWidth="1"/>
    <col min="13071" max="13071" width="20.33203125" bestFit="1" customWidth="1"/>
    <col min="13072" max="13072" width="25.33203125" bestFit="1" customWidth="1"/>
    <col min="13073" max="13073" width="23.33203125" bestFit="1" customWidth="1"/>
    <col min="13074" max="13074" width="18.1640625" bestFit="1" customWidth="1"/>
    <col min="13075" max="13075" width="18.6640625" bestFit="1" customWidth="1"/>
    <col min="13076" max="13076" width="16.83203125" bestFit="1" customWidth="1"/>
    <col min="13077" max="13077" width="10.5" customWidth="1"/>
    <col min="13078" max="13078" width="12.83203125" customWidth="1"/>
    <col min="13079" max="13079" width="14.5" customWidth="1"/>
    <col min="13080" max="13080" width="13.83203125" customWidth="1"/>
    <col min="13081" max="13081" width="17.5" customWidth="1"/>
    <col min="13082" max="13082" width="16.33203125" customWidth="1"/>
    <col min="13083" max="13083" width="20.5" customWidth="1"/>
    <col min="13084" max="13084" width="29.1640625" bestFit="1" customWidth="1"/>
    <col min="13085" max="13085" width="29.33203125" bestFit="1" customWidth="1"/>
    <col min="13086" max="13086" width="14.5" bestFit="1" customWidth="1"/>
    <col min="13087" max="13087" width="16.5" bestFit="1" customWidth="1"/>
    <col min="13088" max="13088" width="29.1640625" bestFit="1" customWidth="1"/>
    <col min="13089" max="13089" width="30.5" bestFit="1" customWidth="1"/>
    <col min="13090" max="13090" width="14.5" bestFit="1" customWidth="1"/>
    <col min="13091" max="13091" width="16.5" bestFit="1" customWidth="1"/>
    <col min="13092" max="13092" width="29.1640625" bestFit="1" customWidth="1"/>
    <col min="13093" max="13093" width="30.5" bestFit="1" customWidth="1"/>
    <col min="13094" max="13094" width="14.5" bestFit="1" customWidth="1"/>
    <col min="13095" max="13095" width="16.5" bestFit="1" customWidth="1"/>
    <col min="13096" max="13096" width="29.1640625" bestFit="1" customWidth="1"/>
    <col min="13097" max="13097" width="29.33203125" bestFit="1" customWidth="1"/>
    <col min="13098" max="13098" width="14.5" bestFit="1" customWidth="1"/>
    <col min="13099" max="13099" width="16.5" bestFit="1" customWidth="1"/>
    <col min="13100" max="13100" width="29.1640625" bestFit="1" customWidth="1"/>
    <col min="13101" max="13101" width="29.33203125" bestFit="1" customWidth="1"/>
    <col min="13102" max="13312" width="8.83203125" customWidth="1"/>
    <col min="13313" max="13313" width="13.1640625" customWidth="1"/>
    <col min="13314" max="13314" width="14.33203125" customWidth="1"/>
    <col min="13315" max="13315" width="10.5" customWidth="1"/>
    <col min="13316" max="13316" width="9.6640625" customWidth="1"/>
    <col min="13317" max="13317" width="12.5" customWidth="1"/>
    <col min="13318" max="13318" width="19.83203125" customWidth="1"/>
    <col min="13319" max="13320" width="12.5" customWidth="1"/>
    <col min="13321" max="13321" width="11" customWidth="1"/>
    <col min="13322" max="13322" width="14.5" customWidth="1"/>
    <col min="13323" max="13323" width="11" customWidth="1"/>
    <col min="13324" max="13324" width="8.83203125" customWidth="1"/>
    <col min="13325" max="13325" width="9.5" customWidth="1"/>
    <col min="13326" max="13326" width="16.5" customWidth="1"/>
    <col min="13327" max="13327" width="20.33203125" bestFit="1" customWidth="1"/>
    <col min="13328" max="13328" width="25.33203125" bestFit="1" customWidth="1"/>
    <col min="13329" max="13329" width="23.33203125" bestFit="1" customWidth="1"/>
    <col min="13330" max="13330" width="18.1640625" bestFit="1" customWidth="1"/>
    <col min="13331" max="13331" width="18.6640625" bestFit="1" customWidth="1"/>
    <col min="13332" max="13332" width="16.83203125" bestFit="1" customWidth="1"/>
    <col min="13333" max="13333" width="10.5" customWidth="1"/>
    <col min="13334" max="13334" width="12.83203125" customWidth="1"/>
    <col min="13335" max="13335" width="14.5" customWidth="1"/>
    <col min="13336" max="13336" width="13.83203125" customWidth="1"/>
    <col min="13337" max="13337" width="17.5" customWidth="1"/>
    <col min="13338" max="13338" width="16.33203125" customWidth="1"/>
    <col min="13339" max="13339" width="20.5" customWidth="1"/>
    <col min="13340" max="13340" width="29.1640625" bestFit="1" customWidth="1"/>
    <col min="13341" max="13341" width="29.33203125" bestFit="1" customWidth="1"/>
    <col min="13342" max="13342" width="14.5" bestFit="1" customWidth="1"/>
    <col min="13343" max="13343" width="16.5" bestFit="1" customWidth="1"/>
    <col min="13344" max="13344" width="29.1640625" bestFit="1" customWidth="1"/>
    <col min="13345" max="13345" width="30.5" bestFit="1" customWidth="1"/>
    <col min="13346" max="13346" width="14.5" bestFit="1" customWidth="1"/>
    <col min="13347" max="13347" width="16.5" bestFit="1" customWidth="1"/>
    <col min="13348" max="13348" width="29.1640625" bestFit="1" customWidth="1"/>
    <col min="13349" max="13349" width="30.5" bestFit="1" customWidth="1"/>
    <col min="13350" max="13350" width="14.5" bestFit="1" customWidth="1"/>
    <col min="13351" max="13351" width="16.5" bestFit="1" customWidth="1"/>
    <col min="13352" max="13352" width="29.1640625" bestFit="1" customWidth="1"/>
    <col min="13353" max="13353" width="29.33203125" bestFit="1" customWidth="1"/>
    <col min="13354" max="13354" width="14.5" bestFit="1" customWidth="1"/>
    <col min="13355" max="13355" width="16.5" bestFit="1" customWidth="1"/>
    <col min="13356" max="13356" width="29.1640625" bestFit="1" customWidth="1"/>
    <col min="13357" max="13357" width="29.33203125" bestFit="1" customWidth="1"/>
    <col min="13358" max="13568" width="8.83203125" customWidth="1"/>
    <col min="13569" max="13569" width="13.1640625" customWidth="1"/>
    <col min="13570" max="13570" width="14.33203125" customWidth="1"/>
    <col min="13571" max="13571" width="10.5" customWidth="1"/>
    <col min="13572" max="13572" width="9.6640625" customWidth="1"/>
    <col min="13573" max="13573" width="12.5" customWidth="1"/>
    <col min="13574" max="13574" width="19.83203125" customWidth="1"/>
    <col min="13575" max="13576" width="12.5" customWidth="1"/>
    <col min="13577" max="13577" width="11" customWidth="1"/>
    <col min="13578" max="13578" width="14.5" customWidth="1"/>
    <col min="13579" max="13579" width="11" customWidth="1"/>
    <col min="13580" max="13580" width="8.83203125" customWidth="1"/>
    <col min="13581" max="13581" width="9.5" customWidth="1"/>
    <col min="13582" max="13582" width="16.5" customWidth="1"/>
    <col min="13583" max="13583" width="20.33203125" bestFit="1" customWidth="1"/>
    <col min="13584" max="13584" width="25.33203125" bestFit="1" customWidth="1"/>
    <col min="13585" max="13585" width="23.33203125" bestFit="1" customWidth="1"/>
    <col min="13586" max="13586" width="18.1640625" bestFit="1" customWidth="1"/>
    <col min="13587" max="13587" width="18.6640625" bestFit="1" customWidth="1"/>
    <col min="13588" max="13588" width="16.83203125" bestFit="1" customWidth="1"/>
    <col min="13589" max="13589" width="10.5" customWidth="1"/>
    <col min="13590" max="13590" width="12.83203125" customWidth="1"/>
    <col min="13591" max="13591" width="14.5" customWidth="1"/>
    <col min="13592" max="13592" width="13.83203125" customWidth="1"/>
    <col min="13593" max="13593" width="17.5" customWidth="1"/>
    <col min="13594" max="13594" width="16.33203125" customWidth="1"/>
    <col min="13595" max="13595" width="20.5" customWidth="1"/>
    <col min="13596" max="13596" width="29.1640625" bestFit="1" customWidth="1"/>
    <col min="13597" max="13597" width="29.33203125" bestFit="1" customWidth="1"/>
    <col min="13598" max="13598" width="14.5" bestFit="1" customWidth="1"/>
    <col min="13599" max="13599" width="16.5" bestFit="1" customWidth="1"/>
    <col min="13600" max="13600" width="29.1640625" bestFit="1" customWidth="1"/>
    <col min="13601" max="13601" width="30.5" bestFit="1" customWidth="1"/>
    <col min="13602" max="13602" width="14.5" bestFit="1" customWidth="1"/>
    <col min="13603" max="13603" width="16.5" bestFit="1" customWidth="1"/>
    <col min="13604" max="13604" width="29.1640625" bestFit="1" customWidth="1"/>
    <col min="13605" max="13605" width="30.5" bestFit="1" customWidth="1"/>
    <col min="13606" max="13606" width="14.5" bestFit="1" customWidth="1"/>
    <col min="13607" max="13607" width="16.5" bestFit="1" customWidth="1"/>
    <col min="13608" max="13608" width="29.1640625" bestFit="1" customWidth="1"/>
    <col min="13609" max="13609" width="29.33203125" bestFit="1" customWidth="1"/>
    <col min="13610" max="13610" width="14.5" bestFit="1" customWidth="1"/>
    <col min="13611" max="13611" width="16.5" bestFit="1" customWidth="1"/>
    <col min="13612" max="13612" width="29.1640625" bestFit="1" customWidth="1"/>
    <col min="13613" max="13613" width="29.33203125" bestFit="1" customWidth="1"/>
    <col min="13614" max="13824" width="8.83203125" customWidth="1"/>
    <col min="13825" max="13825" width="13.1640625" customWidth="1"/>
    <col min="13826" max="13826" width="14.33203125" customWidth="1"/>
    <col min="13827" max="13827" width="10.5" customWidth="1"/>
    <col min="13828" max="13828" width="9.6640625" customWidth="1"/>
    <col min="13829" max="13829" width="12.5" customWidth="1"/>
    <col min="13830" max="13830" width="19.83203125" customWidth="1"/>
    <col min="13831" max="13832" width="12.5" customWidth="1"/>
    <col min="13833" max="13833" width="11" customWidth="1"/>
    <col min="13834" max="13834" width="14.5" customWidth="1"/>
    <col min="13835" max="13835" width="11" customWidth="1"/>
    <col min="13836" max="13836" width="8.83203125" customWidth="1"/>
    <col min="13837" max="13837" width="9.5" customWidth="1"/>
    <col min="13838" max="13838" width="16.5" customWidth="1"/>
    <col min="13839" max="13839" width="20.33203125" bestFit="1" customWidth="1"/>
    <col min="13840" max="13840" width="25.33203125" bestFit="1" customWidth="1"/>
    <col min="13841" max="13841" width="23.33203125" bestFit="1" customWidth="1"/>
    <col min="13842" max="13842" width="18.1640625" bestFit="1" customWidth="1"/>
    <col min="13843" max="13843" width="18.6640625" bestFit="1" customWidth="1"/>
    <col min="13844" max="13844" width="16.83203125" bestFit="1" customWidth="1"/>
    <col min="13845" max="13845" width="10.5" customWidth="1"/>
    <col min="13846" max="13846" width="12.83203125" customWidth="1"/>
    <col min="13847" max="13847" width="14.5" customWidth="1"/>
    <col min="13848" max="13848" width="13.83203125" customWidth="1"/>
    <col min="13849" max="13849" width="17.5" customWidth="1"/>
    <col min="13850" max="13850" width="16.33203125" customWidth="1"/>
    <col min="13851" max="13851" width="20.5" customWidth="1"/>
    <col min="13852" max="13852" width="29.1640625" bestFit="1" customWidth="1"/>
    <col min="13853" max="13853" width="29.33203125" bestFit="1" customWidth="1"/>
    <col min="13854" max="13854" width="14.5" bestFit="1" customWidth="1"/>
    <col min="13855" max="13855" width="16.5" bestFit="1" customWidth="1"/>
    <col min="13856" max="13856" width="29.1640625" bestFit="1" customWidth="1"/>
    <col min="13857" max="13857" width="30.5" bestFit="1" customWidth="1"/>
    <col min="13858" max="13858" width="14.5" bestFit="1" customWidth="1"/>
    <col min="13859" max="13859" width="16.5" bestFit="1" customWidth="1"/>
    <col min="13860" max="13860" width="29.1640625" bestFit="1" customWidth="1"/>
    <col min="13861" max="13861" width="30.5" bestFit="1" customWidth="1"/>
    <col min="13862" max="13862" width="14.5" bestFit="1" customWidth="1"/>
    <col min="13863" max="13863" width="16.5" bestFit="1" customWidth="1"/>
    <col min="13864" max="13864" width="29.1640625" bestFit="1" customWidth="1"/>
    <col min="13865" max="13865" width="29.33203125" bestFit="1" customWidth="1"/>
    <col min="13866" max="13866" width="14.5" bestFit="1" customWidth="1"/>
    <col min="13867" max="13867" width="16.5" bestFit="1" customWidth="1"/>
    <col min="13868" max="13868" width="29.1640625" bestFit="1" customWidth="1"/>
    <col min="13869" max="13869" width="29.33203125" bestFit="1" customWidth="1"/>
    <col min="13870" max="14080" width="8.83203125" customWidth="1"/>
    <col min="14081" max="14081" width="13.1640625" customWidth="1"/>
    <col min="14082" max="14082" width="14.33203125" customWidth="1"/>
    <col min="14083" max="14083" width="10.5" customWidth="1"/>
    <col min="14084" max="14084" width="9.6640625" customWidth="1"/>
    <col min="14085" max="14085" width="12.5" customWidth="1"/>
    <col min="14086" max="14086" width="19.83203125" customWidth="1"/>
    <col min="14087" max="14088" width="12.5" customWidth="1"/>
    <col min="14089" max="14089" width="11" customWidth="1"/>
    <col min="14090" max="14090" width="14.5" customWidth="1"/>
    <col min="14091" max="14091" width="11" customWidth="1"/>
    <col min="14092" max="14092" width="8.83203125" customWidth="1"/>
    <col min="14093" max="14093" width="9.5" customWidth="1"/>
    <col min="14094" max="14094" width="16.5" customWidth="1"/>
    <col min="14095" max="14095" width="20.33203125" bestFit="1" customWidth="1"/>
    <col min="14096" max="14096" width="25.33203125" bestFit="1" customWidth="1"/>
    <col min="14097" max="14097" width="23.33203125" bestFit="1" customWidth="1"/>
    <col min="14098" max="14098" width="18.1640625" bestFit="1" customWidth="1"/>
    <col min="14099" max="14099" width="18.6640625" bestFit="1" customWidth="1"/>
    <col min="14100" max="14100" width="16.83203125" bestFit="1" customWidth="1"/>
    <col min="14101" max="14101" width="10.5" customWidth="1"/>
    <col min="14102" max="14102" width="12.83203125" customWidth="1"/>
    <col min="14103" max="14103" width="14.5" customWidth="1"/>
    <col min="14104" max="14104" width="13.83203125" customWidth="1"/>
    <col min="14105" max="14105" width="17.5" customWidth="1"/>
    <col min="14106" max="14106" width="16.33203125" customWidth="1"/>
    <col min="14107" max="14107" width="20.5" customWidth="1"/>
    <col min="14108" max="14108" width="29.1640625" bestFit="1" customWidth="1"/>
    <col min="14109" max="14109" width="29.33203125" bestFit="1" customWidth="1"/>
    <col min="14110" max="14110" width="14.5" bestFit="1" customWidth="1"/>
    <col min="14111" max="14111" width="16.5" bestFit="1" customWidth="1"/>
    <col min="14112" max="14112" width="29.1640625" bestFit="1" customWidth="1"/>
    <col min="14113" max="14113" width="30.5" bestFit="1" customWidth="1"/>
    <col min="14114" max="14114" width="14.5" bestFit="1" customWidth="1"/>
    <col min="14115" max="14115" width="16.5" bestFit="1" customWidth="1"/>
    <col min="14116" max="14116" width="29.1640625" bestFit="1" customWidth="1"/>
    <col min="14117" max="14117" width="30.5" bestFit="1" customWidth="1"/>
    <col min="14118" max="14118" width="14.5" bestFit="1" customWidth="1"/>
    <col min="14119" max="14119" width="16.5" bestFit="1" customWidth="1"/>
    <col min="14120" max="14120" width="29.1640625" bestFit="1" customWidth="1"/>
    <col min="14121" max="14121" width="29.33203125" bestFit="1" customWidth="1"/>
    <col min="14122" max="14122" width="14.5" bestFit="1" customWidth="1"/>
    <col min="14123" max="14123" width="16.5" bestFit="1" customWidth="1"/>
    <col min="14124" max="14124" width="29.1640625" bestFit="1" customWidth="1"/>
    <col min="14125" max="14125" width="29.33203125" bestFit="1" customWidth="1"/>
    <col min="14126" max="14336" width="8.83203125" customWidth="1"/>
    <col min="14337" max="14337" width="13.1640625" customWidth="1"/>
    <col min="14338" max="14338" width="14.33203125" customWidth="1"/>
    <col min="14339" max="14339" width="10.5" customWidth="1"/>
    <col min="14340" max="14340" width="9.6640625" customWidth="1"/>
    <col min="14341" max="14341" width="12.5" customWidth="1"/>
    <col min="14342" max="14342" width="19.83203125" customWidth="1"/>
    <col min="14343" max="14344" width="12.5" customWidth="1"/>
    <col min="14345" max="14345" width="11" customWidth="1"/>
    <col min="14346" max="14346" width="14.5" customWidth="1"/>
    <col min="14347" max="14347" width="11" customWidth="1"/>
    <col min="14348" max="14348" width="8.83203125" customWidth="1"/>
    <col min="14349" max="14349" width="9.5" customWidth="1"/>
    <col min="14350" max="14350" width="16.5" customWidth="1"/>
    <col min="14351" max="14351" width="20.33203125" bestFit="1" customWidth="1"/>
    <col min="14352" max="14352" width="25.33203125" bestFit="1" customWidth="1"/>
    <col min="14353" max="14353" width="23.33203125" bestFit="1" customWidth="1"/>
    <col min="14354" max="14354" width="18.1640625" bestFit="1" customWidth="1"/>
    <col min="14355" max="14355" width="18.6640625" bestFit="1" customWidth="1"/>
    <col min="14356" max="14356" width="16.83203125" bestFit="1" customWidth="1"/>
    <col min="14357" max="14357" width="10.5" customWidth="1"/>
    <col min="14358" max="14358" width="12.83203125" customWidth="1"/>
    <col min="14359" max="14359" width="14.5" customWidth="1"/>
    <col min="14360" max="14360" width="13.83203125" customWidth="1"/>
    <col min="14361" max="14361" width="17.5" customWidth="1"/>
    <col min="14362" max="14362" width="16.33203125" customWidth="1"/>
    <col min="14363" max="14363" width="20.5" customWidth="1"/>
    <col min="14364" max="14364" width="29.1640625" bestFit="1" customWidth="1"/>
    <col min="14365" max="14365" width="29.33203125" bestFit="1" customWidth="1"/>
    <col min="14366" max="14366" width="14.5" bestFit="1" customWidth="1"/>
    <col min="14367" max="14367" width="16.5" bestFit="1" customWidth="1"/>
    <col min="14368" max="14368" width="29.1640625" bestFit="1" customWidth="1"/>
    <col min="14369" max="14369" width="30.5" bestFit="1" customWidth="1"/>
    <col min="14370" max="14370" width="14.5" bestFit="1" customWidth="1"/>
    <col min="14371" max="14371" width="16.5" bestFit="1" customWidth="1"/>
    <col min="14372" max="14372" width="29.1640625" bestFit="1" customWidth="1"/>
    <col min="14373" max="14373" width="30.5" bestFit="1" customWidth="1"/>
    <col min="14374" max="14374" width="14.5" bestFit="1" customWidth="1"/>
    <col min="14375" max="14375" width="16.5" bestFit="1" customWidth="1"/>
    <col min="14376" max="14376" width="29.1640625" bestFit="1" customWidth="1"/>
    <col min="14377" max="14377" width="29.33203125" bestFit="1" customWidth="1"/>
    <col min="14378" max="14378" width="14.5" bestFit="1" customWidth="1"/>
    <col min="14379" max="14379" width="16.5" bestFit="1" customWidth="1"/>
    <col min="14380" max="14380" width="29.1640625" bestFit="1" customWidth="1"/>
    <col min="14381" max="14381" width="29.33203125" bestFit="1" customWidth="1"/>
    <col min="14382" max="14592" width="8.83203125" customWidth="1"/>
    <col min="14593" max="14593" width="13.1640625" customWidth="1"/>
    <col min="14594" max="14594" width="14.33203125" customWidth="1"/>
    <col min="14595" max="14595" width="10.5" customWidth="1"/>
    <col min="14596" max="14596" width="9.6640625" customWidth="1"/>
    <col min="14597" max="14597" width="12.5" customWidth="1"/>
    <col min="14598" max="14598" width="19.83203125" customWidth="1"/>
    <col min="14599" max="14600" width="12.5" customWidth="1"/>
    <col min="14601" max="14601" width="11" customWidth="1"/>
    <col min="14602" max="14602" width="14.5" customWidth="1"/>
    <col min="14603" max="14603" width="11" customWidth="1"/>
    <col min="14604" max="14604" width="8.83203125" customWidth="1"/>
    <col min="14605" max="14605" width="9.5" customWidth="1"/>
    <col min="14606" max="14606" width="16.5" customWidth="1"/>
    <col min="14607" max="14607" width="20.33203125" bestFit="1" customWidth="1"/>
    <col min="14608" max="14608" width="25.33203125" bestFit="1" customWidth="1"/>
    <col min="14609" max="14609" width="23.33203125" bestFit="1" customWidth="1"/>
    <col min="14610" max="14610" width="18.1640625" bestFit="1" customWidth="1"/>
    <col min="14611" max="14611" width="18.6640625" bestFit="1" customWidth="1"/>
    <col min="14612" max="14612" width="16.83203125" bestFit="1" customWidth="1"/>
    <col min="14613" max="14613" width="10.5" customWidth="1"/>
    <col min="14614" max="14614" width="12.83203125" customWidth="1"/>
    <col min="14615" max="14615" width="14.5" customWidth="1"/>
    <col min="14616" max="14616" width="13.83203125" customWidth="1"/>
    <col min="14617" max="14617" width="17.5" customWidth="1"/>
    <col min="14618" max="14618" width="16.33203125" customWidth="1"/>
    <col min="14619" max="14619" width="20.5" customWidth="1"/>
    <col min="14620" max="14620" width="29.1640625" bestFit="1" customWidth="1"/>
    <col min="14621" max="14621" width="29.33203125" bestFit="1" customWidth="1"/>
    <col min="14622" max="14622" width="14.5" bestFit="1" customWidth="1"/>
    <col min="14623" max="14623" width="16.5" bestFit="1" customWidth="1"/>
    <col min="14624" max="14624" width="29.1640625" bestFit="1" customWidth="1"/>
    <col min="14625" max="14625" width="30.5" bestFit="1" customWidth="1"/>
    <col min="14626" max="14626" width="14.5" bestFit="1" customWidth="1"/>
    <col min="14627" max="14627" width="16.5" bestFit="1" customWidth="1"/>
    <col min="14628" max="14628" width="29.1640625" bestFit="1" customWidth="1"/>
    <col min="14629" max="14629" width="30.5" bestFit="1" customWidth="1"/>
    <col min="14630" max="14630" width="14.5" bestFit="1" customWidth="1"/>
    <col min="14631" max="14631" width="16.5" bestFit="1" customWidth="1"/>
    <col min="14632" max="14632" width="29.1640625" bestFit="1" customWidth="1"/>
    <col min="14633" max="14633" width="29.33203125" bestFit="1" customWidth="1"/>
    <col min="14634" max="14634" width="14.5" bestFit="1" customWidth="1"/>
    <col min="14635" max="14635" width="16.5" bestFit="1" customWidth="1"/>
    <col min="14636" max="14636" width="29.1640625" bestFit="1" customWidth="1"/>
    <col min="14637" max="14637" width="29.33203125" bestFit="1" customWidth="1"/>
    <col min="14638" max="14848" width="8.83203125" customWidth="1"/>
    <col min="14849" max="14849" width="13.1640625" customWidth="1"/>
    <col min="14850" max="14850" width="14.33203125" customWidth="1"/>
    <col min="14851" max="14851" width="10.5" customWidth="1"/>
    <col min="14852" max="14852" width="9.6640625" customWidth="1"/>
    <col min="14853" max="14853" width="12.5" customWidth="1"/>
    <col min="14854" max="14854" width="19.83203125" customWidth="1"/>
    <col min="14855" max="14856" width="12.5" customWidth="1"/>
    <col min="14857" max="14857" width="11" customWidth="1"/>
    <col min="14858" max="14858" width="14.5" customWidth="1"/>
    <col min="14859" max="14859" width="11" customWidth="1"/>
    <col min="14860" max="14860" width="8.83203125" customWidth="1"/>
    <col min="14861" max="14861" width="9.5" customWidth="1"/>
    <col min="14862" max="14862" width="16.5" customWidth="1"/>
    <col min="14863" max="14863" width="20.33203125" bestFit="1" customWidth="1"/>
    <col min="14864" max="14864" width="25.33203125" bestFit="1" customWidth="1"/>
    <col min="14865" max="14865" width="23.33203125" bestFit="1" customWidth="1"/>
    <col min="14866" max="14866" width="18.1640625" bestFit="1" customWidth="1"/>
    <col min="14867" max="14867" width="18.6640625" bestFit="1" customWidth="1"/>
    <col min="14868" max="14868" width="16.83203125" bestFit="1" customWidth="1"/>
    <col min="14869" max="14869" width="10.5" customWidth="1"/>
    <col min="14870" max="14870" width="12.83203125" customWidth="1"/>
    <col min="14871" max="14871" width="14.5" customWidth="1"/>
    <col min="14872" max="14872" width="13.83203125" customWidth="1"/>
    <col min="14873" max="14873" width="17.5" customWidth="1"/>
    <col min="14874" max="14874" width="16.33203125" customWidth="1"/>
    <col min="14875" max="14875" width="20.5" customWidth="1"/>
    <col min="14876" max="14876" width="29.1640625" bestFit="1" customWidth="1"/>
    <col min="14877" max="14877" width="29.33203125" bestFit="1" customWidth="1"/>
    <col min="14878" max="14878" width="14.5" bestFit="1" customWidth="1"/>
    <col min="14879" max="14879" width="16.5" bestFit="1" customWidth="1"/>
    <col min="14880" max="14880" width="29.1640625" bestFit="1" customWidth="1"/>
    <col min="14881" max="14881" width="30.5" bestFit="1" customWidth="1"/>
    <col min="14882" max="14882" width="14.5" bestFit="1" customWidth="1"/>
    <col min="14883" max="14883" width="16.5" bestFit="1" customWidth="1"/>
    <col min="14884" max="14884" width="29.1640625" bestFit="1" customWidth="1"/>
    <col min="14885" max="14885" width="30.5" bestFit="1" customWidth="1"/>
    <col min="14886" max="14886" width="14.5" bestFit="1" customWidth="1"/>
    <col min="14887" max="14887" width="16.5" bestFit="1" customWidth="1"/>
    <col min="14888" max="14888" width="29.1640625" bestFit="1" customWidth="1"/>
    <col min="14889" max="14889" width="29.33203125" bestFit="1" customWidth="1"/>
    <col min="14890" max="14890" width="14.5" bestFit="1" customWidth="1"/>
    <col min="14891" max="14891" width="16.5" bestFit="1" customWidth="1"/>
    <col min="14892" max="14892" width="29.1640625" bestFit="1" customWidth="1"/>
    <col min="14893" max="14893" width="29.33203125" bestFit="1" customWidth="1"/>
    <col min="14894" max="15104" width="8.83203125" customWidth="1"/>
    <col min="15105" max="15105" width="13.1640625" customWidth="1"/>
    <col min="15106" max="15106" width="14.33203125" customWidth="1"/>
    <col min="15107" max="15107" width="10.5" customWidth="1"/>
    <col min="15108" max="15108" width="9.6640625" customWidth="1"/>
    <col min="15109" max="15109" width="12.5" customWidth="1"/>
    <col min="15110" max="15110" width="19.83203125" customWidth="1"/>
    <col min="15111" max="15112" width="12.5" customWidth="1"/>
    <col min="15113" max="15113" width="11" customWidth="1"/>
    <col min="15114" max="15114" width="14.5" customWidth="1"/>
    <col min="15115" max="15115" width="11" customWidth="1"/>
    <col min="15116" max="15116" width="8.83203125" customWidth="1"/>
    <col min="15117" max="15117" width="9.5" customWidth="1"/>
    <col min="15118" max="15118" width="16.5" customWidth="1"/>
    <col min="15119" max="15119" width="20.33203125" bestFit="1" customWidth="1"/>
    <col min="15120" max="15120" width="25.33203125" bestFit="1" customWidth="1"/>
    <col min="15121" max="15121" width="23.33203125" bestFit="1" customWidth="1"/>
    <col min="15122" max="15122" width="18.1640625" bestFit="1" customWidth="1"/>
    <col min="15123" max="15123" width="18.6640625" bestFit="1" customWidth="1"/>
    <col min="15124" max="15124" width="16.83203125" bestFit="1" customWidth="1"/>
    <col min="15125" max="15125" width="10.5" customWidth="1"/>
    <col min="15126" max="15126" width="12.83203125" customWidth="1"/>
    <col min="15127" max="15127" width="14.5" customWidth="1"/>
    <col min="15128" max="15128" width="13.83203125" customWidth="1"/>
    <col min="15129" max="15129" width="17.5" customWidth="1"/>
    <col min="15130" max="15130" width="16.33203125" customWidth="1"/>
    <col min="15131" max="15131" width="20.5" customWidth="1"/>
    <col min="15132" max="15132" width="29.1640625" bestFit="1" customWidth="1"/>
    <col min="15133" max="15133" width="29.33203125" bestFit="1" customWidth="1"/>
    <col min="15134" max="15134" width="14.5" bestFit="1" customWidth="1"/>
    <col min="15135" max="15135" width="16.5" bestFit="1" customWidth="1"/>
    <col min="15136" max="15136" width="29.1640625" bestFit="1" customWidth="1"/>
    <col min="15137" max="15137" width="30.5" bestFit="1" customWidth="1"/>
    <col min="15138" max="15138" width="14.5" bestFit="1" customWidth="1"/>
    <col min="15139" max="15139" width="16.5" bestFit="1" customWidth="1"/>
    <col min="15140" max="15140" width="29.1640625" bestFit="1" customWidth="1"/>
    <col min="15141" max="15141" width="30.5" bestFit="1" customWidth="1"/>
    <col min="15142" max="15142" width="14.5" bestFit="1" customWidth="1"/>
    <col min="15143" max="15143" width="16.5" bestFit="1" customWidth="1"/>
    <col min="15144" max="15144" width="29.1640625" bestFit="1" customWidth="1"/>
    <col min="15145" max="15145" width="29.33203125" bestFit="1" customWidth="1"/>
    <col min="15146" max="15146" width="14.5" bestFit="1" customWidth="1"/>
    <col min="15147" max="15147" width="16.5" bestFit="1" customWidth="1"/>
    <col min="15148" max="15148" width="29.1640625" bestFit="1" customWidth="1"/>
    <col min="15149" max="15149" width="29.33203125" bestFit="1" customWidth="1"/>
    <col min="15150" max="15360" width="8.83203125" customWidth="1"/>
    <col min="15361" max="15361" width="13.1640625" customWidth="1"/>
    <col min="15362" max="15362" width="14.33203125" customWidth="1"/>
    <col min="15363" max="15363" width="10.5" customWidth="1"/>
    <col min="15364" max="15364" width="9.6640625" customWidth="1"/>
    <col min="15365" max="15365" width="12.5" customWidth="1"/>
    <col min="15366" max="15366" width="19.83203125" customWidth="1"/>
    <col min="15367" max="15368" width="12.5" customWidth="1"/>
    <col min="15369" max="15369" width="11" customWidth="1"/>
    <col min="15370" max="15370" width="14.5" customWidth="1"/>
    <col min="15371" max="15371" width="11" customWidth="1"/>
    <col min="15372" max="15372" width="8.83203125" customWidth="1"/>
    <col min="15373" max="15373" width="9.5" customWidth="1"/>
    <col min="15374" max="15374" width="16.5" customWidth="1"/>
    <col min="15375" max="15375" width="20.33203125" bestFit="1" customWidth="1"/>
    <col min="15376" max="15376" width="25.33203125" bestFit="1" customWidth="1"/>
    <col min="15377" max="15377" width="23.33203125" bestFit="1" customWidth="1"/>
    <col min="15378" max="15378" width="18.1640625" bestFit="1" customWidth="1"/>
    <col min="15379" max="15379" width="18.6640625" bestFit="1" customWidth="1"/>
    <col min="15380" max="15380" width="16.83203125" bestFit="1" customWidth="1"/>
    <col min="15381" max="15381" width="10.5" customWidth="1"/>
    <col min="15382" max="15382" width="12.83203125" customWidth="1"/>
    <col min="15383" max="15383" width="14.5" customWidth="1"/>
    <col min="15384" max="15384" width="13.83203125" customWidth="1"/>
    <col min="15385" max="15385" width="17.5" customWidth="1"/>
    <col min="15386" max="15386" width="16.33203125" customWidth="1"/>
    <col min="15387" max="15387" width="20.5" customWidth="1"/>
    <col min="15388" max="15388" width="29.1640625" bestFit="1" customWidth="1"/>
    <col min="15389" max="15389" width="29.33203125" bestFit="1" customWidth="1"/>
    <col min="15390" max="15390" width="14.5" bestFit="1" customWidth="1"/>
    <col min="15391" max="15391" width="16.5" bestFit="1" customWidth="1"/>
    <col min="15392" max="15392" width="29.1640625" bestFit="1" customWidth="1"/>
    <col min="15393" max="15393" width="30.5" bestFit="1" customWidth="1"/>
    <col min="15394" max="15394" width="14.5" bestFit="1" customWidth="1"/>
    <col min="15395" max="15395" width="16.5" bestFit="1" customWidth="1"/>
    <col min="15396" max="15396" width="29.1640625" bestFit="1" customWidth="1"/>
    <col min="15397" max="15397" width="30.5" bestFit="1" customWidth="1"/>
    <col min="15398" max="15398" width="14.5" bestFit="1" customWidth="1"/>
    <col min="15399" max="15399" width="16.5" bestFit="1" customWidth="1"/>
    <col min="15400" max="15400" width="29.1640625" bestFit="1" customWidth="1"/>
    <col min="15401" max="15401" width="29.33203125" bestFit="1" customWidth="1"/>
    <col min="15402" max="15402" width="14.5" bestFit="1" customWidth="1"/>
    <col min="15403" max="15403" width="16.5" bestFit="1" customWidth="1"/>
    <col min="15404" max="15404" width="29.1640625" bestFit="1" customWidth="1"/>
    <col min="15405" max="15405" width="29.33203125" bestFit="1" customWidth="1"/>
    <col min="15406" max="15616" width="8.83203125" customWidth="1"/>
    <col min="15617" max="15617" width="13.1640625" customWidth="1"/>
    <col min="15618" max="15618" width="14.33203125" customWidth="1"/>
    <col min="15619" max="15619" width="10.5" customWidth="1"/>
    <col min="15620" max="15620" width="9.6640625" customWidth="1"/>
    <col min="15621" max="15621" width="12.5" customWidth="1"/>
    <col min="15622" max="15622" width="19.83203125" customWidth="1"/>
    <col min="15623" max="15624" width="12.5" customWidth="1"/>
    <col min="15625" max="15625" width="11" customWidth="1"/>
    <col min="15626" max="15626" width="14.5" customWidth="1"/>
    <col min="15627" max="15627" width="11" customWidth="1"/>
    <col min="15628" max="15628" width="8.83203125" customWidth="1"/>
    <col min="15629" max="15629" width="9.5" customWidth="1"/>
    <col min="15630" max="15630" width="16.5" customWidth="1"/>
    <col min="15631" max="15631" width="20.33203125" bestFit="1" customWidth="1"/>
    <col min="15632" max="15632" width="25.33203125" bestFit="1" customWidth="1"/>
    <col min="15633" max="15633" width="23.33203125" bestFit="1" customWidth="1"/>
    <col min="15634" max="15634" width="18.1640625" bestFit="1" customWidth="1"/>
    <col min="15635" max="15635" width="18.6640625" bestFit="1" customWidth="1"/>
    <col min="15636" max="15636" width="16.83203125" bestFit="1" customWidth="1"/>
    <col min="15637" max="15637" width="10.5" customWidth="1"/>
    <col min="15638" max="15638" width="12.83203125" customWidth="1"/>
    <col min="15639" max="15639" width="14.5" customWidth="1"/>
    <col min="15640" max="15640" width="13.83203125" customWidth="1"/>
    <col min="15641" max="15641" width="17.5" customWidth="1"/>
    <col min="15642" max="15642" width="16.33203125" customWidth="1"/>
    <col min="15643" max="15643" width="20.5" customWidth="1"/>
    <col min="15644" max="15644" width="29.1640625" bestFit="1" customWidth="1"/>
    <col min="15645" max="15645" width="29.33203125" bestFit="1" customWidth="1"/>
    <col min="15646" max="15646" width="14.5" bestFit="1" customWidth="1"/>
    <col min="15647" max="15647" width="16.5" bestFit="1" customWidth="1"/>
    <col min="15648" max="15648" width="29.1640625" bestFit="1" customWidth="1"/>
    <col min="15649" max="15649" width="30.5" bestFit="1" customWidth="1"/>
    <col min="15650" max="15650" width="14.5" bestFit="1" customWidth="1"/>
    <col min="15651" max="15651" width="16.5" bestFit="1" customWidth="1"/>
    <col min="15652" max="15652" width="29.1640625" bestFit="1" customWidth="1"/>
    <col min="15653" max="15653" width="30.5" bestFit="1" customWidth="1"/>
    <col min="15654" max="15654" width="14.5" bestFit="1" customWidth="1"/>
    <col min="15655" max="15655" width="16.5" bestFit="1" customWidth="1"/>
    <col min="15656" max="15656" width="29.1640625" bestFit="1" customWidth="1"/>
    <col min="15657" max="15657" width="29.33203125" bestFit="1" customWidth="1"/>
    <col min="15658" max="15658" width="14.5" bestFit="1" customWidth="1"/>
    <col min="15659" max="15659" width="16.5" bestFit="1" customWidth="1"/>
    <col min="15660" max="15660" width="29.1640625" bestFit="1" customWidth="1"/>
    <col min="15661" max="15661" width="29.33203125" bestFit="1" customWidth="1"/>
    <col min="15662" max="15872" width="8.83203125" customWidth="1"/>
    <col min="15873" max="15873" width="13.1640625" customWidth="1"/>
    <col min="15874" max="15874" width="14.33203125" customWidth="1"/>
    <col min="15875" max="15875" width="10.5" customWidth="1"/>
    <col min="15876" max="15876" width="9.6640625" customWidth="1"/>
    <col min="15877" max="15877" width="12.5" customWidth="1"/>
    <col min="15878" max="15878" width="19.83203125" customWidth="1"/>
    <col min="15879" max="15880" width="12.5" customWidth="1"/>
    <col min="15881" max="15881" width="11" customWidth="1"/>
    <col min="15882" max="15882" width="14.5" customWidth="1"/>
    <col min="15883" max="15883" width="11" customWidth="1"/>
    <col min="15884" max="15884" width="8.83203125" customWidth="1"/>
    <col min="15885" max="15885" width="9.5" customWidth="1"/>
    <col min="15886" max="15886" width="16.5" customWidth="1"/>
    <col min="15887" max="15887" width="20.33203125" bestFit="1" customWidth="1"/>
    <col min="15888" max="15888" width="25.33203125" bestFit="1" customWidth="1"/>
    <col min="15889" max="15889" width="23.33203125" bestFit="1" customWidth="1"/>
    <col min="15890" max="15890" width="18.1640625" bestFit="1" customWidth="1"/>
    <col min="15891" max="15891" width="18.6640625" bestFit="1" customWidth="1"/>
    <col min="15892" max="15892" width="16.83203125" bestFit="1" customWidth="1"/>
    <col min="15893" max="15893" width="10.5" customWidth="1"/>
    <col min="15894" max="15894" width="12.83203125" customWidth="1"/>
    <col min="15895" max="15895" width="14.5" customWidth="1"/>
    <col min="15896" max="15896" width="13.83203125" customWidth="1"/>
    <col min="15897" max="15897" width="17.5" customWidth="1"/>
    <col min="15898" max="15898" width="16.33203125" customWidth="1"/>
    <col min="15899" max="15899" width="20.5" customWidth="1"/>
    <col min="15900" max="15900" width="29.1640625" bestFit="1" customWidth="1"/>
    <col min="15901" max="15901" width="29.33203125" bestFit="1" customWidth="1"/>
    <col min="15902" max="15902" width="14.5" bestFit="1" customWidth="1"/>
    <col min="15903" max="15903" width="16.5" bestFit="1" customWidth="1"/>
    <col min="15904" max="15904" width="29.1640625" bestFit="1" customWidth="1"/>
    <col min="15905" max="15905" width="30.5" bestFit="1" customWidth="1"/>
    <col min="15906" max="15906" width="14.5" bestFit="1" customWidth="1"/>
    <col min="15907" max="15907" width="16.5" bestFit="1" customWidth="1"/>
    <col min="15908" max="15908" width="29.1640625" bestFit="1" customWidth="1"/>
    <col min="15909" max="15909" width="30.5" bestFit="1" customWidth="1"/>
    <col min="15910" max="15910" width="14.5" bestFit="1" customWidth="1"/>
    <col min="15911" max="15911" width="16.5" bestFit="1" customWidth="1"/>
    <col min="15912" max="15912" width="29.1640625" bestFit="1" customWidth="1"/>
    <col min="15913" max="15913" width="29.33203125" bestFit="1" customWidth="1"/>
    <col min="15914" max="15914" width="14.5" bestFit="1" customWidth="1"/>
    <col min="15915" max="15915" width="16.5" bestFit="1" customWidth="1"/>
    <col min="15916" max="15916" width="29.1640625" bestFit="1" customWidth="1"/>
    <col min="15917" max="15917" width="29.33203125" bestFit="1" customWidth="1"/>
    <col min="15918" max="16128" width="8.83203125" customWidth="1"/>
    <col min="16129" max="16129" width="13.1640625" customWidth="1"/>
    <col min="16130" max="16130" width="14.33203125" customWidth="1"/>
    <col min="16131" max="16131" width="10.5" customWidth="1"/>
    <col min="16132" max="16132" width="9.6640625" customWidth="1"/>
    <col min="16133" max="16133" width="12.5" customWidth="1"/>
    <col min="16134" max="16134" width="19.83203125" customWidth="1"/>
    <col min="16135" max="16136" width="12.5" customWidth="1"/>
    <col min="16137" max="16137" width="11" customWidth="1"/>
    <col min="16138" max="16138" width="14.5" customWidth="1"/>
    <col min="16139" max="16139" width="11" customWidth="1"/>
    <col min="16140" max="16140" width="8.83203125" customWidth="1"/>
    <col min="16141" max="16141" width="9.5" customWidth="1"/>
    <col min="16142" max="16142" width="16.5" customWidth="1"/>
    <col min="16143" max="16143" width="20.33203125" bestFit="1" customWidth="1"/>
    <col min="16144" max="16144" width="25.33203125" bestFit="1" customWidth="1"/>
    <col min="16145" max="16145" width="23.33203125" bestFit="1" customWidth="1"/>
    <col min="16146" max="16146" width="18.1640625" bestFit="1" customWidth="1"/>
    <col min="16147" max="16147" width="18.6640625" bestFit="1" customWidth="1"/>
    <col min="16148" max="16148" width="16.83203125" bestFit="1" customWidth="1"/>
    <col min="16149" max="16149" width="10.5" customWidth="1"/>
    <col min="16150" max="16150" width="12.83203125" customWidth="1"/>
    <col min="16151" max="16151" width="14.5" customWidth="1"/>
    <col min="16152" max="16152" width="13.83203125" customWidth="1"/>
    <col min="16153" max="16153" width="17.5" customWidth="1"/>
    <col min="16154" max="16154" width="16.33203125" customWidth="1"/>
    <col min="16155" max="16155" width="20.5" customWidth="1"/>
    <col min="16156" max="16156" width="29.1640625" bestFit="1" customWidth="1"/>
    <col min="16157" max="16157" width="29.33203125" bestFit="1" customWidth="1"/>
    <col min="16158" max="16158" width="14.5" bestFit="1" customWidth="1"/>
    <col min="16159" max="16159" width="16.5" bestFit="1" customWidth="1"/>
    <col min="16160" max="16160" width="29.1640625" bestFit="1" customWidth="1"/>
    <col min="16161" max="16161" width="30.5" bestFit="1" customWidth="1"/>
    <col min="16162" max="16162" width="14.5" bestFit="1" customWidth="1"/>
    <col min="16163" max="16163" width="16.5" bestFit="1" customWidth="1"/>
    <col min="16164" max="16164" width="29.1640625" bestFit="1" customWidth="1"/>
    <col min="16165" max="16165" width="30.5" bestFit="1" customWidth="1"/>
    <col min="16166" max="16166" width="14.5" bestFit="1" customWidth="1"/>
    <col min="16167" max="16167" width="16.5" bestFit="1" customWidth="1"/>
    <col min="16168" max="16168" width="29.1640625" bestFit="1" customWidth="1"/>
    <col min="16169" max="16169" width="29.33203125" bestFit="1" customWidth="1"/>
    <col min="16170" max="16170" width="14.5" bestFit="1" customWidth="1"/>
    <col min="16171" max="16171" width="16.5" bestFit="1" customWidth="1"/>
    <col min="16172" max="16172" width="29.1640625" bestFit="1" customWidth="1"/>
    <col min="16173" max="16173" width="29.33203125" bestFit="1" customWidth="1"/>
    <col min="16174" max="16384" width="8.83203125" customWidth="1"/>
  </cols>
  <sheetData>
    <row r="1" spans="1:45">
      <c r="A1" s="5" t="s">
        <v>853</v>
      </c>
      <c r="B1" s="27" t="s">
        <v>854</v>
      </c>
      <c r="C1" s="5" t="s">
        <v>855</v>
      </c>
      <c r="D1" s="85" t="s">
        <v>856</v>
      </c>
      <c r="E1" s="5" t="s">
        <v>857</v>
      </c>
      <c r="F1" s="5" t="s">
        <v>858</v>
      </c>
      <c r="G1" s="5" t="s">
        <v>859</v>
      </c>
      <c r="H1" s="5" t="s">
        <v>860</v>
      </c>
      <c r="I1" s="5" t="s">
        <v>861</v>
      </c>
      <c r="J1" s="6" t="s">
        <v>862</v>
      </c>
      <c r="K1" s="7" t="s">
        <v>863</v>
      </c>
      <c r="L1" s="7" t="s">
        <v>864</v>
      </c>
      <c r="M1" s="7" t="s">
        <v>865</v>
      </c>
      <c r="N1" s="5" t="s">
        <v>866</v>
      </c>
      <c r="O1" s="8" t="s">
        <v>867</v>
      </c>
      <c r="P1" s="9" t="s">
        <v>868</v>
      </c>
      <c r="Q1" s="9" t="s">
        <v>869</v>
      </c>
      <c r="R1" s="9" t="s">
        <v>870</v>
      </c>
      <c r="S1" s="9" t="s">
        <v>871</v>
      </c>
      <c r="T1" s="9" t="s">
        <v>872</v>
      </c>
      <c r="U1" s="5" t="s">
        <v>873</v>
      </c>
      <c r="V1" s="5" t="s">
        <v>874</v>
      </c>
      <c r="W1" s="5" t="s">
        <v>875</v>
      </c>
      <c r="X1" s="10" t="s">
        <v>876</v>
      </c>
      <c r="Y1" s="44" t="s">
        <v>877</v>
      </c>
      <c r="Z1" s="11" t="s">
        <v>878</v>
      </c>
      <c r="AA1" s="11" t="s">
        <v>879</v>
      </c>
      <c r="AB1" s="11" t="s">
        <v>880</v>
      </c>
      <c r="AC1" s="11" t="s">
        <v>881</v>
      </c>
      <c r="AD1" s="11" t="s">
        <v>882</v>
      </c>
      <c r="AE1" s="11" t="s">
        <v>883</v>
      </c>
      <c r="AF1" s="11" t="s">
        <v>884</v>
      </c>
      <c r="AG1" s="11" t="s">
        <v>885</v>
      </c>
      <c r="AH1" s="11" t="s">
        <v>886</v>
      </c>
      <c r="AI1" s="11" t="s">
        <v>887</v>
      </c>
      <c r="AJ1" s="11" t="s">
        <v>888</v>
      </c>
      <c r="AK1" s="11" t="s">
        <v>889</v>
      </c>
      <c r="AL1" s="11" t="s">
        <v>890</v>
      </c>
      <c r="AM1" s="11" t="s">
        <v>891</v>
      </c>
      <c r="AN1" s="11" t="s">
        <v>892</v>
      </c>
      <c r="AO1" s="11" t="s">
        <v>893</v>
      </c>
      <c r="AP1" s="11" t="s">
        <v>894</v>
      </c>
      <c r="AQ1" s="11" t="s">
        <v>895</v>
      </c>
      <c r="AR1" s="11" t="s">
        <v>896</v>
      </c>
      <c r="AS1" s="11" t="s">
        <v>897</v>
      </c>
    </row>
    <row r="2" spans="1:45" ht="37">
      <c r="A2" s="12" t="s">
        <v>898</v>
      </c>
      <c r="B2" s="27" t="s">
        <v>899</v>
      </c>
      <c r="C2" s="12" t="s">
        <v>900</v>
      </c>
      <c r="D2" s="92">
        <v>0</v>
      </c>
      <c r="E2" s="14" t="s">
        <v>901</v>
      </c>
      <c r="F2" s="14" t="s">
        <v>902</v>
      </c>
      <c r="G2" s="12" t="s">
        <v>903</v>
      </c>
      <c r="H2" s="13" t="s">
        <v>904</v>
      </c>
      <c r="I2" s="12" t="s">
        <v>905</v>
      </c>
      <c r="J2" s="15" t="s">
        <v>906</v>
      </c>
      <c r="K2" s="16" t="s">
        <v>907</v>
      </c>
      <c r="L2" s="16" t="s">
        <v>908</v>
      </c>
      <c r="M2" s="16" t="s">
        <v>908</v>
      </c>
      <c r="N2" s="12" t="s">
        <v>909</v>
      </c>
      <c r="O2" s="17" t="s">
        <v>902</v>
      </c>
      <c r="P2" s="18" t="s">
        <v>902</v>
      </c>
      <c r="Q2" s="18" t="s">
        <v>902</v>
      </c>
      <c r="R2" s="18" t="s">
        <v>870</v>
      </c>
      <c r="S2" s="18" t="s">
        <v>871</v>
      </c>
      <c r="T2" s="18" t="s">
        <v>910</v>
      </c>
      <c r="U2" s="14" t="s">
        <v>911</v>
      </c>
      <c r="V2" s="12" t="s">
        <v>912</v>
      </c>
      <c r="W2" s="13" t="s">
        <v>913</v>
      </c>
      <c r="X2" s="19" t="s">
        <v>914</v>
      </c>
      <c r="Y2" s="20" t="s">
        <v>915</v>
      </c>
      <c r="Z2" s="21" t="s">
        <v>916</v>
      </c>
      <c r="AA2" s="21" t="s">
        <v>917</v>
      </c>
      <c r="AB2" s="22" t="s">
        <v>901</v>
      </c>
      <c r="AC2" s="22" t="s">
        <v>902</v>
      </c>
      <c r="AD2" s="21" t="s">
        <v>916</v>
      </c>
      <c r="AE2" s="21" t="s">
        <v>918</v>
      </c>
      <c r="AF2" s="22" t="s">
        <v>901</v>
      </c>
      <c r="AG2" s="22" t="s">
        <v>902</v>
      </c>
      <c r="AH2" s="21" t="s">
        <v>916</v>
      </c>
      <c r="AI2" s="21" t="s">
        <v>918</v>
      </c>
      <c r="AJ2" s="22" t="s">
        <v>901</v>
      </c>
      <c r="AK2" s="22" t="s">
        <v>902</v>
      </c>
      <c r="AL2" s="21" t="s">
        <v>916</v>
      </c>
      <c r="AM2" s="21" t="s">
        <v>918</v>
      </c>
      <c r="AN2" s="22" t="s">
        <v>901</v>
      </c>
      <c r="AO2" s="22" t="s">
        <v>902</v>
      </c>
      <c r="AP2" s="21" t="s">
        <v>916</v>
      </c>
      <c r="AQ2" s="21" t="s">
        <v>918</v>
      </c>
      <c r="AR2" s="22" t="s">
        <v>901</v>
      </c>
      <c r="AS2" s="22" t="s">
        <v>902</v>
      </c>
    </row>
    <row r="3" spans="1:45" s="4" customFormat="1">
      <c r="A3" s="93" t="s">
        <v>919</v>
      </c>
      <c r="B3" s="94">
        <v>680487044300</v>
      </c>
      <c r="C3" s="95" t="s">
        <v>920</v>
      </c>
      <c r="D3">
        <v>0</v>
      </c>
      <c r="E3" s="96"/>
      <c r="F3" s="97"/>
      <c r="G3" s="98"/>
      <c r="H3" s="99" t="s">
        <v>209</v>
      </c>
      <c r="I3" s="100"/>
      <c r="J3" s="101"/>
      <c r="K3" s="102"/>
      <c r="L3" s="102"/>
      <c r="M3" s="102"/>
      <c r="N3" s="98"/>
      <c r="O3" s="98"/>
      <c r="P3" s="103"/>
      <c r="Q3" s="103"/>
      <c r="R3" s="103"/>
      <c r="S3" s="103"/>
      <c r="T3" s="104"/>
      <c r="U3" s="105"/>
      <c r="V3" s="106"/>
      <c r="W3" s="107"/>
      <c r="X3" s="108" t="s">
        <v>1440</v>
      </c>
      <c r="Y3" s="96"/>
      <c r="Z3" s="103"/>
      <c r="AA3" s="98"/>
      <c r="AB3" s="98"/>
      <c r="AC3" s="98"/>
      <c r="AD3" s="103"/>
      <c r="AE3" s="98"/>
      <c r="AF3" s="98"/>
      <c r="AG3" s="98"/>
      <c r="AH3" s="103"/>
      <c r="AI3" s="98"/>
      <c r="AJ3" s="98"/>
      <c r="AK3" s="98"/>
      <c r="AL3" s="103"/>
      <c r="AM3" s="98"/>
      <c r="AN3" s="98"/>
      <c r="AO3" s="98"/>
      <c r="AP3" s="103"/>
      <c r="AQ3" s="98"/>
      <c r="AR3" s="98"/>
      <c r="AS3" s="98"/>
    </row>
    <row r="4" spans="1:45" s="4" customFormat="1">
      <c r="A4" s="93" t="s">
        <v>919</v>
      </c>
      <c r="B4" s="94">
        <v>680487045338</v>
      </c>
      <c r="C4" s="95" t="s">
        <v>920</v>
      </c>
      <c r="D4">
        <v>0</v>
      </c>
      <c r="E4" s="96"/>
      <c r="F4" s="97"/>
      <c r="G4" s="98"/>
      <c r="H4" s="99" t="s">
        <v>210</v>
      </c>
      <c r="I4" s="100"/>
      <c r="J4" s="101"/>
      <c r="K4" s="102"/>
      <c r="L4" s="102"/>
      <c r="M4" s="102"/>
      <c r="N4" s="98"/>
      <c r="O4" s="98"/>
      <c r="P4" s="103"/>
      <c r="Q4" s="103"/>
      <c r="R4" s="103"/>
      <c r="S4" s="103"/>
      <c r="T4" s="104"/>
      <c r="U4" s="109"/>
      <c r="V4" s="98"/>
      <c r="W4" s="107"/>
      <c r="X4" s="108" t="s">
        <v>1440</v>
      </c>
      <c r="Y4" s="96"/>
      <c r="Z4" s="103"/>
      <c r="AA4" s="98"/>
      <c r="AB4" s="98"/>
      <c r="AC4" s="98"/>
      <c r="AD4" s="103"/>
      <c r="AE4" s="98"/>
      <c r="AF4" s="98"/>
      <c r="AG4" s="98"/>
      <c r="AH4" s="103"/>
      <c r="AI4" s="98"/>
      <c r="AJ4" s="98"/>
      <c r="AK4" s="98"/>
      <c r="AL4" s="103"/>
      <c r="AM4" s="98"/>
      <c r="AN4" s="98"/>
      <c r="AO4" s="98"/>
      <c r="AP4" s="103"/>
      <c r="AQ4" s="98"/>
      <c r="AR4" s="98"/>
      <c r="AS4" s="98"/>
    </row>
    <row r="5" spans="1:45" s="4" customFormat="1">
      <c r="A5" s="93" t="s">
        <v>919</v>
      </c>
      <c r="B5" s="94">
        <v>680487043907</v>
      </c>
      <c r="C5" s="95" t="s">
        <v>920</v>
      </c>
      <c r="D5">
        <v>0</v>
      </c>
      <c r="E5" s="96"/>
      <c r="F5" s="97"/>
      <c r="G5" s="98"/>
      <c r="H5" s="99" t="s">
        <v>211</v>
      </c>
      <c r="I5" s="100"/>
      <c r="J5" s="101"/>
      <c r="K5" s="102"/>
      <c r="L5" s="102"/>
      <c r="M5" s="102"/>
      <c r="N5" s="98"/>
      <c r="O5" s="98"/>
      <c r="P5" s="98"/>
      <c r="Q5" s="98"/>
      <c r="R5" s="98"/>
      <c r="S5" s="98"/>
      <c r="T5" s="98"/>
      <c r="U5" s="109"/>
      <c r="V5" s="103"/>
      <c r="W5" s="107"/>
      <c r="X5" s="108" t="s">
        <v>1440</v>
      </c>
      <c r="Y5" s="96"/>
      <c r="Z5" s="98"/>
      <c r="AA5" s="98"/>
      <c r="AB5" s="98"/>
      <c r="AC5" s="98"/>
      <c r="AD5" s="98"/>
      <c r="AE5" s="98"/>
      <c r="AF5" s="98"/>
      <c r="AG5" s="98"/>
      <c r="AH5" s="98"/>
      <c r="AI5" s="98"/>
      <c r="AJ5" s="98"/>
      <c r="AK5" s="98"/>
      <c r="AL5" s="98"/>
      <c r="AM5" s="98"/>
      <c r="AN5" s="98"/>
      <c r="AO5" s="98"/>
      <c r="AP5" s="98"/>
      <c r="AQ5" s="98"/>
      <c r="AR5" s="98"/>
      <c r="AS5" s="98"/>
    </row>
    <row r="6" spans="1:45" s="4" customFormat="1">
      <c r="A6" s="93" t="s">
        <v>919</v>
      </c>
      <c r="B6" s="94">
        <v>680487043846</v>
      </c>
      <c r="C6" s="95" t="s">
        <v>920</v>
      </c>
      <c r="D6">
        <v>0</v>
      </c>
      <c r="E6" s="96"/>
      <c r="F6" s="97"/>
      <c r="G6" s="98"/>
      <c r="H6" s="99" t="s">
        <v>212</v>
      </c>
      <c r="I6" s="100"/>
      <c r="J6" s="101"/>
      <c r="K6" s="102"/>
      <c r="L6" s="102"/>
      <c r="M6" s="102"/>
      <c r="N6" s="98"/>
      <c r="O6" s="98"/>
      <c r="P6" s="98"/>
      <c r="Q6" s="98"/>
      <c r="R6" s="98"/>
      <c r="S6" s="98"/>
      <c r="T6" s="98"/>
      <c r="U6" s="109"/>
      <c r="V6" s="103"/>
      <c r="W6" s="107"/>
      <c r="X6" s="108" t="s">
        <v>1440</v>
      </c>
      <c r="Y6" s="96"/>
      <c r="Z6" s="98"/>
      <c r="AA6" s="98"/>
      <c r="AB6" s="98"/>
      <c r="AC6" s="98"/>
      <c r="AD6" s="98"/>
      <c r="AE6" s="98"/>
      <c r="AF6" s="98"/>
      <c r="AG6" s="98"/>
      <c r="AH6" s="98"/>
      <c r="AI6" s="98"/>
      <c r="AJ6" s="98"/>
      <c r="AK6" s="98"/>
      <c r="AL6" s="98"/>
      <c r="AM6" s="98"/>
      <c r="AN6" s="98"/>
      <c r="AO6" s="98"/>
      <c r="AP6" s="98"/>
      <c r="AQ6" s="98"/>
      <c r="AR6" s="98"/>
      <c r="AS6" s="98"/>
    </row>
    <row r="7" spans="1:45" s="4" customFormat="1">
      <c r="A7" s="93" t="s">
        <v>919</v>
      </c>
      <c r="B7" s="94">
        <v>680487058635</v>
      </c>
      <c r="C7" s="95" t="s">
        <v>920</v>
      </c>
      <c r="D7">
        <v>0</v>
      </c>
      <c r="E7" s="96"/>
      <c r="F7" s="97"/>
      <c r="G7" s="98"/>
      <c r="H7" s="99" t="s">
        <v>1287</v>
      </c>
      <c r="I7" s="100"/>
      <c r="J7" s="101"/>
      <c r="K7" s="102"/>
      <c r="L7" s="102"/>
      <c r="M7" s="102"/>
      <c r="N7" s="98"/>
      <c r="O7" s="98"/>
      <c r="P7" s="98"/>
      <c r="Q7" s="98"/>
      <c r="R7" s="98"/>
      <c r="S7" s="98"/>
      <c r="T7" s="98"/>
      <c r="U7" s="109"/>
      <c r="V7" s="103"/>
      <c r="W7" s="107"/>
      <c r="X7" s="108" t="s">
        <v>1440</v>
      </c>
      <c r="Y7" s="96"/>
      <c r="Z7" s="98"/>
      <c r="AA7" s="98"/>
      <c r="AB7" s="98"/>
      <c r="AC7" s="98"/>
      <c r="AD7" s="98"/>
      <c r="AE7" s="98"/>
      <c r="AF7" s="98"/>
      <c r="AG7" s="98"/>
      <c r="AH7" s="98"/>
      <c r="AI7" s="98"/>
      <c r="AJ7" s="98"/>
      <c r="AK7" s="98"/>
      <c r="AL7" s="98"/>
      <c r="AM7" s="98"/>
      <c r="AN7" s="98"/>
      <c r="AO7" s="98"/>
      <c r="AP7" s="98"/>
      <c r="AQ7" s="98"/>
      <c r="AR7" s="98"/>
      <c r="AS7" s="98"/>
    </row>
    <row r="8" spans="1:45" s="4" customFormat="1">
      <c r="A8" s="93" t="s">
        <v>919</v>
      </c>
      <c r="B8" s="94">
        <v>680487044263</v>
      </c>
      <c r="C8" s="95" t="s">
        <v>920</v>
      </c>
      <c r="D8">
        <v>0</v>
      </c>
      <c r="E8" s="96"/>
      <c r="F8" s="97"/>
      <c r="G8" s="98"/>
      <c r="H8" s="99" t="s">
        <v>213</v>
      </c>
      <c r="I8" s="100"/>
      <c r="J8" s="101"/>
      <c r="K8" s="102"/>
      <c r="L8" s="102"/>
      <c r="M8" s="102"/>
      <c r="N8" s="98"/>
      <c r="O8" s="98"/>
      <c r="P8" s="98"/>
      <c r="Q8" s="98"/>
      <c r="R8" s="98"/>
      <c r="S8" s="98"/>
      <c r="T8" s="98"/>
      <c r="U8" s="109"/>
      <c r="V8" s="103"/>
      <c r="W8" s="107"/>
      <c r="X8" s="108" t="s">
        <v>1440</v>
      </c>
      <c r="Y8" s="96"/>
      <c r="Z8" s="98"/>
      <c r="AA8" s="98"/>
      <c r="AB8" s="98"/>
      <c r="AC8" s="98"/>
      <c r="AD8" s="98"/>
      <c r="AE8" s="98"/>
      <c r="AF8" s="98"/>
      <c r="AG8" s="98"/>
      <c r="AH8" s="98"/>
      <c r="AI8" s="98"/>
      <c r="AJ8" s="98"/>
      <c r="AK8" s="98"/>
      <c r="AL8" s="98"/>
      <c r="AM8" s="98"/>
      <c r="AN8" s="98"/>
      <c r="AO8" s="98"/>
      <c r="AP8" s="98"/>
      <c r="AQ8" s="98"/>
      <c r="AR8" s="98"/>
      <c r="AS8" s="98"/>
    </row>
    <row r="9" spans="1:45" s="4" customFormat="1">
      <c r="A9" s="93" t="s">
        <v>919</v>
      </c>
      <c r="B9" s="94">
        <v>680487044287</v>
      </c>
      <c r="C9" s="95" t="s">
        <v>920</v>
      </c>
      <c r="D9">
        <v>0</v>
      </c>
      <c r="E9" s="96"/>
      <c r="F9" s="97"/>
      <c r="G9" s="98"/>
      <c r="H9" s="99" t="s">
        <v>214</v>
      </c>
      <c r="I9" s="100"/>
      <c r="J9" s="101"/>
      <c r="K9" s="102"/>
      <c r="L9" s="102"/>
      <c r="M9" s="102"/>
      <c r="N9" s="98"/>
      <c r="O9" s="98"/>
      <c r="P9" s="98"/>
      <c r="Q9" s="98"/>
      <c r="R9" s="98"/>
      <c r="S9" s="98"/>
      <c r="T9" s="98"/>
      <c r="U9" s="109"/>
      <c r="V9" s="103"/>
      <c r="W9" s="107"/>
      <c r="X9" s="108" t="s">
        <v>1440</v>
      </c>
      <c r="Y9" s="96"/>
      <c r="Z9" s="98"/>
      <c r="AA9" s="98"/>
      <c r="AB9" s="98"/>
      <c r="AC9" s="98"/>
      <c r="AD9" s="98"/>
      <c r="AE9" s="98"/>
      <c r="AF9" s="98"/>
      <c r="AG9" s="98"/>
      <c r="AH9" s="98"/>
      <c r="AI9" s="98"/>
      <c r="AJ9" s="98"/>
      <c r="AK9" s="98"/>
      <c r="AL9" s="98"/>
      <c r="AM9" s="98"/>
      <c r="AN9" s="98"/>
      <c r="AO9" s="98"/>
      <c r="AP9" s="98"/>
      <c r="AQ9" s="98"/>
      <c r="AR9" s="98"/>
      <c r="AS9" s="98"/>
    </row>
    <row r="10" spans="1:45" s="4" customFormat="1">
      <c r="A10" s="93" t="s">
        <v>919</v>
      </c>
      <c r="B10" s="94">
        <v>680487044805</v>
      </c>
      <c r="C10" s="95" t="s">
        <v>920</v>
      </c>
      <c r="D10">
        <v>0</v>
      </c>
      <c r="E10" s="96"/>
      <c r="F10" s="97"/>
      <c r="G10" s="98"/>
      <c r="H10" s="99" t="s">
        <v>215</v>
      </c>
      <c r="I10" s="100"/>
      <c r="J10" s="101"/>
      <c r="K10" s="102"/>
      <c r="L10" s="102"/>
      <c r="M10" s="102"/>
      <c r="N10" s="98"/>
      <c r="O10" s="98"/>
      <c r="P10" s="98"/>
      <c r="Q10" s="98"/>
      <c r="R10" s="98"/>
      <c r="S10" s="98"/>
      <c r="T10" s="98"/>
      <c r="U10" s="109"/>
      <c r="V10" s="103"/>
      <c r="W10" s="107"/>
      <c r="X10" s="108" t="s">
        <v>1440</v>
      </c>
      <c r="Y10" s="96"/>
      <c r="Z10" s="98"/>
      <c r="AA10" s="98"/>
      <c r="AB10" s="98"/>
      <c r="AC10" s="98"/>
      <c r="AD10" s="98"/>
      <c r="AE10" s="98"/>
      <c r="AF10" s="98"/>
      <c r="AG10" s="98"/>
      <c r="AH10" s="98"/>
      <c r="AI10" s="98"/>
      <c r="AJ10" s="98"/>
      <c r="AK10" s="98"/>
      <c r="AL10" s="98"/>
      <c r="AM10" s="98"/>
      <c r="AN10" s="98"/>
      <c r="AO10" s="98"/>
      <c r="AP10" s="98"/>
      <c r="AQ10" s="98"/>
      <c r="AR10" s="98"/>
      <c r="AS10" s="98"/>
    </row>
    <row r="11" spans="1:45" s="4" customFormat="1">
      <c r="A11" s="93" t="s">
        <v>919</v>
      </c>
      <c r="B11" s="94">
        <v>680487045819</v>
      </c>
      <c r="C11" s="95" t="s">
        <v>920</v>
      </c>
      <c r="D11">
        <v>0</v>
      </c>
      <c r="E11" s="96"/>
      <c r="F11" s="97"/>
      <c r="G11" s="98"/>
      <c r="H11" s="99" t="s">
        <v>216</v>
      </c>
      <c r="I11" s="100"/>
      <c r="J11" s="101"/>
      <c r="K11" s="102"/>
      <c r="L11" s="102"/>
      <c r="M11" s="102"/>
      <c r="N11" s="98"/>
      <c r="O11" s="98"/>
      <c r="P11" s="98"/>
      <c r="Q11" s="98"/>
      <c r="R11" s="98"/>
      <c r="S11" s="98"/>
      <c r="T11" s="98"/>
      <c r="U11" s="109"/>
      <c r="V11" s="103"/>
      <c r="W11" s="107"/>
      <c r="X11" s="108" t="s">
        <v>1440</v>
      </c>
      <c r="Y11" s="96"/>
      <c r="Z11" s="98"/>
      <c r="AA11" s="98"/>
      <c r="AB11" s="98"/>
      <c r="AC11" s="98"/>
      <c r="AD11" s="98"/>
      <c r="AE11" s="98"/>
      <c r="AF11" s="98"/>
      <c r="AG11" s="98"/>
      <c r="AH11" s="98"/>
      <c r="AI11" s="98"/>
      <c r="AJ11" s="98"/>
      <c r="AK11" s="98"/>
      <c r="AL11" s="98"/>
      <c r="AM11" s="98"/>
      <c r="AN11" s="98"/>
      <c r="AO11" s="98"/>
      <c r="AP11" s="98"/>
      <c r="AQ11" s="98"/>
      <c r="AR11" s="98"/>
      <c r="AS11" s="98"/>
    </row>
    <row r="12" spans="1:45" s="4" customFormat="1">
      <c r="A12" s="93" t="s">
        <v>919</v>
      </c>
      <c r="B12" s="94">
        <v>680487044089</v>
      </c>
      <c r="C12" s="95" t="s">
        <v>920</v>
      </c>
      <c r="D12">
        <v>0</v>
      </c>
      <c r="E12" s="96"/>
      <c r="F12" s="97"/>
      <c r="G12" s="98"/>
      <c r="H12" s="99" t="s">
        <v>217</v>
      </c>
      <c r="I12" s="100"/>
      <c r="J12" s="101"/>
      <c r="K12" s="102"/>
      <c r="L12" s="102"/>
      <c r="M12" s="102"/>
      <c r="N12" s="98"/>
      <c r="O12" s="98"/>
      <c r="P12" s="98"/>
      <c r="Q12" s="98"/>
      <c r="R12" s="98"/>
      <c r="S12" s="98"/>
      <c r="T12" s="98"/>
      <c r="U12" s="109"/>
      <c r="V12" s="103"/>
      <c r="W12" s="107"/>
      <c r="X12" s="108" t="s">
        <v>1440</v>
      </c>
      <c r="Y12" s="96"/>
      <c r="Z12" s="98"/>
      <c r="AA12" s="98"/>
      <c r="AB12" s="98"/>
      <c r="AC12" s="98"/>
      <c r="AD12" s="98"/>
      <c r="AE12" s="98"/>
      <c r="AF12" s="98"/>
      <c r="AG12" s="98"/>
      <c r="AH12" s="98"/>
      <c r="AI12" s="98"/>
      <c r="AJ12" s="98"/>
      <c r="AK12" s="98"/>
      <c r="AL12" s="98"/>
      <c r="AM12" s="98"/>
      <c r="AN12" s="98"/>
      <c r="AO12" s="98"/>
      <c r="AP12" s="98"/>
      <c r="AQ12" s="98"/>
      <c r="AR12" s="98"/>
      <c r="AS12" s="98"/>
    </row>
    <row r="13" spans="1:45" s="4" customFormat="1">
      <c r="A13" s="93" t="s">
        <v>919</v>
      </c>
      <c r="B13" s="94">
        <v>680487044560</v>
      </c>
      <c r="C13" s="95" t="s">
        <v>920</v>
      </c>
      <c r="D13">
        <v>0</v>
      </c>
      <c r="E13" s="96"/>
      <c r="F13" s="97"/>
      <c r="G13" s="98"/>
      <c r="H13" s="99" t="s">
        <v>218</v>
      </c>
      <c r="I13" s="100"/>
      <c r="J13" s="101"/>
      <c r="K13" s="102"/>
      <c r="L13" s="102"/>
      <c r="M13" s="102"/>
      <c r="N13" s="98"/>
      <c r="O13" s="98"/>
      <c r="P13" s="98"/>
      <c r="Q13" s="98"/>
      <c r="R13" s="98"/>
      <c r="S13" s="98"/>
      <c r="T13" s="98"/>
      <c r="U13" s="109"/>
      <c r="V13" s="103"/>
      <c r="W13" s="107"/>
      <c r="X13" s="108" t="s">
        <v>1440</v>
      </c>
      <c r="Y13" s="96"/>
      <c r="Z13" s="98"/>
      <c r="AA13" s="98"/>
      <c r="AB13" s="98"/>
      <c r="AC13" s="98"/>
      <c r="AD13" s="98"/>
      <c r="AE13" s="98"/>
      <c r="AF13" s="98"/>
      <c r="AG13" s="98"/>
      <c r="AH13" s="98"/>
      <c r="AI13" s="98"/>
      <c r="AJ13" s="98"/>
      <c r="AK13" s="98"/>
      <c r="AL13" s="98"/>
      <c r="AM13" s="98"/>
      <c r="AN13" s="98"/>
      <c r="AO13" s="98"/>
      <c r="AP13" s="98"/>
      <c r="AQ13" s="98"/>
      <c r="AR13" s="98"/>
      <c r="AS13" s="98"/>
    </row>
    <row r="14" spans="1:45" s="4" customFormat="1">
      <c r="A14" s="93" t="s">
        <v>919</v>
      </c>
      <c r="B14" s="94">
        <v>680487043822</v>
      </c>
      <c r="C14" s="95" t="s">
        <v>920</v>
      </c>
      <c r="D14">
        <v>0</v>
      </c>
      <c r="E14" s="96"/>
      <c r="F14" s="97"/>
      <c r="G14" s="98"/>
      <c r="H14" s="99" t="s">
        <v>155</v>
      </c>
      <c r="I14" s="100"/>
      <c r="J14" s="101"/>
      <c r="K14" s="102"/>
      <c r="L14" s="102"/>
      <c r="M14" s="102"/>
      <c r="N14" s="98"/>
      <c r="O14" s="98"/>
      <c r="P14" s="98"/>
      <c r="Q14" s="98"/>
      <c r="R14" s="98"/>
      <c r="S14" s="98"/>
      <c r="T14" s="98"/>
      <c r="U14" s="109"/>
      <c r="V14" s="103"/>
      <c r="W14" s="107"/>
      <c r="X14" s="108" t="s">
        <v>1440</v>
      </c>
      <c r="Y14" s="96"/>
      <c r="Z14" s="98"/>
      <c r="AA14" s="98"/>
      <c r="AB14" s="98"/>
      <c r="AC14" s="98"/>
      <c r="AD14" s="98"/>
      <c r="AE14" s="98"/>
      <c r="AF14" s="98"/>
      <c r="AG14" s="98"/>
      <c r="AH14" s="98"/>
      <c r="AI14" s="98"/>
      <c r="AJ14" s="98"/>
      <c r="AK14" s="98"/>
      <c r="AL14" s="98"/>
      <c r="AM14" s="98"/>
      <c r="AN14" s="98"/>
      <c r="AO14" s="98"/>
      <c r="AP14" s="98"/>
      <c r="AQ14" s="98"/>
      <c r="AR14" s="98"/>
      <c r="AS14" s="98"/>
    </row>
    <row r="15" spans="1:45" s="4" customFormat="1">
      <c r="A15" s="93" t="s">
        <v>919</v>
      </c>
      <c r="B15" s="94">
        <v>680487045796</v>
      </c>
      <c r="C15" s="95" t="s">
        <v>920</v>
      </c>
      <c r="D15">
        <v>0</v>
      </c>
      <c r="E15" s="96"/>
      <c r="F15" s="97"/>
      <c r="G15" s="98"/>
      <c r="H15" s="99" t="s">
        <v>219</v>
      </c>
      <c r="I15" s="100"/>
      <c r="J15" s="101"/>
      <c r="K15" s="102"/>
      <c r="L15" s="102"/>
      <c r="M15" s="102"/>
      <c r="N15" s="98"/>
      <c r="O15" s="98"/>
      <c r="P15" s="98"/>
      <c r="Q15" s="98"/>
      <c r="R15" s="98"/>
      <c r="S15" s="98"/>
      <c r="T15" s="98"/>
      <c r="U15" s="109"/>
      <c r="V15" s="103"/>
      <c r="W15" s="107"/>
      <c r="X15" s="108" t="s">
        <v>1440</v>
      </c>
      <c r="Y15" s="96"/>
      <c r="Z15" s="98"/>
      <c r="AA15" s="98"/>
      <c r="AB15" s="98"/>
      <c r="AC15" s="98"/>
      <c r="AD15" s="98"/>
      <c r="AE15" s="98"/>
      <c r="AF15" s="98"/>
      <c r="AG15" s="98"/>
      <c r="AH15" s="98"/>
      <c r="AI15" s="98"/>
      <c r="AJ15" s="98"/>
      <c r="AK15" s="98"/>
      <c r="AL15" s="98"/>
      <c r="AM15" s="98"/>
      <c r="AN15" s="98"/>
      <c r="AO15" s="98"/>
      <c r="AP15" s="98"/>
      <c r="AQ15" s="98"/>
      <c r="AR15" s="98"/>
      <c r="AS15" s="98"/>
    </row>
    <row r="16" spans="1:45" s="4" customFormat="1">
      <c r="A16" s="93" t="s">
        <v>919</v>
      </c>
      <c r="B16" s="94">
        <v>680487045710</v>
      </c>
      <c r="C16" s="95" t="s">
        <v>920</v>
      </c>
      <c r="D16">
        <v>0</v>
      </c>
      <c r="E16" s="96"/>
      <c r="F16" s="97"/>
      <c r="G16" s="98"/>
      <c r="H16" s="99" t="s">
        <v>220</v>
      </c>
      <c r="I16" s="100"/>
      <c r="J16" s="101"/>
      <c r="K16" s="102"/>
      <c r="L16" s="102"/>
      <c r="M16" s="102"/>
      <c r="N16" s="98"/>
      <c r="O16" s="98"/>
      <c r="P16" s="98"/>
      <c r="Q16" s="98"/>
      <c r="R16" s="98"/>
      <c r="S16" s="98"/>
      <c r="T16" s="98"/>
      <c r="U16" s="109"/>
      <c r="V16" s="103"/>
      <c r="W16" s="107"/>
      <c r="X16" s="108" t="s">
        <v>1440</v>
      </c>
      <c r="Y16" s="96"/>
      <c r="Z16" s="98"/>
      <c r="AA16" s="98"/>
      <c r="AB16" s="98"/>
      <c r="AC16" s="98"/>
      <c r="AD16" s="98"/>
      <c r="AE16" s="98"/>
      <c r="AF16" s="98"/>
      <c r="AG16" s="98"/>
      <c r="AH16" s="98"/>
      <c r="AI16" s="98"/>
      <c r="AJ16" s="98"/>
      <c r="AK16" s="98"/>
      <c r="AL16" s="98"/>
      <c r="AM16" s="98"/>
      <c r="AN16" s="98"/>
      <c r="AO16" s="98"/>
      <c r="AP16" s="98"/>
      <c r="AQ16" s="98"/>
      <c r="AR16" s="98"/>
      <c r="AS16" s="98"/>
    </row>
    <row r="17" spans="1:45" s="4" customFormat="1">
      <c r="A17" s="93" t="s">
        <v>919</v>
      </c>
      <c r="B17" s="94">
        <v>680487057898</v>
      </c>
      <c r="C17" s="95" t="s">
        <v>920</v>
      </c>
      <c r="D17">
        <v>0</v>
      </c>
      <c r="E17" s="96"/>
      <c r="F17" s="97"/>
      <c r="G17" s="98"/>
      <c r="H17" s="99" t="s">
        <v>221</v>
      </c>
      <c r="I17" s="100"/>
      <c r="J17" s="101"/>
      <c r="K17" s="102"/>
      <c r="L17" s="102"/>
      <c r="M17" s="102"/>
      <c r="N17" s="98"/>
      <c r="O17" s="109"/>
      <c r="P17" s="109"/>
      <c r="Q17" s="109"/>
      <c r="R17" s="95"/>
      <c r="S17" s="95"/>
      <c r="T17" s="95"/>
      <c r="U17" s="109"/>
      <c r="V17" s="103"/>
      <c r="W17" s="107"/>
      <c r="X17" s="108" t="s">
        <v>1440</v>
      </c>
      <c r="Y17" s="96"/>
      <c r="Z17" s="96"/>
      <c r="AA17" s="96"/>
      <c r="AB17" s="96"/>
      <c r="AC17" s="110"/>
      <c r="AD17" s="96"/>
      <c r="AE17" s="96"/>
      <c r="AF17" s="96"/>
      <c r="AG17" s="110"/>
      <c r="AH17" s="96"/>
      <c r="AI17" s="96"/>
      <c r="AJ17" s="96"/>
      <c r="AK17" s="110"/>
      <c r="AL17" s="96"/>
      <c r="AM17" s="96"/>
      <c r="AN17" s="96"/>
      <c r="AO17" s="110"/>
      <c r="AP17" s="96"/>
      <c r="AQ17" s="96"/>
      <c r="AR17" s="96"/>
      <c r="AS17" s="110"/>
    </row>
    <row r="18" spans="1:45" s="4" customFormat="1">
      <c r="A18" s="93" t="s">
        <v>919</v>
      </c>
      <c r="B18" s="94">
        <v>680487043808</v>
      </c>
      <c r="C18" s="95" t="s">
        <v>920</v>
      </c>
      <c r="D18">
        <v>0</v>
      </c>
      <c r="E18" s="96"/>
      <c r="F18" s="97"/>
      <c r="G18" s="98"/>
      <c r="H18" s="99" t="s">
        <v>222</v>
      </c>
      <c r="I18" s="100"/>
      <c r="J18" s="101"/>
      <c r="K18" s="102"/>
      <c r="L18" s="102"/>
      <c r="M18" s="102"/>
      <c r="N18" s="98"/>
      <c r="O18" s="98"/>
      <c r="P18" s="98"/>
      <c r="Q18" s="98"/>
      <c r="R18" s="98"/>
      <c r="S18" s="98"/>
      <c r="T18" s="98"/>
      <c r="U18" s="109"/>
      <c r="V18" s="103"/>
      <c r="W18" s="107"/>
      <c r="X18" s="108" t="s">
        <v>1440</v>
      </c>
      <c r="Y18" s="96"/>
      <c r="Z18" s="98"/>
      <c r="AA18" s="98"/>
      <c r="AB18" s="98"/>
      <c r="AC18" s="98"/>
      <c r="AD18" s="98"/>
      <c r="AE18" s="98"/>
      <c r="AF18" s="98"/>
      <c r="AG18" s="98"/>
      <c r="AH18" s="98"/>
      <c r="AI18" s="98"/>
      <c r="AJ18" s="98"/>
      <c r="AK18" s="98"/>
      <c r="AL18" s="98"/>
      <c r="AM18" s="98"/>
      <c r="AN18" s="98"/>
      <c r="AO18" s="98"/>
      <c r="AP18" s="98"/>
      <c r="AQ18" s="98"/>
      <c r="AR18" s="98"/>
      <c r="AS18" s="98"/>
    </row>
    <row r="19" spans="1:45" s="4" customFormat="1">
      <c r="A19" s="93" t="s">
        <v>919</v>
      </c>
      <c r="B19" s="94">
        <v>680487044973</v>
      </c>
      <c r="C19" s="95" t="s">
        <v>920</v>
      </c>
      <c r="D19">
        <v>0</v>
      </c>
      <c r="E19" s="96"/>
      <c r="F19" s="97"/>
      <c r="G19" s="98"/>
      <c r="H19" s="99" t="s">
        <v>223</v>
      </c>
      <c r="I19" s="100"/>
      <c r="J19" s="101"/>
      <c r="K19" s="102"/>
      <c r="L19" s="102"/>
      <c r="M19" s="102"/>
      <c r="N19" s="98"/>
      <c r="O19" s="109"/>
      <c r="P19" s="109"/>
      <c r="Q19" s="109"/>
      <c r="R19" s="95"/>
      <c r="S19" s="95"/>
      <c r="T19" s="95"/>
      <c r="U19" s="109"/>
      <c r="V19" s="103"/>
      <c r="W19" s="107"/>
      <c r="X19" s="108" t="s">
        <v>1440</v>
      </c>
      <c r="Y19" s="96"/>
      <c r="Z19" s="96"/>
      <c r="AA19" s="96"/>
      <c r="AB19" s="96"/>
      <c r="AC19" s="110"/>
      <c r="AD19" s="96"/>
      <c r="AE19" s="96"/>
      <c r="AF19" s="96"/>
      <c r="AG19" s="110"/>
      <c r="AH19" s="96"/>
      <c r="AI19" s="96"/>
      <c r="AJ19" s="96"/>
      <c r="AK19" s="110"/>
      <c r="AL19" s="96"/>
      <c r="AM19" s="96"/>
      <c r="AN19" s="96"/>
      <c r="AO19" s="110"/>
      <c r="AP19" s="96"/>
      <c r="AQ19" s="96"/>
      <c r="AR19" s="96"/>
      <c r="AS19" s="110"/>
    </row>
    <row r="20" spans="1:45" s="4" customFormat="1">
      <c r="A20" s="93" t="s">
        <v>919</v>
      </c>
      <c r="B20" s="94">
        <v>680487165746</v>
      </c>
      <c r="C20" s="95" t="s">
        <v>920</v>
      </c>
      <c r="D20">
        <v>0</v>
      </c>
      <c r="E20" s="96"/>
      <c r="F20" s="97"/>
      <c r="G20" s="98"/>
      <c r="H20" s="99" t="s">
        <v>224</v>
      </c>
      <c r="I20" s="100"/>
      <c r="J20" s="101"/>
      <c r="K20" s="102"/>
      <c r="L20" s="102"/>
      <c r="M20" s="102"/>
      <c r="N20" s="98"/>
      <c r="O20" s="98"/>
      <c r="P20" s="98"/>
      <c r="Q20" s="98"/>
      <c r="R20" s="98"/>
      <c r="S20" s="98"/>
      <c r="T20" s="98"/>
      <c r="U20" s="109"/>
      <c r="V20" s="103"/>
      <c r="W20" s="107"/>
      <c r="X20" s="108" t="s">
        <v>1440</v>
      </c>
      <c r="Y20" s="96"/>
      <c r="Z20" s="98"/>
      <c r="AA20" s="98"/>
      <c r="AB20" s="98"/>
      <c r="AC20" s="98"/>
      <c r="AD20" s="98"/>
      <c r="AE20" s="98"/>
      <c r="AF20" s="98"/>
      <c r="AG20" s="98"/>
      <c r="AH20" s="98"/>
      <c r="AI20" s="98"/>
      <c r="AJ20" s="98"/>
      <c r="AK20" s="98"/>
      <c r="AL20" s="98"/>
      <c r="AM20" s="98"/>
      <c r="AN20" s="98"/>
      <c r="AO20" s="98"/>
      <c r="AP20" s="98"/>
      <c r="AQ20" s="98"/>
      <c r="AR20" s="98"/>
      <c r="AS20" s="98"/>
    </row>
    <row r="21" spans="1:45" s="4" customFormat="1">
      <c r="A21" s="93" t="s">
        <v>919</v>
      </c>
      <c r="B21" s="94">
        <v>680487044249</v>
      </c>
      <c r="C21" s="95" t="s">
        <v>920</v>
      </c>
      <c r="D21">
        <v>0</v>
      </c>
      <c r="E21" s="96"/>
      <c r="F21" s="97"/>
      <c r="G21" s="98"/>
      <c r="H21" s="99" t="s">
        <v>225</v>
      </c>
      <c r="I21" s="100"/>
      <c r="J21" s="101"/>
      <c r="K21" s="102"/>
      <c r="L21" s="102"/>
      <c r="M21" s="102"/>
      <c r="N21" s="98"/>
      <c r="O21" s="98"/>
      <c r="P21" s="98"/>
      <c r="Q21" s="98"/>
      <c r="R21" s="98"/>
      <c r="S21" s="98"/>
      <c r="T21" s="98"/>
      <c r="U21" s="109"/>
      <c r="V21" s="103"/>
      <c r="W21" s="107"/>
      <c r="X21" s="108" t="s">
        <v>1440</v>
      </c>
      <c r="Y21" s="96"/>
      <c r="Z21" s="98"/>
      <c r="AA21" s="98"/>
      <c r="AB21" s="98"/>
      <c r="AC21" s="98"/>
      <c r="AD21" s="98"/>
      <c r="AE21" s="98"/>
      <c r="AF21" s="98"/>
      <c r="AG21" s="98"/>
      <c r="AH21" s="98"/>
      <c r="AI21" s="98"/>
      <c r="AJ21" s="98"/>
      <c r="AK21" s="98"/>
      <c r="AL21" s="98"/>
      <c r="AM21" s="98"/>
      <c r="AN21" s="98"/>
      <c r="AO21" s="98"/>
      <c r="AP21" s="98"/>
      <c r="AQ21" s="98"/>
      <c r="AR21" s="98"/>
      <c r="AS21" s="98"/>
    </row>
    <row r="22" spans="1:45" s="4" customFormat="1">
      <c r="A22" s="93" t="s">
        <v>919</v>
      </c>
      <c r="B22" s="94">
        <v>680487046236</v>
      </c>
      <c r="C22" s="95" t="s">
        <v>920</v>
      </c>
      <c r="D22">
        <v>0</v>
      </c>
      <c r="E22" s="96"/>
      <c r="F22" s="97"/>
      <c r="G22" s="98"/>
      <c r="H22" s="99" t="s">
        <v>679</v>
      </c>
      <c r="I22" s="100"/>
      <c r="J22" s="101"/>
      <c r="K22" s="102"/>
      <c r="L22" s="102"/>
      <c r="M22" s="102"/>
      <c r="N22" s="98"/>
      <c r="O22" s="98"/>
      <c r="P22" s="98"/>
      <c r="Q22" s="98"/>
      <c r="R22" s="98"/>
      <c r="S22" s="98"/>
      <c r="T22" s="98"/>
      <c r="U22" s="109"/>
      <c r="V22" s="103"/>
      <c r="W22" s="107"/>
      <c r="X22" s="108" t="s">
        <v>1440</v>
      </c>
      <c r="Y22" s="96"/>
      <c r="Z22" s="98"/>
      <c r="AA22" s="98"/>
      <c r="AB22" s="98"/>
      <c r="AC22" s="98"/>
      <c r="AD22" s="98"/>
      <c r="AE22" s="98"/>
      <c r="AF22" s="98"/>
      <c r="AG22" s="98"/>
      <c r="AH22" s="98"/>
      <c r="AI22" s="98"/>
      <c r="AJ22" s="98"/>
      <c r="AK22" s="98"/>
      <c r="AL22" s="98"/>
      <c r="AM22" s="98"/>
      <c r="AN22" s="98"/>
      <c r="AO22" s="98"/>
      <c r="AP22" s="98"/>
      <c r="AQ22" s="98"/>
      <c r="AR22" s="98"/>
      <c r="AS22" s="98"/>
    </row>
    <row r="23" spans="1:45" s="4" customFormat="1">
      <c r="A23" s="93" t="s">
        <v>919</v>
      </c>
      <c r="B23" s="94">
        <v>680487044683</v>
      </c>
      <c r="C23" s="95" t="s">
        <v>920</v>
      </c>
      <c r="D23">
        <v>0</v>
      </c>
      <c r="E23" s="96"/>
      <c r="F23" s="97"/>
      <c r="G23" s="98"/>
      <c r="H23" s="99" t="s">
        <v>226</v>
      </c>
      <c r="I23" s="100"/>
      <c r="J23" s="101"/>
      <c r="K23" s="102"/>
      <c r="L23" s="102"/>
      <c r="M23" s="102"/>
      <c r="N23" s="98"/>
      <c r="O23" s="98"/>
      <c r="P23" s="98"/>
      <c r="Q23" s="98"/>
      <c r="R23" s="98"/>
      <c r="S23" s="98"/>
      <c r="T23" s="98"/>
      <c r="U23" s="109"/>
      <c r="V23" s="103"/>
      <c r="W23" s="107"/>
      <c r="X23" s="108" t="s">
        <v>1440</v>
      </c>
      <c r="Y23" s="96"/>
      <c r="Z23" s="98"/>
      <c r="AA23" s="98"/>
      <c r="AB23" s="98"/>
      <c r="AC23" s="98"/>
      <c r="AD23" s="98"/>
      <c r="AE23" s="98"/>
      <c r="AF23" s="98"/>
      <c r="AG23" s="98"/>
      <c r="AH23" s="98"/>
      <c r="AI23" s="98"/>
      <c r="AJ23" s="98"/>
      <c r="AK23" s="98"/>
      <c r="AL23" s="98"/>
      <c r="AM23" s="98"/>
      <c r="AN23" s="98"/>
      <c r="AO23" s="98"/>
      <c r="AP23" s="98"/>
      <c r="AQ23" s="98"/>
      <c r="AR23" s="98"/>
      <c r="AS23" s="98"/>
    </row>
    <row r="24" spans="1:45" s="4" customFormat="1">
      <c r="A24" s="93" t="s">
        <v>919</v>
      </c>
      <c r="B24" s="94">
        <v>680487045673</v>
      </c>
      <c r="C24" s="95" t="s">
        <v>920</v>
      </c>
      <c r="D24">
        <v>0</v>
      </c>
      <c r="E24" s="96"/>
      <c r="F24" s="97"/>
      <c r="G24" s="98"/>
      <c r="H24" s="99" t="s">
        <v>227</v>
      </c>
      <c r="I24" s="100"/>
      <c r="J24" s="101"/>
      <c r="K24" s="102"/>
      <c r="L24" s="102"/>
      <c r="M24" s="102"/>
      <c r="N24" s="98"/>
      <c r="O24" s="98"/>
      <c r="P24" s="98"/>
      <c r="Q24" s="98"/>
      <c r="R24" s="98"/>
      <c r="S24" s="98"/>
      <c r="T24" s="98"/>
      <c r="U24" s="109"/>
      <c r="V24" s="103"/>
      <c r="W24" s="107"/>
      <c r="X24" s="108" t="s">
        <v>1440</v>
      </c>
      <c r="Y24" s="96"/>
      <c r="Z24" s="98"/>
      <c r="AA24" s="98"/>
      <c r="AB24" s="98"/>
      <c r="AC24" s="98"/>
      <c r="AD24" s="98"/>
      <c r="AE24" s="98"/>
      <c r="AF24" s="98"/>
      <c r="AG24" s="98"/>
      <c r="AH24" s="98"/>
      <c r="AI24" s="98"/>
      <c r="AJ24" s="98"/>
      <c r="AK24" s="98"/>
      <c r="AL24" s="98"/>
      <c r="AM24" s="98"/>
      <c r="AN24" s="98"/>
      <c r="AO24" s="98"/>
      <c r="AP24" s="98"/>
      <c r="AQ24" s="98"/>
      <c r="AR24" s="98"/>
      <c r="AS24" s="98"/>
    </row>
    <row r="25" spans="1:45" s="4" customFormat="1">
      <c r="A25" s="93" t="s">
        <v>919</v>
      </c>
      <c r="B25" s="94">
        <v>680487045697</v>
      </c>
      <c r="C25" s="95" t="s">
        <v>920</v>
      </c>
      <c r="D25">
        <v>0</v>
      </c>
      <c r="E25" s="96"/>
      <c r="F25" s="97"/>
      <c r="G25" s="98"/>
      <c r="H25" s="99" t="s">
        <v>228</v>
      </c>
      <c r="I25" s="100"/>
      <c r="J25" s="101"/>
      <c r="K25" s="102"/>
      <c r="L25" s="102"/>
      <c r="M25" s="102"/>
      <c r="N25" s="98"/>
      <c r="O25" s="98"/>
      <c r="P25" s="98"/>
      <c r="Q25" s="98"/>
      <c r="R25" s="98"/>
      <c r="S25" s="98"/>
      <c r="T25" s="98"/>
      <c r="U25" s="109"/>
      <c r="V25" s="103"/>
      <c r="W25" s="107"/>
      <c r="X25" s="108" t="s">
        <v>1440</v>
      </c>
      <c r="Y25" s="96"/>
      <c r="Z25" s="98"/>
      <c r="AA25" s="98"/>
      <c r="AB25" s="98"/>
      <c r="AC25" s="98"/>
      <c r="AD25" s="98"/>
      <c r="AE25" s="98"/>
      <c r="AF25" s="98"/>
      <c r="AG25" s="98"/>
      <c r="AH25" s="98"/>
      <c r="AI25" s="98"/>
      <c r="AJ25" s="98"/>
      <c r="AK25" s="98"/>
      <c r="AL25" s="98"/>
      <c r="AM25" s="98"/>
      <c r="AN25" s="98"/>
      <c r="AO25" s="98"/>
      <c r="AP25" s="98"/>
      <c r="AQ25" s="98"/>
      <c r="AR25" s="98"/>
      <c r="AS25" s="98"/>
    </row>
    <row r="26" spans="1:45" s="4" customFormat="1">
      <c r="A26" s="93" t="s">
        <v>919</v>
      </c>
      <c r="B26" s="94">
        <v>680487135091</v>
      </c>
      <c r="C26" s="95" t="s">
        <v>920</v>
      </c>
      <c r="D26">
        <v>0</v>
      </c>
      <c r="E26" s="96"/>
      <c r="F26" s="97"/>
      <c r="G26" s="98"/>
      <c r="H26" s="99" t="s">
        <v>229</v>
      </c>
      <c r="I26" s="100"/>
      <c r="J26" s="101"/>
      <c r="K26" s="102"/>
      <c r="L26" s="102"/>
      <c r="M26" s="102"/>
      <c r="N26" s="98"/>
      <c r="O26" s="98"/>
      <c r="P26" s="98"/>
      <c r="Q26" s="98"/>
      <c r="R26" s="98"/>
      <c r="S26" s="98"/>
      <c r="T26" s="98"/>
      <c r="U26" s="109"/>
      <c r="V26" s="103"/>
      <c r="W26" s="107"/>
      <c r="X26" s="108" t="s">
        <v>1440</v>
      </c>
      <c r="Y26" s="96"/>
      <c r="Z26" s="98"/>
      <c r="AA26" s="98"/>
      <c r="AB26" s="98"/>
      <c r="AC26" s="98"/>
      <c r="AD26" s="98"/>
      <c r="AE26" s="98"/>
      <c r="AF26" s="98"/>
      <c r="AG26" s="98"/>
      <c r="AH26" s="98"/>
      <c r="AI26" s="98"/>
      <c r="AJ26" s="98"/>
      <c r="AK26" s="98"/>
      <c r="AL26" s="98"/>
      <c r="AM26" s="98"/>
      <c r="AN26" s="98"/>
      <c r="AO26" s="98"/>
      <c r="AP26" s="98"/>
      <c r="AQ26" s="98"/>
      <c r="AR26" s="98"/>
      <c r="AS26" s="98"/>
    </row>
    <row r="27" spans="1:45" s="4" customFormat="1">
      <c r="A27" s="93" t="s">
        <v>919</v>
      </c>
      <c r="B27" s="94">
        <v>680487165937</v>
      </c>
      <c r="C27" s="95" t="s">
        <v>920</v>
      </c>
      <c r="D27">
        <v>0</v>
      </c>
      <c r="E27" s="96"/>
      <c r="F27" s="97"/>
      <c r="G27" s="98"/>
      <c r="H27" s="99" t="s">
        <v>230</v>
      </c>
      <c r="I27" s="100"/>
      <c r="J27" s="101"/>
      <c r="K27" s="102"/>
      <c r="L27" s="102"/>
      <c r="M27" s="102"/>
      <c r="N27" s="98"/>
      <c r="O27" s="98"/>
      <c r="P27" s="98"/>
      <c r="Q27" s="98"/>
      <c r="R27" s="98"/>
      <c r="S27" s="98"/>
      <c r="T27" s="98"/>
      <c r="U27" s="109"/>
      <c r="V27" s="103"/>
      <c r="W27" s="107"/>
      <c r="X27" s="108" t="s">
        <v>1440</v>
      </c>
      <c r="Y27" s="96"/>
      <c r="Z27" s="98"/>
      <c r="AA27" s="98"/>
      <c r="AB27" s="98"/>
      <c r="AC27" s="98"/>
      <c r="AD27" s="98"/>
      <c r="AE27" s="98"/>
      <c r="AF27" s="98"/>
      <c r="AG27" s="98"/>
      <c r="AH27" s="98"/>
      <c r="AI27" s="98"/>
      <c r="AJ27" s="98"/>
      <c r="AK27" s="98"/>
      <c r="AL27" s="98"/>
      <c r="AM27" s="98"/>
      <c r="AN27" s="98"/>
      <c r="AO27" s="98"/>
      <c r="AP27" s="98"/>
      <c r="AQ27" s="98"/>
      <c r="AR27" s="98"/>
      <c r="AS27" s="98"/>
    </row>
    <row r="28" spans="1:45" s="4" customFormat="1">
      <c r="A28" s="93" t="s">
        <v>919</v>
      </c>
      <c r="B28" s="94">
        <v>680487045512</v>
      </c>
      <c r="C28" s="95" t="s">
        <v>920</v>
      </c>
      <c r="D28">
        <v>0</v>
      </c>
      <c r="E28" s="96"/>
      <c r="F28" s="97"/>
      <c r="G28" s="98"/>
      <c r="H28" s="99" t="s">
        <v>231</v>
      </c>
      <c r="I28" s="100"/>
      <c r="J28" s="101"/>
      <c r="K28" s="102"/>
      <c r="L28" s="102"/>
      <c r="M28" s="102"/>
      <c r="N28" s="98"/>
      <c r="O28" s="98"/>
      <c r="P28" s="98"/>
      <c r="Q28" s="98"/>
      <c r="R28" s="98"/>
      <c r="S28" s="98"/>
      <c r="T28" s="98"/>
      <c r="U28" s="109"/>
      <c r="V28" s="103"/>
      <c r="W28" s="107"/>
      <c r="X28" s="108" t="s">
        <v>1440</v>
      </c>
      <c r="Y28" s="96"/>
      <c r="Z28" s="98"/>
      <c r="AA28" s="98"/>
      <c r="AB28" s="98"/>
      <c r="AC28" s="98"/>
      <c r="AD28" s="98"/>
      <c r="AE28" s="98"/>
      <c r="AF28" s="98"/>
      <c r="AG28" s="98"/>
      <c r="AH28" s="98"/>
      <c r="AI28" s="98"/>
      <c r="AJ28" s="98"/>
      <c r="AK28" s="98"/>
      <c r="AL28" s="98"/>
      <c r="AM28" s="98"/>
      <c r="AN28" s="98"/>
      <c r="AO28" s="98"/>
      <c r="AP28" s="98"/>
      <c r="AQ28" s="98"/>
      <c r="AR28" s="98"/>
      <c r="AS28" s="98"/>
    </row>
    <row r="29" spans="1:45" s="4" customFormat="1">
      <c r="A29" s="93" t="s">
        <v>919</v>
      </c>
      <c r="B29" s="94">
        <v>680487044645</v>
      </c>
      <c r="C29" s="95" t="s">
        <v>920</v>
      </c>
      <c r="D29">
        <v>0</v>
      </c>
      <c r="E29" s="96"/>
      <c r="F29" s="97"/>
      <c r="G29" s="98"/>
      <c r="H29" s="99" t="s">
        <v>233</v>
      </c>
      <c r="I29" s="100"/>
      <c r="J29" s="101"/>
      <c r="K29" s="102"/>
      <c r="L29" s="102"/>
      <c r="M29" s="102"/>
      <c r="N29" s="98"/>
      <c r="O29" s="98"/>
      <c r="P29" s="98"/>
      <c r="Q29" s="98"/>
      <c r="R29" s="98"/>
      <c r="S29" s="98"/>
      <c r="T29" s="98"/>
      <c r="U29" s="109"/>
      <c r="V29" s="103"/>
      <c r="W29" s="107"/>
      <c r="X29" s="108" t="s">
        <v>1440</v>
      </c>
      <c r="Y29" s="96"/>
      <c r="Z29" s="98"/>
      <c r="AA29" s="98"/>
      <c r="AB29" s="98"/>
      <c r="AC29" s="98"/>
      <c r="AD29" s="98"/>
      <c r="AE29" s="98"/>
      <c r="AF29" s="98"/>
      <c r="AG29" s="98"/>
      <c r="AH29" s="98"/>
      <c r="AI29" s="98"/>
      <c r="AJ29" s="98"/>
      <c r="AK29" s="98"/>
      <c r="AL29" s="98"/>
      <c r="AM29" s="98"/>
      <c r="AN29" s="98"/>
      <c r="AO29" s="98"/>
      <c r="AP29" s="98"/>
      <c r="AQ29" s="98"/>
      <c r="AR29" s="98"/>
      <c r="AS29" s="98"/>
    </row>
    <row r="30" spans="1:45" s="4" customFormat="1">
      <c r="A30" s="93" t="s">
        <v>919</v>
      </c>
      <c r="B30" s="94">
        <v>680487045659</v>
      </c>
      <c r="C30" s="95" t="s">
        <v>920</v>
      </c>
      <c r="D30">
        <v>0</v>
      </c>
      <c r="E30" s="96"/>
      <c r="F30" s="97"/>
      <c r="G30" s="98"/>
      <c r="H30" s="99" t="s">
        <v>234</v>
      </c>
      <c r="I30" s="100"/>
      <c r="J30" s="101"/>
      <c r="K30" s="102"/>
      <c r="L30" s="102"/>
      <c r="M30" s="102"/>
      <c r="N30" s="98"/>
      <c r="O30" s="98"/>
      <c r="P30" s="98"/>
      <c r="Q30" s="98"/>
      <c r="R30" s="98"/>
      <c r="S30" s="98"/>
      <c r="T30" s="98"/>
      <c r="U30" s="109"/>
      <c r="V30" s="103"/>
      <c r="W30" s="107"/>
      <c r="X30" s="108" t="s">
        <v>1440</v>
      </c>
      <c r="Y30" s="96"/>
      <c r="Z30" s="98"/>
      <c r="AA30" s="98"/>
      <c r="AB30" s="98"/>
      <c r="AC30" s="98"/>
      <c r="AD30" s="98"/>
      <c r="AE30" s="98"/>
      <c r="AF30" s="98"/>
      <c r="AG30" s="98"/>
      <c r="AH30" s="98"/>
      <c r="AI30" s="98"/>
      <c r="AJ30" s="98"/>
      <c r="AK30" s="98"/>
      <c r="AL30" s="98"/>
      <c r="AM30" s="98"/>
      <c r="AN30" s="98"/>
      <c r="AO30" s="98"/>
      <c r="AP30" s="98"/>
      <c r="AQ30" s="98"/>
      <c r="AR30" s="98"/>
      <c r="AS30" s="98"/>
    </row>
    <row r="31" spans="1:45" s="4" customFormat="1">
      <c r="A31" s="93" t="s">
        <v>919</v>
      </c>
      <c r="B31" s="94">
        <v>680487045376</v>
      </c>
      <c r="C31" s="95" t="s">
        <v>920</v>
      </c>
      <c r="D31">
        <v>0</v>
      </c>
      <c r="E31" s="96"/>
      <c r="F31" s="97"/>
      <c r="G31" s="98"/>
      <c r="H31" s="99" t="s">
        <v>235</v>
      </c>
      <c r="I31" s="100"/>
      <c r="J31" s="101"/>
      <c r="K31" s="102"/>
      <c r="L31" s="102"/>
      <c r="M31" s="102"/>
      <c r="N31" s="98"/>
      <c r="O31" s="98"/>
      <c r="P31" s="98"/>
      <c r="Q31" s="98"/>
      <c r="R31" s="98"/>
      <c r="S31" s="98"/>
      <c r="T31" s="98"/>
      <c r="U31" s="109"/>
      <c r="V31" s="103"/>
      <c r="W31" s="107"/>
      <c r="X31" s="108" t="s">
        <v>1440</v>
      </c>
      <c r="Y31" s="96"/>
      <c r="Z31" s="98"/>
      <c r="AA31" s="98"/>
      <c r="AB31" s="98"/>
      <c r="AC31" s="98"/>
      <c r="AD31" s="98"/>
      <c r="AE31" s="98"/>
      <c r="AF31" s="98"/>
      <c r="AG31" s="98"/>
      <c r="AH31" s="98"/>
      <c r="AI31" s="98"/>
      <c r="AJ31" s="98"/>
      <c r="AK31" s="98"/>
      <c r="AL31" s="98"/>
      <c r="AM31" s="98"/>
      <c r="AN31" s="98"/>
      <c r="AO31" s="98"/>
      <c r="AP31" s="98"/>
      <c r="AQ31" s="98"/>
      <c r="AR31" s="98"/>
      <c r="AS31" s="98"/>
    </row>
    <row r="32" spans="1:45" s="4" customFormat="1">
      <c r="A32" s="93" t="s">
        <v>919</v>
      </c>
      <c r="B32" s="94">
        <v>680487044348</v>
      </c>
      <c r="C32" s="95" t="s">
        <v>920</v>
      </c>
      <c r="D32">
        <v>0</v>
      </c>
      <c r="E32" s="96"/>
      <c r="F32" s="97"/>
      <c r="G32" s="98"/>
      <c r="H32" s="99" t="s">
        <v>236</v>
      </c>
      <c r="I32" s="100"/>
      <c r="J32" s="101"/>
      <c r="K32" s="102"/>
      <c r="L32" s="102"/>
      <c r="M32" s="102"/>
      <c r="N32" s="98"/>
      <c r="O32" s="98"/>
      <c r="P32" s="98"/>
      <c r="Q32" s="98"/>
      <c r="R32" s="98"/>
      <c r="S32" s="98"/>
      <c r="T32" s="98"/>
      <c r="U32" s="109"/>
      <c r="V32" s="103"/>
      <c r="W32" s="107"/>
      <c r="X32" s="108" t="s">
        <v>1440</v>
      </c>
      <c r="Y32" s="96"/>
      <c r="Z32" s="98"/>
      <c r="AA32" s="98"/>
      <c r="AB32" s="98"/>
      <c r="AC32" s="98"/>
      <c r="AD32" s="98"/>
      <c r="AE32" s="98"/>
      <c r="AF32" s="98"/>
      <c r="AG32" s="98"/>
      <c r="AH32" s="98"/>
      <c r="AI32" s="98"/>
      <c r="AJ32" s="98"/>
      <c r="AK32" s="98"/>
      <c r="AL32" s="98"/>
      <c r="AM32" s="98"/>
      <c r="AN32" s="98"/>
      <c r="AO32" s="98"/>
      <c r="AP32" s="98"/>
      <c r="AQ32" s="98"/>
      <c r="AR32" s="98"/>
      <c r="AS32" s="98"/>
    </row>
    <row r="33" spans="1:45" s="4" customFormat="1">
      <c r="A33" s="93" t="s">
        <v>919</v>
      </c>
      <c r="B33" s="94">
        <v>680487045499</v>
      </c>
      <c r="C33" s="95" t="s">
        <v>920</v>
      </c>
      <c r="D33">
        <v>0</v>
      </c>
      <c r="E33" s="96"/>
      <c r="F33" s="97"/>
      <c r="G33" s="98"/>
      <c r="H33" s="99" t="s">
        <v>237</v>
      </c>
      <c r="I33" s="100"/>
      <c r="J33" s="101"/>
      <c r="K33" s="102"/>
      <c r="L33" s="102"/>
      <c r="M33" s="102"/>
      <c r="N33" s="98"/>
      <c r="O33" s="98"/>
      <c r="P33" s="98"/>
      <c r="Q33" s="98"/>
      <c r="R33" s="98"/>
      <c r="S33" s="98"/>
      <c r="T33" s="98"/>
      <c r="U33" s="109"/>
      <c r="V33" s="103"/>
      <c r="W33" s="107"/>
      <c r="X33" s="108" t="s">
        <v>1440</v>
      </c>
      <c r="Y33" s="96"/>
      <c r="Z33" s="98"/>
      <c r="AA33" s="98"/>
      <c r="AB33" s="98"/>
      <c r="AC33" s="98"/>
      <c r="AD33" s="98"/>
      <c r="AE33" s="98"/>
      <c r="AF33" s="98"/>
      <c r="AG33" s="98"/>
      <c r="AH33" s="98"/>
      <c r="AI33" s="98"/>
      <c r="AJ33" s="98"/>
      <c r="AK33" s="98"/>
      <c r="AL33" s="98"/>
      <c r="AM33" s="98"/>
      <c r="AN33" s="98"/>
      <c r="AO33" s="98"/>
      <c r="AP33" s="98"/>
      <c r="AQ33" s="98"/>
      <c r="AR33" s="98"/>
      <c r="AS33" s="98"/>
    </row>
    <row r="34" spans="1:45" s="4" customFormat="1">
      <c r="A34" s="93" t="s">
        <v>919</v>
      </c>
      <c r="B34" s="94">
        <v>680487044997</v>
      </c>
      <c r="C34" s="95" t="s">
        <v>920</v>
      </c>
      <c r="D34">
        <v>0</v>
      </c>
      <c r="E34" s="96"/>
      <c r="F34" s="97"/>
      <c r="G34" s="98"/>
      <c r="H34" s="99" t="s">
        <v>238</v>
      </c>
      <c r="I34" s="100"/>
      <c r="J34" s="101"/>
      <c r="K34" s="102"/>
      <c r="L34" s="102"/>
      <c r="M34" s="102"/>
      <c r="N34" s="98"/>
      <c r="O34" s="98"/>
      <c r="P34" s="98"/>
      <c r="Q34" s="98"/>
      <c r="R34" s="98"/>
      <c r="S34" s="98"/>
      <c r="T34" s="98"/>
      <c r="U34" s="109"/>
      <c r="V34" s="103"/>
      <c r="W34" s="107"/>
      <c r="X34" s="108" t="s">
        <v>1440</v>
      </c>
      <c r="Y34" s="96"/>
      <c r="Z34" s="98"/>
      <c r="AA34" s="98"/>
      <c r="AB34" s="98"/>
      <c r="AC34" s="98"/>
      <c r="AD34" s="98"/>
      <c r="AE34" s="98"/>
      <c r="AF34" s="98"/>
      <c r="AG34" s="98"/>
      <c r="AH34" s="98"/>
      <c r="AI34" s="98"/>
      <c r="AJ34" s="98"/>
      <c r="AK34" s="98"/>
      <c r="AL34" s="98"/>
      <c r="AM34" s="98"/>
      <c r="AN34" s="98"/>
      <c r="AO34" s="98"/>
      <c r="AP34" s="98"/>
      <c r="AQ34" s="98"/>
      <c r="AR34" s="98"/>
      <c r="AS34" s="98"/>
    </row>
    <row r="35" spans="1:45" s="4" customFormat="1">
      <c r="A35" s="93" t="s">
        <v>919</v>
      </c>
      <c r="B35" s="94">
        <v>680487086126</v>
      </c>
      <c r="C35" s="95" t="s">
        <v>920</v>
      </c>
      <c r="D35">
        <v>0</v>
      </c>
      <c r="E35" s="96"/>
      <c r="F35" s="97"/>
      <c r="G35" s="98"/>
      <c r="H35" s="99" t="s">
        <v>239</v>
      </c>
      <c r="I35" s="100"/>
      <c r="J35" s="101"/>
      <c r="K35" s="102"/>
      <c r="L35" s="102"/>
      <c r="M35" s="102"/>
      <c r="N35" s="98"/>
      <c r="O35" s="98"/>
      <c r="P35" s="98"/>
      <c r="Q35" s="98"/>
      <c r="R35" s="98"/>
      <c r="S35" s="98"/>
      <c r="T35" s="98"/>
      <c r="U35" s="109"/>
      <c r="V35" s="103"/>
      <c r="W35" s="107"/>
      <c r="X35" s="108" t="s">
        <v>1440</v>
      </c>
      <c r="Y35" s="96"/>
      <c r="Z35" s="98"/>
      <c r="AA35" s="98"/>
      <c r="AB35" s="98"/>
      <c r="AC35" s="98"/>
      <c r="AD35" s="98"/>
      <c r="AE35" s="98"/>
      <c r="AF35" s="98"/>
      <c r="AG35" s="98"/>
      <c r="AH35" s="98"/>
      <c r="AI35" s="98"/>
      <c r="AJ35" s="98"/>
      <c r="AK35" s="98"/>
      <c r="AL35" s="98"/>
      <c r="AM35" s="98"/>
      <c r="AN35" s="98"/>
      <c r="AO35" s="98"/>
      <c r="AP35" s="98"/>
      <c r="AQ35" s="98"/>
      <c r="AR35" s="98"/>
      <c r="AS35" s="98"/>
    </row>
    <row r="36" spans="1:45" s="4" customFormat="1">
      <c r="A36" s="93" t="s">
        <v>919</v>
      </c>
      <c r="B36" s="94">
        <v>680487044867</v>
      </c>
      <c r="C36" s="95" t="s">
        <v>920</v>
      </c>
      <c r="D36">
        <v>0</v>
      </c>
      <c r="E36" s="96"/>
      <c r="F36" s="97"/>
      <c r="G36" s="98"/>
      <c r="H36" s="99" t="s">
        <v>240</v>
      </c>
      <c r="I36" s="100"/>
      <c r="J36" s="101"/>
      <c r="K36" s="102"/>
      <c r="L36" s="102"/>
      <c r="M36" s="102"/>
      <c r="N36" s="98"/>
      <c r="O36" s="98"/>
      <c r="P36" s="98"/>
      <c r="Q36" s="98"/>
      <c r="R36" s="98"/>
      <c r="S36" s="98"/>
      <c r="T36" s="98"/>
      <c r="U36" s="109"/>
      <c r="V36" s="103"/>
      <c r="W36" s="107"/>
      <c r="X36" s="108" t="s">
        <v>1440</v>
      </c>
      <c r="Y36" s="96"/>
      <c r="Z36" s="98"/>
      <c r="AA36" s="98"/>
      <c r="AB36" s="98"/>
      <c r="AC36" s="98"/>
      <c r="AD36" s="98"/>
      <c r="AE36" s="98"/>
      <c r="AF36" s="98"/>
      <c r="AG36" s="98"/>
      <c r="AH36" s="98"/>
      <c r="AI36" s="98"/>
      <c r="AJ36" s="98"/>
      <c r="AK36" s="98"/>
      <c r="AL36" s="98"/>
      <c r="AM36" s="98"/>
      <c r="AN36" s="98"/>
      <c r="AO36" s="98"/>
      <c r="AP36" s="98"/>
      <c r="AQ36" s="98"/>
      <c r="AR36" s="98"/>
      <c r="AS36" s="98"/>
    </row>
    <row r="37" spans="1:45" s="4" customFormat="1">
      <c r="A37" s="93" t="s">
        <v>919</v>
      </c>
      <c r="B37" s="94">
        <v>680487135251</v>
      </c>
      <c r="C37" s="95" t="s">
        <v>920</v>
      </c>
      <c r="D37">
        <v>0</v>
      </c>
      <c r="E37" s="96"/>
      <c r="F37" s="97"/>
      <c r="G37" s="98"/>
      <c r="H37" s="99" t="s">
        <v>241</v>
      </c>
      <c r="I37" s="100"/>
      <c r="J37" s="101"/>
      <c r="K37" s="102"/>
      <c r="L37" s="102"/>
      <c r="M37" s="102"/>
      <c r="N37" s="98"/>
      <c r="O37" s="98"/>
      <c r="P37" s="98"/>
      <c r="Q37" s="98"/>
      <c r="R37" s="98"/>
      <c r="S37" s="98"/>
      <c r="T37" s="98"/>
      <c r="U37" s="109"/>
      <c r="V37" s="103"/>
      <c r="W37" s="107"/>
      <c r="X37" s="108" t="s">
        <v>1440</v>
      </c>
      <c r="Y37" s="96"/>
      <c r="Z37" s="98"/>
      <c r="AA37" s="98"/>
      <c r="AB37" s="98"/>
      <c r="AC37" s="98"/>
      <c r="AD37" s="98"/>
      <c r="AE37" s="98"/>
      <c r="AF37" s="98"/>
      <c r="AG37" s="98"/>
      <c r="AH37" s="98"/>
      <c r="AI37" s="98"/>
      <c r="AJ37" s="98"/>
      <c r="AK37" s="98"/>
      <c r="AL37" s="98"/>
      <c r="AM37" s="98"/>
      <c r="AN37" s="98"/>
      <c r="AO37" s="98"/>
      <c r="AP37" s="98"/>
      <c r="AQ37" s="98"/>
      <c r="AR37" s="98"/>
      <c r="AS37" s="98"/>
    </row>
    <row r="38" spans="1:45" s="4" customFormat="1">
      <c r="A38" s="93" t="s">
        <v>919</v>
      </c>
      <c r="B38" s="94">
        <v>680487044041</v>
      </c>
      <c r="C38" s="95" t="s">
        <v>920</v>
      </c>
      <c r="D38">
        <v>0</v>
      </c>
      <c r="E38" s="96"/>
      <c r="F38" s="97"/>
      <c r="G38" s="98"/>
      <c r="H38" s="99" t="s">
        <v>242</v>
      </c>
      <c r="I38" s="100"/>
      <c r="J38" s="101"/>
      <c r="K38" s="102"/>
      <c r="L38" s="102"/>
      <c r="M38" s="102"/>
      <c r="N38" s="98"/>
      <c r="O38" s="98"/>
      <c r="P38" s="98"/>
      <c r="Q38" s="98"/>
      <c r="R38" s="98"/>
      <c r="S38" s="98"/>
      <c r="T38" s="98"/>
      <c r="U38" s="109"/>
      <c r="V38" s="103"/>
      <c r="W38" s="107"/>
      <c r="X38" s="108" t="s">
        <v>1440</v>
      </c>
      <c r="Y38" s="96"/>
      <c r="Z38" s="98"/>
      <c r="AA38" s="98"/>
      <c r="AB38" s="98"/>
      <c r="AC38" s="98"/>
      <c r="AD38" s="98"/>
      <c r="AE38" s="98"/>
      <c r="AF38" s="98"/>
      <c r="AG38" s="98"/>
      <c r="AH38" s="98"/>
      <c r="AI38" s="98"/>
      <c r="AJ38" s="98"/>
      <c r="AK38" s="98"/>
      <c r="AL38" s="98"/>
      <c r="AM38" s="98"/>
      <c r="AN38" s="98"/>
      <c r="AO38" s="98"/>
      <c r="AP38" s="98"/>
      <c r="AQ38" s="98"/>
      <c r="AR38" s="98"/>
      <c r="AS38" s="98"/>
    </row>
    <row r="39" spans="1:45" s="4" customFormat="1">
      <c r="A39" s="93" t="s">
        <v>919</v>
      </c>
      <c r="B39" s="94">
        <v>680487045154</v>
      </c>
      <c r="C39" s="95" t="s">
        <v>920</v>
      </c>
      <c r="D39">
        <v>0</v>
      </c>
      <c r="E39" s="96"/>
      <c r="F39" s="97"/>
      <c r="G39" s="98"/>
      <c r="H39" s="99" t="s">
        <v>243</v>
      </c>
      <c r="I39" s="100"/>
      <c r="J39" s="101"/>
      <c r="K39" s="102"/>
      <c r="L39" s="102"/>
      <c r="M39" s="102"/>
      <c r="N39" s="98"/>
      <c r="O39" s="98"/>
      <c r="P39" s="98"/>
      <c r="Q39" s="98"/>
      <c r="R39" s="98"/>
      <c r="S39" s="98"/>
      <c r="T39" s="98"/>
      <c r="U39" s="109"/>
      <c r="V39" s="103"/>
      <c r="W39" s="107"/>
      <c r="X39" s="108" t="s">
        <v>1440</v>
      </c>
      <c r="Y39" s="96"/>
      <c r="Z39" s="98"/>
      <c r="AA39" s="98"/>
      <c r="AB39" s="98"/>
      <c r="AC39" s="98"/>
      <c r="AD39" s="98"/>
      <c r="AE39" s="98"/>
      <c r="AF39" s="98"/>
      <c r="AG39" s="98"/>
      <c r="AH39" s="98"/>
      <c r="AI39" s="98"/>
      <c r="AJ39" s="98"/>
      <c r="AK39" s="98"/>
      <c r="AL39" s="98"/>
      <c r="AM39" s="98"/>
      <c r="AN39" s="98"/>
      <c r="AO39" s="98"/>
      <c r="AP39" s="98"/>
      <c r="AQ39" s="98"/>
      <c r="AR39" s="98"/>
      <c r="AS39" s="98"/>
    </row>
    <row r="40" spans="1:45" s="4" customFormat="1">
      <c r="A40" s="93" t="s">
        <v>919</v>
      </c>
      <c r="B40" s="94">
        <v>680487165845</v>
      </c>
      <c r="C40" s="95" t="s">
        <v>920</v>
      </c>
      <c r="D40">
        <v>0</v>
      </c>
      <c r="E40" s="96"/>
      <c r="F40" s="97"/>
      <c r="G40" s="98"/>
      <c r="H40" s="99" t="s">
        <v>244</v>
      </c>
      <c r="I40" s="100"/>
      <c r="J40" s="101"/>
      <c r="K40" s="102"/>
      <c r="L40" s="102"/>
      <c r="M40" s="102"/>
      <c r="N40" s="98"/>
      <c r="O40" s="98"/>
      <c r="P40" s="98"/>
      <c r="Q40" s="98"/>
      <c r="R40" s="98"/>
      <c r="S40" s="98"/>
      <c r="T40" s="98"/>
      <c r="U40" s="109"/>
      <c r="V40" s="103"/>
      <c r="W40" s="107"/>
      <c r="X40" s="108" t="s">
        <v>1440</v>
      </c>
      <c r="Y40" s="96"/>
      <c r="Z40" s="98"/>
      <c r="AA40" s="98"/>
      <c r="AB40" s="98"/>
      <c r="AC40" s="98"/>
      <c r="AD40" s="98"/>
      <c r="AE40" s="98"/>
      <c r="AF40" s="98"/>
      <c r="AG40" s="98"/>
      <c r="AH40" s="98"/>
      <c r="AI40" s="98"/>
      <c r="AJ40" s="98"/>
      <c r="AK40" s="98"/>
      <c r="AL40" s="98"/>
      <c r="AM40" s="98"/>
      <c r="AN40" s="98"/>
      <c r="AO40" s="98"/>
      <c r="AP40" s="98"/>
      <c r="AQ40" s="98"/>
      <c r="AR40" s="98"/>
      <c r="AS40" s="98"/>
    </row>
    <row r="41" spans="1:45" s="4" customFormat="1">
      <c r="A41" s="93" t="s">
        <v>919</v>
      </c>
      <c r="B41" s="94">
        <v>680487045055</v>
      </c>
      <c r="C41" s="95" t="s">
        <v>920</v>
      </c>
      <c r="D41">
        <v>0</v>
      </c>
      <c r="E41" s="96"/>
      <c r="F41" s="97"/>
      <c r="G41" s="98"/>
      <c r="H41" s="99" t="s">
        <v>245</v>
      </c>
      <c r="I41" s="100"/>
      <c r="J41" s="101"/>
      <c r="K41" s="102"/>
      <c r="L41" s="102"/>
      <c r="M41" s="102"/>
      <c r="N41" s="98"/>
      <c r="O41" s="98"/>
      <c r="P41" s="98"/>
      <c r="Q41" s="98"/>
      <c r="R41" s="98"/>
      <c r="S41" s="98"/>
      <c r="T41" s="98"/>
      <c r="U41" s="109"/>
      <c r="V41" s="103"/>
      <c r="W41" s="107"/>
      <c r="X41" s="108" t="s">
        <v>1440</v>
      </c>
      <c r="Y41" s="96"/>
      <c r="Z41" s="98"/>
      <c r="AA41" s="98"/>
      <c r="AB41" s="98"/>
      <c r="AC41" s="98"/>
      <c r="AD41" s="98"/>
      <c r="AE41" s="98"/>
      <c r="AF41" s="98"/>
      <c r="AG41" s="98"/>
      <c r="AH41" s="98"/>
      <c r="AI41" s="98"/>
      <c r="AJ41" s="98"/>
      <c r="AK41" s="98"/>
      <c r="AL41" s="98"/>
      <c r="AM41" s="98"/>
      <c r="AN41" s="98"/>
      <c r="AO41" s="98"/>
      <c r="AP41" s="98"/>
      <c r="AQ41" s="98"/>
      <c r="AR41" s="98"/>
      <c r="AS41" s="98"/>
    </row>
    <row r="42" spans="1:45" s="4" customFormat="1">
      <c r="A42" s="93" t="s">
        <v>919</v>
      </c>
      <c r="B42" s="94">
        <v>680487045772</v>
      </c>
      <c r="C42" s="95" t="s">
        <v>920</v>
      </c>
      <c r="D42">
        <v>0</v>
      </c>
      <c r="E42" s="96"/>
      <c r="F42" s="97"/>
      <c r="G42" s="98"/>
      <c r="H42" s="99" t="s">
        <v>677</v>
      </c>
      <c r="I42" s="100"/>
      <c r="J42" s="101"/>
      <c r="K42" s="102"/>
      <c r="L42" s="102"/>
      <c r="M42" s="102"/>
      <c r="N42" s="98"/>
      <c r="O42" s="98"/>
      <c r="P42" s="98"/>
      <c r="Q42" s="98"/>
      <c r="R42" s="98"/>
      <c r="S42" s="98"/>
      <c r="T42" s="98"/>
      <c r="U42" s="109"/>
      <c r="V42" s="103"/>
      <c r="W42" s="107"/>
      <c r="X42" s="108" t="s">
        <v>1440</v>
      </c>
      <c r="Y42" s="96"/>
      <c r="Z42" s="98"/>
      <c r="AA42" s="98"/>
      <c r="AB42" s="98"/>
      <c r="AC42" s="98"/>
      <c r="AD42" s="98"/>
      <c r="AE42" s="98"/>
      <c r="AF42" s="98"/>
      <c r="AG42" s="98"/>
      <c r="AH42" s="98"/>
      <c r="AI42" s="98"/>
      <c r="AJ42" s="98"/>
      <c r="AK42" s="98"/>
      <c r="AL42" s="98"/>
      <c r="AM42" s="98"/>
      <c r="AN42" s="98"/>
      <c r="AO42" s="98"/>
      <c r="AP42" s="98"/>
      <c r="AQ42" s="98"/>
      <c r="AR42" s="98"/>
      <c r="AS42" s="98"/>
    </row>
    <row r="43" spans="1:45" s="4" customFormat="1">
      <c r="A43" s="93" t="s">
        <v>919</v>
      </c>
      <c r="B43" s="94">
        <v>680487085945</v>
      </c>
      <c r="C43" s="95" t="s">
        <v>920</v>
      </c>
      <c r="D43">
        <v>0</v>
      </c>
      <c r="E43" s="96"/>
      <c r="F43" s="97"/>
      <c r="G43" s="98"/>
      <c r="H43" s="99" t="s">
        <v>246</v>
      </c>
      <c r="I43" s="100"/>
      <c r="J43" s="101"/>
      <c r="K43" s="102"/>
      <c r="L43" s="102"/>
      <c r="M43" s="102"/>
      <c r="N43" s="98"/>
      <c r="O43" s="98"/>
      <c r="P43" s="98"/>
      <c r="Q43" s="98"/>
      <c r="R43" s="98"/>
      <c r="S43" s="98"/>
      <c r="T43" s="98"/>
      <c r="U43" s="109"/>
      <c r="V43" s="103"/>
      <c r="W43" s="107"/>
      <c r="X43" s="108" t="s">
        <v>1440</v>
      </c>
      <c r="Y43" s="96"/>
      <c r="Z43" s="98"/>
      <c r="AA43" s="98"/>
      <c r="AB43" s="98"/>
      <c r="AC43" s="98"/>
      <c r="AD43" s="98"/>
      <c r="AE43" s="98"/>
      <c r="AF43" s="98"/>
      <c r="AG43" s="98"/>
      <c r="AH43" s="98"/>
      <c r="AI43" s="98"/>
      <c r="AJ43" s="98"/>
      <c r="AK43" s="98"/>
      <c r="AL43" s="98"/>
      <c r="AM43" s="98"/>
      <c r="AN43" s="98"/>
      <c r="AO43" s="98"/>
      <c r="AP43" s="98"/>
      <c r="AQ43" s="98"/>
      <c r="AR43" s="98"/>
      <c r="AS43" s="98"/>
    </row>
    <row r="44" spans="1:45" s="4" customFormat="1">
      <c r="A44" s="93" t="s">
        <v>919</v>
      </c>
      <c r="B44" s="94">
        <v>680487044485</v>
      </c>
      <c r="C44" s="95" t="s">
        <v>920</v>
      </c>
      <c r="D44">
        <v>0</v>
      </c>
      <c r="E44" s="96"/>
      <c r="F44" s="97"/>
      <c r="G44" s="98"/>
      <c r="H44" s="99" t="s">
        <v>678</v>
      </c>
      <c r="I44" s="100"/>
      <c r="J44" s="101"/>
      <c r="K44" s="102"/>
      <c r="L44" s="102"/>
      <c r="M44" s="102"/>
      <c r="N44" s="98"/>
      <c r="O44" s="98"/>
      <c r="P44" s="98"/>
      <c r="Q44" s="98"/>
      <c r="R44" s="98"/>
      <c r="S44" s="98"/>
      <c r="T44" s="98"/>
      <c r="U44" s="109"/>
      <c r="V44" s="103"/>
      <c r="W44" s="107"/>
      <c r="X44" s="108" t="s">
        <v>1440</v>
      </c>
      <c r="Y44" s="96"/>
      <c r="Z44" s="98"/>
      <c r="AA44" s="98"/>
      <c r="AB44" s="98"/>
      <c r="AC44" s="98"/>
      <c r="AD44" s="98"/>
      <c r="AE44" s="98"/>
      <c r="AF44" s="98"/>
      <c r="AG44" s="98"/>
      <c r="AH44" s="98"/>
      <c r="AI44" s="98"/>
      <c r="AJ44" s="98"/>
      <c r="AK44" s="98"/>
      <c r="AL44" s="98"/>
      <c r="AM44" s="98"/>
      <c r="AN44" s="98"/>
      <c r="AO44" s="98"/>
      <c r="AP44" s="98"/>
      <c r="AQ44" s="98"/>
      <c r="AR44" s="98"/>
      <c r="AS44" s="98"/>
    </row>
    <row r="45" spans="1:45" s="4" customFormat="1">
      <c r="A45" s="93" t="s">
        <v>919</v>
      </c>
      <c r="B45" s="94">
        <v>680487044584</v>
      </c>
      <c r="C45" s="95" t="s">
        <v>920</v>
      </c>
      <c r="D45">
        <v>0</v>
      </c>
      <c r="E45" s="96"/>
      <c r="F45" s="97"/>
      <c r="G45" s="98"/>
      <c r="H45" s="99" t="s">
        <v>685</v>
      </c>
      <c r="I45" s="100"/>
      <c r="J45" s="101"/>
      <c r="K45" s="102"/>
      <c r="L45" s="102"/>
      <c r="M45" s="102"/>
      <c r="N45" s="98"/>
      <c r="O45" s="98"/>
      <c r="P45" s="98"/>
      <c r="Q45" s="98"/>
      <c r="R45" s="98"/>
      <c r="S45" s="98"/>
      <c r="T45" s="98"/>
      <c r="U45" s="109"/>
      <c r="V45" s="103"/>
      <c r="W45" s="107"/>
      <c r="X45" s="108" t="s">
        <v>1440</v>
      </c>
      <c r="Y45" s="96"/>
      <c r="Z45" s="98"/>
      <c r="AA45" s="98"/>
      <c r="AB45" s="98"/>
      <c r="AC45" s="98"/>
      <c r="AD45" s="98"/>
      <c r="AE45" s="98"/>
      <c r="AF45" s="98"/>
      <c r="AG45" s="98"/>
      <c r="AH45" s="98"/>
      <c r="AI45" s="98"/>
      <c r="AJ45" s="98"/>
      <c r="AK45" s="98"/>
      <c r="AL45" s="98"/>
      <c r="AM45" s="98"/>
      <c r="AN45" s="98"/>
      <c r="AO45" s="98"/>
      <c r="AP45" s="98"/>
      <c r="AQ45" s="98"/>
      <c r="AR45" s="98"/>
      <c r="AS45" s="98"/>
    </row>
    <row r="46" spans="1:45" s="4" customFormat="1">
      <c r="A46" s="93" t="s">
        <v>919</v>
      </c>
      <c r="B46" s="94">
        <v>680487044225</v>
      </c>
      <c r="C46" s="95" t="s">
        <v>920</v>
      </c>
      <c r="D46">
        <v>0</v>
      </c>
      <c r="E46" s="96"/>
      <c r="F46" s="97"/>
      <c r="G46" s="98"/>
      <c r="H46" s="99" t="s">
        <v>643</v>
      </c>
      <c r="I46" s="100"/>
      <c r="J46" s="101"/>
      <c r="K46" s="102"/>
      <c r="L46" s="102"/>
      <c r="M46" s="102"/>
      <c r="N46" s="98"/>
      <c r="O46" s="98"/>
      <c r="P46" s="98"/>
      <c r="Q46" s="98"/>
      <c r="R46" s="98"/>
      <c r="S46" s="98"/>
      <c r="T46" s="98"/>
      <c r="U46" s="109"/>
      <c r="V46" s="103"/>
      <c r="W46" s="107"/>
      <c r="X46" s="108" t="s">
        <v>1440</v>
      </c>
      <c r="Y46" s="96"/>
      <c r="Z46" s="98"/>
      <c r="AA46" s="98"/>
      <c r="AB46" s="98"/>
      <c r="AC46" s="98"/>
      <c r="AD46" s="98"/>
      <c r="AE46" s="98"/>
      <c r="AF46" s="98"/>
      <c r="AG46" s="98"/>
      <c r="AH46" s="98"/>
      <c r="AI46" s="98"/>
      <c r="AJ46" s="98"/>
      <c r="AK46" s="98"/>
      <c r="AL46" s="98"/>
      <c r="AM46" s="98"/>
      <c r="AN46" s="98"/>
      <c r="AO46" s="98"/>
      <c r="AP46" s="98"/>
      <c r="AQ46" s="98"/>
      <c r="AR46" s="98"/>
      <c r="AS46" s="98"/>
    </row>
    <row r="47" spans="1:45" s="4" customFormat="1">
      <c r="A47" s="93" t="s">
        <v>919</v>
      </c>
      <c r="B47" s="94">
        <v>680487045314</v>
      </c>
      <c r="C47" s="95" t="s">
        <v>920</v>
      </c>
      <c r="D47">
        <v>0</v>
      </c>
      <c r="E47" s="96"/>
      <c r="F47" s="97"/>
      <c r="G47" s="98"/>
      <c r="H47" s="99" t="s">
        <v>644</v>
      </c>
      <c r="I47" s="100"/>
      <c r="J47" s="101"/>
      <c r="K47" s="102"/>
      <c r="L47" s="102"/>
      <c r="M47" s="102"/>
      <c r="N47" s="98"/>
      <c r="O47" s="98"/>
      <c r="P47" s="98"/>
      <c r="Q47" s="98"/>
      <c r="R47" s="98"/>
      <c r="S47" s="98"/>
      <c r="T47" s="98"/>
      <c r="U47" s="109"/>
      <c r="V47" s="103"/>
      <c r="W47" s="107"/>
      <c r="X47" s="108" t="s">
        <v>1440</v>
      </c>
      <c r="Y47" s="96"/>
      <c r="Z47" s="98"/>
      <c r="AA47" s="98"/>
      <c r="AB47" s="98"/>
      <c r="AC47" s="98"/>
      <c r="AD47" s="98"/>
      <c r="AE47" s="98"/>
      <c r="AF47" s="98"/>
      <c r="AG47" s="98"/>
      <c r="AH47" s="98"/>
      <c r="AI47" s="98"/>
      <c r="AJ47" s="98"/>
      <c r="AK47" s="98"/>
      <c r="AL47" s="98"/>
      <c r="AM47" s="98"/>
      <c r="AN47" s="98"/>
      <c r="AO47" s="98"/>
      <c r="AP47" s="98"/>
      <c r="AQ47" s="98"/>
      <c r="AR47" s="98"/>
      <c r="AS47" s="98"/>
    </row>
    <row r="48" spans="1:45" s="4" customFormat="1">
      <c r="A48" s="93" t="s">
        <v>919</v>
      </c>
      <c r="B48" s="94">
        <v>680487044003</v>
      </c>
      <c r="C48" s="95" t="s">
        <v>920</v>
      </c>
      <c r="D48">
        <v>0</v>
      </c>
      <c r="E48" s="96"/>
      <c r="F48" s="97"/>
      <c r="G48" s="98"/>
      <c r="H48" s="99" t="s">
        <v>247</v>
      </c>
      <c r="I48" s="100"/>
      <c r="J48" s="101"/>
      <c r="K48" s="102"/>
      <c r="L48" s="102"/>
      <c r="M48" s="102"/>
      <c r="N48" s="98"/>
      <c r="O48" s="98"/>
      <c r="P48" s="98"/>
      <c r="Q48" s="98"/>
      <c r="R48" s="98"/>
      <c r="S48" s="98"/>
      <c r="T48" s="98"/>
      <c r="U48" s="109"/>
      <c r="V48" s="103"/>
      <c r="W48" s="107"/>
      <c r="X48" s="108" t="s">
        <v>1440</v>
      </c>
      <c r="Y48" s="96"/>
      <c r="Z48" s="98"/>
      <c r="AA48" s="98"/>
      <c r="AB48" s="98"/>
      <c r="AC48" s="98"/>
      <c r="AD48" s="98"/>
      <c r="AE48" s="98"/>
      <c r="AF48" s="98"/>
      <c r="AG48" s="98"/>
      <c r="AH48" s="98"/>
      <c r="AI48" s="98"/>
      <c r="AJ48" s="98"/>
      <c r="AK48" s="98"/>
      <c r="AL48" s="98"/>
      <c r="AM48" s="98"/>
      <c r="AN48" s="98"/>
      <c r="AO48" s="98"/>
      <c r="AP48" s="98"/>
      <c r="AQ48" s="98"/>
      <c r="AR48" s="98"/>
      <c r="AS48" s="98"/>
    </row>
    <row r="49" spans="1:45" s="4" customFormat="1">
      <c r="A49" s="93" t="s">
        <v>919</v>
      </c>
      <c r="B49" s="94">
        <v>680487045116</v>
      </c>
      <c r="C49" s="95" t="s">
        <v>920</v>
      </c>
      <c r="D49">
        <v>0</v>
      </c>
      <c r="E49" s="96"/>
      <c r="F49" s="97"/>
      <c r="G49" s="98"/>
      <c r="H49" s="99" t="s">
        <v>248</v>
      </c>
      <c r="I49" s="100"/>
      <c r="J49" s="101"/>
      <c r="K49" s="102"/>
      <c r="L49" s="102"/>
      <c r="M49" s="102"/>
      <c r="N49" s="98"/>
      <c r="O49" s="98"/>
      <c r="P49" s="98"/>
      <c r="Q49" s="98"/>
      <c r="R49" s="98"/>
      <c r="S49" s="98"/>
      <c r="T49" s="98"/>
      <c r="U49" s="109"/>
      <c r="V49" s="103"/>
      <c r="W49" s="107"/>
      <c r="X49" s="108" t="s">
        <v>1440</v>
      </c>
      <c r="Y49" s="96"/>
      <c r="Z49" s="98"/>
      <c r="AA49" s="98"/>
      <c r="AB49" s="98"/>
      <c r="AC49" s="98"/>
      <c r="AD49" s="98"/>
      <c r="AE49" s="98"/>
      <c r="AF49" s="98"/>
      <c r="AG49" s="98"/>
      <c r="AH49" s="98"/>
      <c r="AI49" s="98"/>
      <c r="AJ49" s="98"/>
      <c r="AK49" s="98"/>
      <c r="AL49" s="98"/>
      <c r="AM49" s="98"/>
      <c r="AN49" s="98"/>
      <c r="AO49" s="98"/>
      <c r="AP49" s="98"/>
      <c r="AQ49" s="98"/>
      <c r="AR49" s="98"/>
      <c r="AS49" s="98"/>
    </row>
    <row r="50" spans="1:45" s="4" customFormat="1">
      <c r="A50" s="93" t="s">
        <v>919</v>
      </c>
      <c r="B50" s="94">
        <v>680487167092</v>
      </c>
      <c r="C50" s="95" t="s">
        <v>920</v>
      </c>
      <c r="D50">
        <v>0</v>
      </c>
      <c r="E50" s="96"/>
      <c r="F50" s="97"/>
      <c r="G50" s="98"/>
      <c r="H50" s="99" t="s">
        <v>249</v>
      </c>
      <c r="I50" s="100"/>
      <c r="J50" s="101"/>
      <c r="K50" s="102"/>
      <c r="L50" s="102"/>
      <c r="M50" s="102"/>
      <c r="N50" s="98"/>
      <c r="O50" s="98"/>
      <c r="P50" s="98"/>
      <c r="Q50" s="98"/>
      <c r="R50" s="98"/>
      <c r="S50" s="98"/>
      <c r="T50" s="98"/>
      <c r="U50" s="109"/>
      <c r="V50" s="103"/>
      <c r="W50" s="107"/>
      <c r="X50" s="108" t="s">
        <v>1440</v>
      </c>
      <c r="Y50" s="96"/>
      <c r="Z50" s="98"/>
      <c r="AA50" s="98"/>
      <c r="AB50" s="98"/>
      <c r="AC50" s="98"/>
      <c r="AD50" s="98"/>
      <c r="AE50" s="98"/>
      <c r="AF50" s="98"/>
      <c r="AG50" s="98"/>
      <c r="AH50" s="98"/>
      <c r="AI50" s="98"/>
      <c r="AJ50" s="98"/>
      <c r="AK50" s="98"/>
      <c r="AL50" s="98"/>
      <c r="AM50" s="98"/>
      <c r="AN50" s="98"/>
      <c r="AO50" s="98"/>
      <c r="AP50" s="98"/>
      <c r="AQ50" s="98"/>
      <c r="AR50" s="98"/>
      <c r="AS50" s="98"/>
    </row>
    <row r="51" spans="1:45" s="4" customFormat="1">
      <c r="A51" s="93" t="s">
        <v>919</v>
      </c>
      <c r="B51" s="94">
        <v>680487046250</v>
      </c>
      <c r="C51" s="95" t="s">
        <v>920</v>
      </c>
      <c r="D51">
        <v>0</v>
      </c>
      <c r="E51" s="96"/>
      <c r="F51" s="97"/>
      <c r="G51" s="98"/>
      <c r="H51" s="99" t="s">
        <v>645</v>
      </c>
      <c r="I51" s="100"/>
      <c r="J51" s="101"/>
      <c r="K51" s="102"/>
      <c r="L51" s="102"/>
      <c r="M51" s="102"/>
      <c r="N51" s="98"/>
      <c r="O51" s="98"/>
      <c r="P51" s="98"/>
      <c r="Q51" s="98"/>
      <c r="R51" s="98"/>
      <c r="S51" s="98"/>
      <c r="T51" s="98"/>
      <c r="U51" s="109"/>
      <c r="V51" s="103"/>
      <c r="W51" s="107"/>
      <c r="X51" s="108" t="s">
        <v>1440</v>
      </c>
      <c r="Y51" s="96"/>
      <c r="Z51" s="98"/>
      <c r="AA51" s="98"/>
      <c r="AB51" s="98"/>
      <c r="AC51" s="98"/>
      <c r="AD51" s="98"/>
      <c r="AE51" s="98"/>
      <c r="AF51" s="98"/>
      <c r="AG51" s="98"/>
      <c r="AH51" s="98"/>
      <c r="AI51" s="98"/>
      <c r="AJ51" s="98"/>
      <c r="AK51" s="98"/>
      <c r="AL51" s="98"/>
      <c r="AM51" s="98"/>
      <c r="AN51" s="98"/>
      <c r="AO51" s="98"/>
      <c r="AP51" s="98"/>
      <c r="AQ51" s="98"/>
      <c r="AR51" s="98"/>
      <c r="AS51" s="98"/>
    </row>
    <row r="52" spans="1:45" s="4" customFormat="1">
      <c r="A52" s="93" t="s">
        <v>919</v>
      </c>
      <c r="B52" s="94">
        <v>680487166057</v>
      </c>
      <c r="C52" s="95" t="s">
        <v>920</v>
      </c>
      <c r="D52">
        <v>0</v>
      </c>
      <c r="E52" s="96"/>
      <c r="F52" s="97"/>
      <c r="G52" s="98"/>
      <c r="H52" s="99" t="s">
        <v>250</v>
      </c>
      <c r="I52" s="100"/>
      <c r="J52" s="101"/>
      <c r="K52" s="102"/>
      <c r="L52" s="102"/>
      <c r="M52" s="102"/>
      <c r="N52" s="98"/>
      <c r="O52" s="98"/>
      <c r="P52" s="98"/>
      <c r="Q52" s="98"/>
      <c r="R52" s="98"/>
      <c r="S52" s="98"/>
      <c r="T52" s="98"/>
      <c r="U52" s="109"/>
      <c r="V52" s="103"/>
      <c r="W52" s="107"/>
      <c r="X52" s="108" t="s">
        <v>1440</v>
      </c>
      <c r="Y52" s="96"/>
      <c r="Z52" s="98"/>
      <c r="AA52" s="98"/>
      <c r="AB52" s="98"/>
      <c r="AC52" s="98"/>
      <c r="AD52" s="98"/>
      <c r="AE52" s="98"/>
      <c r="AF52" s="98"/>
      <c r="AG52" s="98"/>
      <c r="AH52" s="98"/>
      <c r="AI52" s="98"/>
      <c r="AJ52" s="98"/>
      <c r="AK52" s="98"/>
      <c r="AL52" s="98"/>
      <c r="AM52" s="98"/>
      <c r="AN52" s="98"/>
      <c r="AO52" s="98"/>
      <c r="AP52" s="98"/>
      <c r="AQ52" s="98"/>
      <c r="AR52" s="98"/>
      <c r="AS52" s="98"/>
    </row>
    <row r="53" spans="1:45" s="4" customFormat="1">
      <c r="A53" s="93" t="s">
        <v>919</v>
      </c>
      <c r="B53" s="94">
        <v>680487043969</v>
      </c>
      <c r="C53" s="95" t="s">
        <v>920</v>
      </c>
      <c r="D53">
        <v>0</v>
      </c>
      <c r="E53" s="96"/>
      <c r="F53" s="97"/>
      <c r="G53" s="98"/>
      <c r="H53" s="99" t="s">
        <v>251</v>
      </c>
      <c r="I53" s="100"/>
      <c r="J53" s="101"/>
      <c r="K53" s="102"/>
      <c r="L53" s="102"/>
      <c r="M53" s="102"/>
      <c r="N53" s="98"/>
      <c r="O53" s="98"/>
      <c r="P53" s="98"/>
      <c r="Q53" s="98"/>
      <c r="R53" s="98"/>
      <c r="S53" s="98"/>
      <c r="T53" s="98"/>
      <c r="U53" s="109"/>
      <c r="V53" s="103"/>
      <c r="W53" s="107"/>
      <c r="X53" s="108" t="s">
        <v>1440</v>
      </c>
      <c r="Y53" s="96"/>
      <c r="Z53" s="98"/>
      <c r="AA53" s="98"/>
      <c r="AB53" s="98"/>
      <c r="AC53" s="98"/>
      <c r="AD53" s="98"/>
      <c r="AE53" s="98"/>
      <c r="AF53" s="98"/>
      <c r="AG53" s="98"/>
      <c r="AH53" s="98"/>
      <c r="AI53" s="98"/>
      <c r="AJ53" s="98"/>
      <c r="AK53" s="98"/>
      <c r="AL53" s="98"/>
      <c r="AM53" s="98"/>
      <c r="AN53" s="98"/>
      <c r="AO53" s="98"/>
      <c r="AP53" s="98"/>
      <c r="AQ53" s="98"/>
      <c r="AR53" s="98"/>
      <c r="AS53" s="98"/>
    </row>
    <row r="54" spans="1:45" s="4" customFormat="1">
      <c r="A54" s="93" t="s">
        <v>919</v>
      </c>
      <c r="B54" s="94">
        <v>680487043983</v>
      </c>
      <c r="C54" s="95" t="s">
        <v>920</v>
      </c>
      <c r="D54">
        <v>0</v>
      </c>
      <c r="E54" s="96"/>
      <c r="F54" s="97"/>
      <c r="G54" s="98"/>
      <c r="H54" s="99" t="s">
        <v>252</v>
      </c>
      <c r="I54" s="100"/>
      <c r="J54" s="101"/>
      <c r="K54" s="102"/>
      <c r="L54" s="102"/>
      <c r="M54" s="102"/>
      <c r="N54" s="98"/>
      <c r="O54" s="98"/>
      <c r="P54" s="98"/>
      <c r="Q54" s="98"/>
      <c r="R54" s="98"/>
      <c r="S54" s="98"/>
      <c r="T54" s="98"/>
      <c r="U54" s="109"/>
      <c r="V54" s="103"/>
      <c r="W54" s="107"/>
      <c r="X54" s="108" t="s">
        <v>1440</v>
      </c>
      <c r="Y54" s="96"/>
      <c r="Z54" s="98"/>
      <c r="AA54" s="98"/>
      <c r="AB54" s="98"/>
      <c r="AC54" s="98"/>
      <c r="AD54" s="98"/>
      <c r="AE54" s="98"/>
      <c r="AF54" s="98"/>
      <c r="AG54" s="98"/>
      <c r="AH54" s="98"/>
      <c r="AI54" s="98"/>
      <c r="AJ54" s="98"/>
      <c r="AK54" s="98"/>
      <c r="AL54" s="98"/>
      <c r="AM54" s="98"/>
      <c r="AN54" s="98"/>
      <c r="AO54" s="98"/>
      <c r="AP54" s="98"/>
      <c r="AQ54" s="98"/>
      <c r="AR54" s="98"/>
      <c r="AS54" s="98"/>
    </row>
    <row r="55" spans="1:45" s="4" customFormat="1">
      <c r="A55" s="93" t="s">
        <v>919</v>
      </c>
      <c r="B55" s="94">
        <v>680487045635</v>
      </c>
      <c r="C55" s="95" t="s">
        <v>920</v>
      </c>
      <c r="D55">
        <v>0</v>
      </c>
      <c r="E55" s="96"/>
      <c r="F55" s="97"/>
      <c r="G55" s="98"/>
      <c r="H55" s="99" t="s">
        <v>646</v>
      </c>
      <c r="I55" s="100"/>
      <c r="J55" s="101"/>
      <c r="K55" s="102"/>
      <c r="L55" s="102"/>
      <c r="M55" s="102"/>
      <c r="N55" s="98"/>
      <c r="O55" s="98"/>
      <c r="P55" s="98"/>
      <c r="Q55" s="98"/>
      <c r="R55" s="98"/>
      <c r="S55" s="98"/>
      <c r="T55" s="98"/>
      <c r="U55" s="109"/>
      <c r="V55" s="103"/>
      <c r="W55" s="107"/>
      <c r="X55" s="108" t="s">
        <v>1440</v>
      </c>
      <c r="Y55" s="96"/>
      <c r="Z55" s="98"/>
      <c r="AA55" s="98"/>
      <c r="AB55" s="98"/>
      <c r="AC55" s="98"/>
      <c r="AD55" s="98"/>
      <c r="AE55" s="98"/>
      <c r="AF55" s="98"/>
      <c r="AG55" s="98"/>
      <c r="AH55" s="98"/>
      <c r="AI55" s="98"/>
      <c r="AJ55" s="98"/>
      <c r="AK55" s="98"/>
      <c r="AL55" s="98"/>
      <c r="AM55" s="98"/>
      <c r="AN55" s="98"/>
      <c r="AO55" s="98"/>
      <c r="AP55" s="98"/>
      <c r="AQ55" s="98"/>
      <c r="AR55" s="98"/>
      <c r="AS55" s="98"/>
    </row>
    <row r="56" spans="1:45" s="4" customFormat="1">
      <c r="A56" s="93" t="s">
        <v>919</v>
      </c>
      <c r="B56" s="94">
        <v>680487045178</v>
      </c>
      <c r="C56" s="95" t="s">
        <v>920</v>
      </c>
      <c r="D56">
        <v>0</v>
      </c>
      <c r="E56" s="96"/>
      <c r="F56" s="97"/>
      <c r="G56" s="98"/>
      <c r="H56" s="99" t="s">
        <v>253</v>
      </c>
      <c r="I56" s="100"/>
      <c r="J56" s="101"/>
      <c r="K56" s="102"/>
      <c r="L56" s="102"/>
      <c r="M56" s="102"/>
      <c r="N56" s="98"/>
      <c r="O56" s="98"/>
      <c r="P56" s="98"/>
      <c r="Q56" s="98"/>
      <c r="R56" s="98"/>
      <c r="S56" s="98"/>
      <c r="T56" s="98"/>
      <c r="U56" s="109"/>
      <c r="V56" s="103"/>
      <c r="W56" s="107"/>
      <c r="X56" s="108" t="s">
        <v>1440</v>
      </c>
      <c r="Y56" s="96"/>
      <c r="Z56" s="98"/>
      <c r="AA56" s="98"/>
      <c r="AB56" s="98"/>
      <c r="AC56" s="98"/>
      <c r="AD56" s="98"/>
      <c r="AE56" s="98"/>
      <c r="AF56" s="98"/>
      <c r="AG56" s="98"/>
      <c r="AH56" s="98"/>
      <c r="AI56" s="98"/>
      <c r="AJ56" s="98"/>
      <c r="AK56" s="98"/>
      <c r="AL56" s="98"/>
      <c r="AM56" s="98"/>
      <c r="AN56" s="98"/>
      <c r="AO56" s="98"/>
      <c r="AP56" s="98"/>
      <c r="AQ56" s="98"/>
      <c r="AR56" s="98"/>
      <c r="AS56" s="98"/>
    </row>
    <row r="57" spans="1:45" s="4" customFormat="1">
      <c r="A57" s="93" t="s">
        <v>919</v>
      </c>
      <c r="B57" s="94">
        <v>680487045857</v>
      </c>
      <c r="C57" s="95" t="s">
        <v>920</v>
      </c>
      <c r="D57">
        <v>0</v>
      </c>
      <c r="E57" s="96"/>
      <c r="F57" s="97"/>
      <c r="G57" s="98"/>
      <c r="H57" s="99" t="s">
        <v>254</v>
      </c>
      <c r="I57" s="100"/>
      <c r="J57" s="101"/>
      <c r="K57" s="102"/>
      <c r="L57" s="102"/>
      <c r="M57" s="102"/>
      <c r="N57" s="98"/>
      <c r="O57" s="98"/>
      <c r="P57" s="98"/>
      <c r="Q57" s="98"/>
      <c r="R57" s="98"/>
      <c r="S57" s="98"/>
      <c r="T57" s="98"/>
      <c r="U57" s="109"/>
      <c r="V57" s="103"/>
      <c r="W57" s="107"/>
      <c r="X57" s="108" t="s">
        <v>1440</v>
      </c>
      <c r="Y57" s="96"/>
      <c r="Z57" s="98"/>
      <c r="AA57" s="98"/>
      <c r="AB57" s="98"/>
      <c r="AC57" s="98"/>
      <c r="AD57" s="98"/>
      <c r="AE57" s="98"/>
      <c r="AF57" s="98"/>
      <c r="AG57" s="98"/>
      <c r="AH57" s="98"/>
      <c r="AI57" s="98"/>
      <c r="AJ57" s="98"/>
      <c r="AK57" s="98"/>
      <c r="AL57" s="98"/>
      <c r="AM57" s="98"/>
      <c r="AN57" s="98"/>
      <c r="AO57" s="98"/>
      <c r="AP57" s="98"/>
      <c r="AQ57" s="98"/>
      <c r="AR57" s="98"/>
      <c r="AS57" s="98"/>
    </row>
    <row r="58" spans="1:45" s="4" customFormat="1">
      <c r="A58" s="93" t="s">
        <v>919</v>
      </c>
      <c r="B58" s="94">
        <v>680487044188</v>
      </c>
      <c r="C58" s="95" t="s">
        <v>920</v>
      </c>
      <c r="D58">
        <v>0</v>
      </c>
      <c r="E58" s="96"/>
      <c r="F58" s="97"/>
      <c r="G58" s="98"/>
      <c r="H58" s="99" t="s">
        <v>255</v>
      </c>
      <c r="I58" s="100"/>
      <c r="J58" s="101"/>
      <c r="K58" s="102"/>
      <c r="L58" s="102"/>
      <c r="M58" s="102"/>
      <c r="N58" s="98"/>
      <c r="O58" s="98"/>
      <c r="P58" s="98"/>
      <c r="Q58" s="98"/>
      <c r="R58" s="98"/>
      <c r="S58" s="98"/>
      <c r="T58" s="98"/>
      <c r="U58" s="109"/>
      <c r="V58" s="103"/>
      <c r="W58" s="107"/>
      <c r="X58" s="108" t="s">
        <v>1440</v>
      </c>
      <c r="Y58" s="96"/>
      <c r="Z58" s="98"/>
      <c r="AA58" s="98"/>
      <c r="AB58" s="98"/>
      <c r="AC58" s="98"/>
      <c r="AD58" s="98"/>
      <c r="AE58" s="98"/>
      <c r="AF58" s="98"/>
      <c r="AG58" s="98"/>
      <c r="AH58" s="98"/>
      <c r="AI58" s="98"/>
      <c r="AJ58" s="98"/>
      <c r="AK58" s="98"/>
      <c r="AL58" s="98"/>
      <c r="AM58" s="98"/>
      <c r="AN58" s="98"/>
      <c r="AO58" s="98"/>
      <c r="AP58" s="98"/>
      <c r="AQ58" s="98"/>
      <c r="AR58" s="98"/>
      <c r="AS58" s="98"/>
    </row>
    <row r="59" spans="1:45" s="4" customFormat="1">
      <c r="A59" s="93" t="s">
        <v>919</v>
      </c>
      <c r="B59" s="94">
        <v>680487045277</v>
      </c>
      <c r="C59" s="95" t="s">
        <v>920</v>
      </c>
      <c r="D59">
        <v>0</v>
      </c>
      <c r="E59" s="96"/>
      <c r="F59" s="97"/>
      <c r="G59" s="98"/>
      <c r="H59" s="99" t="s">
        <v>647</v>
      </c>
      <c r="I59" s="100"/>
      <c r="J59" s="101"/>
      <c r="K59" s="102"/>
      <c r="L59" s="102"/>
      <c r="M59" s="102"/>
      <c r="N59" s="98"/>
      <c r="O59" s="98"/>
      <c r="P59" s="98"/>
      <c r="Q59" s="98"/>
      <c r="R59" s="98"/>
      <c r="S59" s="98"/>
      <c r="T59" s="98"/>
      <c r="U59" s="109"/>
      <c r="V59" s="103"/>
      <c r="W59" s="107"/>
      <c r="X59" s="108" t="s">
        <v>1440</v>
      </c>
      <c r="Y59" s="96"/>
      <c r="Z59" s="98"/>
      <c r="AA59" s="98"/>
      <c r="AB59" s="98"/>
      <c r="AC59" s="98"/>
      <c r="AD59" s="98"/>
      <c r="AE59" s="98"/>
      <c r="AF59" s="98"/>
      <c r="AG59" s="98"/>
      <c r="AH59" s="98"/>
      <c r="AI59" s="98"/>
      <c r="AJ59" s="98"/>
      <c r="AK59" s="98"/>
      <c r="AL59" s="98"/>
      <c r="AM59" s="98"/>
      <c r="AN59" s="98"/>
      <c r="AO59" s="98"/>
      <c r="AP59" s="98"/>
      <c r="AQ59" s="98"/>
      <c r="AR59" s="98"/>
      <c r="AS59" s="98"/>
    </row>
    <row r="60" spans="1:45" s="4" customFormat="1">
      <c r="A60" s="93" t="s">
        <v>919</v>
      </c>
      <c r="B60" s="94">
        <v>680487165869</v>
      </c>
      <c r="C60" s="95" t="s">
        <v>920</v>
      </c>
      <c r="D60">
        <v>0</v>
      </c>
      <c r="E60" s="96"/>
      <c r="F60" s="97"/>
      <c r="G60" s="98"/>
      <c r="H60" s="99" t="s">
        <v>256</v>
      </c>
      <c r="I60" s="100"/>
      <c r="J60" s="101"/>
      <c r="K60" s="102"/>
      <c r="L60" s="102"/>
      <c r="M60" s="102"/>
      <c r="N60" s="98"/>
      <c r="O60" s="98"/>
      <c r="P60" s="98"/>
      <c r="Q60" s="98"/>
      <c r="R60" s="98"/>
      <c r="S60" s="98"/>
      <c r="T60" s="98"/>
      <c r="U60" s="109"/>
      <c r="V60" s="103"/>
      <c r="W60" s="107"/>
      <c r="X60" s="108" t="s">
        <v>1440</v>
      </c>
      <c r="Y60" s="96"/>
      <c r="Z60" s="98"/>
      <c r="AA60" s="98"/>
      <c r="AB60" s="98"/>
      <c r="AC60" s="98"/>
      <c r="AD60" s="98"/>
      <c r="AE60" s="98"/>
      <c r="AF60" s="98"/>
      <c r="AG60" s="98"/>
      <c r="AH60" s="98"/>
      <c r="AI60" s="98"/>
      <c r="AJ60" s="98"/>
      <c r="AK60" s="98"/>
      <c r="AL60" s="98"/>
      <c r="AM60" s="98"/>
      <c r="AN60" s="98"/>
      <c r="AO60" s="98"/>
      <c r="AP60" s="98"/>
      <c r="AQ60" s="98"/>
      <c r="AR60" s="98"/>
      <c r="AS60" s="98"/>
    </row>
    <row r="61" spans="1:45" s="4" customFormat="1">
      <c r="A61" s="93" t="s">
        <v>919</v>
      </c>
      <c r="B61" s="94">
        <v>680487044621</v>
      </c>
      <c r="C61" s="95" t="s">
        <v>920</v>
      </c>
      <c r="D61">
        <v>0</v>
      </c>
      <c r="E61" s="96"/>
      <c r="F61" s="97"/>
      <c r="G61" s="98"/>
      <c r="H61" s="99" t="s">
        <v>257</v>
      </c>
      <c r="I61" s="100"/>
      <c r="J61" s="101"/>
      <c r="K61" s="102"/>
      <c r="L61" s="102"/>
      <c r="M61" s="102"/>
      <c r="N61" s="98"/>
      <c r="O61" s="98"/>
      <c r="P61" s="98"/>
      <c r="Q61" s="98"/>
      <c r="R61" s="98"/>
      <c r="S61" s="98"/>
      <c r="T61" s="98"/>
      <c r="U61" s="109"/>
      <c r="V61" s="103"/>
      <c r="W61" s="107"/>
      <c r="X61" s="108" t="s">
        <v>1440</v>
      </c>
      <c r="Y61" s="96"/>
      <c r="Z61" s="98"/>
      <c r="AA61" s="98"/>
      <c r="AB61" s="98"/>
      <c r="AC61" s="98"/>
      <c r="AD61" s="98"/>
      <c r="AE61" s="98"/>
      <c r="AF61" s="98"/>
      <c r="AG61" s="98"/>
      <c r="AH61" s="98"/>
      <c r="AI61" s="98"/>
      <c r="AJ61" s="98"/>
      <c r="AK61" s="98"/>
      <c r="AL61" s="98"/>
      <c r="AM61" s="98"/>
      <c r="AN61" s="98"/>
      <c r="AO61" s="98"/>
      <c r="AP61" s="98"/>
      <c r="AQ61" s="98"/>
      <c r="AR61" s="98"/>
      <c r="AS61" s="98"/>
    </row>
    <row r="62" spans="1:45" s="4" customFormat="1">
      <c r="A62" s="93" t="s">
        <v>919</v>
      </c>
      <c r="B62" s="94">
        <v>680487167115</v>
      </c>
      <c r="C62" s="95" t="s">
        <v>920</v>
      </c>
      <c r="D62">
        <v>0</v>
      </c>
      <c r="E62" s="96"/>
      <c r="F62" s="97"/>
      <c r="G62" s="98"/>
      <c r="H62" s="99" t="s">
        <v>258</v>
      </c>
      <c r="I62" s="100"/>
      <c r="J62" s="101"/>
      <c r="K62" s="102"/>
      <c r="L62" s="102"/>
      <c r="M62" s="102"/>
      <c r="N62" s="98"/>
      <c r="O62" s="98"/>
      <c r="P62" s="98"/>
      <c r="Q62" s="98"/>
      <c r="R62" s="98"/>
      <c r="S62" s="98"/>
      <c r="T62" s="98"/>
      <c r="U62" s="109"/>
      <c r="V62" s="103"/>
      <c r="W62" s="107"/>
      <c r="X62" s="108" t="s">
        <v>1440</v>
      </c>
      <c r="Y62" s="96"/>
      <c r="Z62" s="98"/>
      <c r="AA62" s="98"/>
      <c r="AB62" s="98"/>
      <c r="AC62" s="98"/>
      <c r="AD62" s="98"/>
      <c r="AE62" s="98"/>
      <c r="AF62" s="98"/>
      <c r="AG62" s="98"/>
      <c r="AH62" s="98"/>
      <c r="AI62" s="98"/>
      <c r="AJ62" s="98"/>
      <c r="AK62" s="98"/>
      <c r="AL62" s="98"/>
      <c r="AM62" s="98"/>
      <c r="AN62" s="98"/>
      <c r="AO62" s="98"/>
      <c r="AP62" s="98"/>
      <c r="AQ62" s="98"/>
      <c r="AR62" s="98"/>
      <c r="AS62" s="98"/>
    </row>
    <row r="63" spans="1:45" s="4" customFormat="1">
      <c r="A63" s="93" t="s">
        <v>919</v>
      </c>
      <c r="B63" s="94">
        <v>680487045413</v>
      </c>
      <c r="C63" s="95" t="s">
        <v>920</v>
      </c>
      <c r="D63">
        <v>0</v>
      </c>
      <c r="E63" s="96"/>
      <c r="F63" s="97"/>
      <c r="G63" s="98"/>
      <c r="H63" s="99" t="s">
        <v>259</v>
      </c>
      <c r="I63" s="100"/>
      <c r="J63" s="101"/>
      <c r="K63" s="102"/>
      <c r="L63" s="102"/>
      <c r="M63" s="102"/>
      <c r="N63" s="98"/>
      <c r="O63" s="98"/>
      <c r="P63" s="98"/>
      <c r="Q63" s="98"/>
      <c r="R63" s="98"/>
      <c r="S63" s="98"/>
      <c r="T63" s="98"/>
      <c r="U63" s="109"/>
      <c r="V63" s="103"/>
      <c r="W63" s="107"/>
      <c r="X63" s="108" t="s">
        <v>1440</v>
      </c>
      <c r="Y63" s="96"/>
      <c r="Z63" s="98"/>
      <c r="AA63" s="98"/>
      <c r="AB63" s="98"/>
      <c r="AC63" s="98"/>
      <c r="AD63" s="98"/>
      <c r="AE63" s="98"/>
      <c r="AF63" s="98"/>
      <c r="AG63" s="98"/>
      <c r="AH63" s="98"/>
      <c r="AI63" s="98"/>
      <c r="AJ63" s="98"/>
      <c r="AK63" s="98"/>
      <c r="AL63" s="98"/>
      <c r="AM63" s="98"/>
      <c r="AN63" s="98"/>
      <c r="AO63" s="98"/>
      <c r="AP63" s="98"/>
      <c r="AQ63" s="98"/>
      <c r="AR63" s="98"/>
      <c r="AS63" s="98"/>
    </row>
    <row r="64" spans="1:45" s="4" customFormat="1">
      <c r="A64" s="93" t="s">
        <v>919</v>
      </c>
      <c r="B64" s="94">
        <v>680487044126</v>
      </c>
      <c r="C64" s="95" t="s">
        <v>920</v>
      </c>
      <c r="D64">
        <v>0</v>
      </c>
      <c r="E64" s="96"/>
      <c r="F64" s="97"/>
      <c r="G64" s="98"/>
      <c r="H64" s="99" t="s">
        <v>260</v>
      </c>
      <c r="I64" s="100"/>
      <c r="J64" s="101"/>
      <c r="K64" s="102"/>
      <c r="L64" s="102"/>
      <c r="M64" s="102"/>
      <c r="N64" s="98"/>
      <c r="O64" s="98"/>
      <c r="P64" s="98"/>
      <c r="Q64" s="98"/>
      <c r="R64" s="98"/>
      <c r="S64" s="98"/>
      <c r="T64" s="98"/>
      <c r="U64" s="109"/>
      <c r="V64" s="103"/>
      <c r="W64" s="107"/>
      <c r="X64" s="108" t="s">
        <v>1440</v>
      </c>
      <c r="Y64" s="96"/>
      <c r="Z64" s="98"/>
      <c r="AA64" s="98"/>
      <c r="AB64" s="98"/>
      <c r="AC64" s="98"/>
      <c r="AD64" s="98"/>
      <c r="AE64" s="98"/>
      <c r="AF64" s="98"/>
      <c r="AG64" s="98"/>
      <c r="AH64" s="98"/>
      <c r="AI64" s="98"/>
      <c r="AJ64" s="98"/>
      <c r="AK64" s="98"/>
      <c r="AL64" s="98"/>
      <c r="AM64" s="98"/>
      <c r="AN64" s="98"/>
      <c r="AO64" s="98"/>
      <c r="AP64" s="98"/>
      <c r="AQ64" s="98"/>
      <c r="AR64" s="98"/>
      <c r="AS64" s="98"/>
    </row>
    <row r="65" spans="1:45" s="4" customFormat="1">
      <c r="A65" s="93" t="s">
        <v>919</v>
      </c>
      <c r="B65" s="94">
        <v>680487045239</v>
      </c>
      <c r="C65" s="95" t="s">
        <v>920</v>
      </c>
      <c r="D65">
        <v>0</v>
      </c>
      <c r="E65" s="96"/>
      <c r="F65" s="97"/>
      <c r="G65" s="98"/>
      <c r="H65" s="99" t="s">
        <v>261</v>
      </c>
      <c r="I65" s="100"/>
      <c r="J65" s="101"/>
      <c r="K65" s="102"/>
      <c r="L65" s="102"/>
      <c r="M65" s="102"/>
      <c r="N65" s="98"/>
      <c r="O65" s="98"/>
      <c r="P65" s="98"/>
      <c r="Q65" s="98"/>
      <c r="R65" s="98"/>
      <c r="S65" s="98"/>
      <c r="T65" s="98"/>
      <c r="U65" s="109"/>
      <c r="V65" s="103"/>
      <c r="W65" s="107"/>
      <c r="X65" s="108" t="s">
        <v>1440</v>
      </c>
      <c r="Y65" s="96"/>
      <c r="Z65" s="98"/>
      <c r="AA65" s="98"/>
      <c r="AB65" s="98"/>
      <c r="AC65" s="98"/>
      <c r="AD65" s="98"/>
      <c r="AE65" s="98"/>
      <c r="AF65" s="98"/>
      <c r="AG65" s="98"/>
      <c r="AH65" s="98"/>
      <c r="AI65" s="98"/>
      <c r="AJ65" s="98"/>
      <c r="AK65" s="98"/>
      <c r="AL65" s="98"/>
      <c r="AM65" s="98"/>
      <c r="AN65" s="98"/>
      <c r="AO65" s="98"/>
      <c r="AP65" s="98"/>
      <c r="AQ65" s="98"/>
      <c r="AR65" s="98"/>
      <c r="AS65" s="98"/>
    </row>
    <row r="66" spans="1:45" s="4" customFormat="1">
      <c r="A66" s="93" t="s">
        <v>919</v>
      </c>
      <c r="B66" s="94">
        <v>680487045390</v>
      </c>
      <c r="C66" s="95" t="s">
        <v>920</v>
      </c>
      <c r="D66">
        <v>0</v>
      </c>
      <c r="E66" s="96"/>
      <c r="F66" s="97"/>
      <c r="G66" s="98"/>
      <c r="H66" s="99" t="s">
        <v>262</v>
      </c>
      <c r="I66" s="100"/>
      <c r="J66" s="101"/>
      <c r="K66" s="102"/>
      <c r="L66" s="102"/>
      <c r="M66" s="102"/>
      <c r="N66" s="98"/>
      <c r="O66" s="98"/>
      <c r="P66" s="98"/>
      <c r="Q66" s="98"/>
      <c r="R66" s="98"/>
      <c r="S66" s="98"/>
      <c r="T66" s="98"/>
      <c r="U66" s="109"/>
      <c r="V66" s="103"/>
      <c r="W66" s="107"/>
      <c r="X66" s="108" t="s">
        <v>1440</v>
      </c>
      <c r="Y66" s="96"/>
      <c r="Z66" s="98"/>
      <c r="AA66" s="98"/>
      <c r="AB66" s="98"/>
      <c r="AC66" s="98"/>
      <c r="AD66" s="98"/>
      <c r="AE66" s="98"/>
      <c r="AF66" s="98"/>
      <c r="AG66" s="98"/>
      <c r="AH66" s="98"/>
      <c r="AI66" s="98"/>
      <c r="AJ66" s="98"/>
      <c r="AK66" s="98"/>
      <c r="AL66" s="98"/>
      <c r="AM66" s="98"/>
      <c r="AN66" s="98"/>
      <c r="AO66" s="98"/>
      <c r="AP66" s="98"/>
      <c r="AQ66" s="98"/>
      <c r="AR66" s="98"/>
      <c r="AS66" s="98"/>
    </row>
    <row r="67" spans="1:45" s="4" customFormat="1">
      <c r="A67" s="93" t="s">
        <v>919</v>
      </c>
      <c r="B67" s="94">
        <v>680487086089</v>
      </c>
      <c r="C67" s="95" t="s">
        <v>920</v>
      </c>
      <c r="D67">
        <v>0</v>
      </c>
      <c r="E67" s="96"/>
      <c r="F67" s="97"/>
      <c r="G67" s="98"/>
      <c r="H67" s="99" t="s">
        <v>263</v>
      </c>
      <c r="I67" s="100"/>
      <c r="J67" s="101"/>
      <c r="K67" s="102"/>
      <c r="L67" s="102"/>
      <c r="M67" s="102"/>
      <c r="N67" s="98"/>
      <c r="O67" s="98"/>
      <c r="P67" s="98"/>
      <c r="Q67" s="98"/>
      <c r="R67" s="98"/>
      <c r="S67" s="98"/>
      <c r="T67" s="98"/>
      <c r="U67" s="109"/>
      <c r="V67" s="103"/>
      <c r="W67" s="107"/>
      <c r="X67" s="108" t="s">
        <v>1440</v>
      </c>
      <c r="Y67" s="96"/>
      <c r="Z67" s="98"/>
      <c r="AA67" s="98"/>
      <c r="AB67" s="98"/>
      <c r="AC67" s="98"/>
      <c r="AD67" s="98"/>
      <c r="AE67" s="98"/>
      <c r="AF67" s="98"/>
      <c r="AG67" s="98"/>
      <c r="AH67" s="98"/>
      <c r="AI67" s="98"/>
      <c r="AJ67" s="98"/>
      <c r="AK67" s="98"/>
      <c r="AL67" s="98"/>
      <c r="AM67" s="98"/>
      <c r="AN67" s="98"/>
      <c r="AO67" s="98"/>
      <c r="AP67" s="98"/>
      <c r="AQ67" s="98"/>
      <c r="AR67" s="98"/>
      <c r="AS67" s="98"/>
    </row>
    <row r="68" spans="1:45" s="4" customFormat="1">
      <c r="A68" s="93" t="s">
        <v>919</v>
      </c>
      <c r="B68" s="94">
        <v>680487044843</v>
      </c>
      <c r="C68" s="95" t="s">
        <v>920</v>
      </c>
      <c r="D68">
        <v>0</v>
      </c>
      <c r="E68" s="96"/>
      <c r="F68" s="97"/>
      <c r="G68" s="98"/>
      <c r="H68" s="99" t="s">
        <v>648</v>
      </c>
      <c r="I68" s="100"/>
      <c r="J68" s="101"/>
      <c r="K68" s="102"/>
      <c r="L68" s="102"/>
      <c r="M68" s="102"/>
      <c r="N68" s="98"/>
      <c r="O68" s="98"/>
      <c r="P68" s="98"/>
      <c r="Q68" s="98"/>
      <c r="R68" s="98"/>
      <c r="S68" s="98"/>
      <c r="T68" s="98"/>
      <c r="U68" s="109"/>
      <c r="V68" s="103"/>
      <c r="W68" s="107"/>
      <c r="X68" s="108" t="s">
        <v>1440</v>
      </c>
      <c r="Y68" s="96"/>
      <c r="Z68" s="98"/>
      <c r="AA68" s="98"/>
      <c r="AB68" s="98"/>
      <c r="AC68" s="98"/>
      <c r="AD68" s="98"/>
      <c r="AE68" s="98"/>
      <c r="AF68" s="98"/>
      <c r="AG68" s="98"/>
      <c r="AH68" s="98"/>
      <c r="AI68" s="98"/>
      <c r="AJ68" s="98"/>
      <c r="AK68" s="98"/>
      <c r="AL68" s="98"/>
      <c r="AM68" s="98"/>
      <c r="AN68" s="98"/>
      <c r="AO68" s="98"/>
      <c r="AP68" s="98"/>
      <c r="AQ68" s="98"/>
      <c r="AR68" s="98"/>
      <c r="AS68" s="98"/>
    </row>
    <row r="69" spans="1:45" s="4" customFormat="1">
      <c r="A69" s="93" t="s">
        <v>919</v>
      </c>
      <c r="B69" s="94">
        <v>680487086102</v>
      </c>
      <c r="C69" s="95" t="s">
        <v>920</v>
      </c>
      <c r="D69">
        <v>0</v>
      </c>
      <c r="E69" s="96"/>
      <c r="F69" s="97"/>
      <c r="G69" s="98"/>
      <c r="H69" s="99" t="s">
        <v>264</v>
      </c>
      <c r="I69" s="100"/>
      <c r="J69" s="101"/>
      <c r="K69" s="102"/>
      <c r="L69" s="102"/>
      <c r="M69" s="102"/>
      <c r="N69" s="98"/>
      <c r="O69" s="98"/>
      <c r="P69" s="98"/>
      <c r="Q69" s="98"/>
      <c r="R69" s="98"/>
      <c r="S69" s="98"/>
      <c r="T69" s="98"/>
      <c r="U69" s="109"/>
      <c r="V69" s="103"/>
      <c r="W69" s="107"/>
      <c r="X69" s="108" t="s">
        <v>1440</v>
      </c>
      <c r="Y69" s="96"/>
      <c r="Z69" s="98"/>
      <c r="AA69" s="98"/>
      <c r="AB69" s="98"/>
      <c r="AC69" s="98"/>
      <c r="AD69" s="98"/>
      <c r="AE69" s="98"/>
      <c r="AF69" s="98"/>
      <c r="AG69" s="98"/>
      <c r="AH69" s="98"/>
      <c r="AI69" s="98"/>
      <c r="AJ69" s="98"/>
      <c r="AK69" s="98"/>
      <c r="AL69" s="98"/>
      <c r="AM69" s="98"/>
      <c r="AN69" s="98"/>
      <c r="AO69" s="98"/>
      <c r="AP69" s="98"/>
      <c r="AQ69" s="98"/>
      <c r="AR69" s="98"/>
      <c r="AS69" s="98"/>
    </row>
    <row r="70" spans="1:45" s="4" customFormat="1">
      <c r="A70" s="93" t="s">
        <v>919</v>
      </c>
      <c r="B70" s="94">
        <v>680487044607</v>
      </c>
      <c r="C70" s="95" t="s">
        <v>920</v>
      </c>
      <c r="D70">
        <v>0</v>
      </c>
      <c r="E70" s="96"/>
      <c r="F70" s="97"/>
      <c r="G70" s="98"/>
      <c r="H70" s="99" t="s">
        <v>649</v>
      </c>
      <c r="I70" s="100"/>
      <c r="J70" s="101"/>
      <c r="K70" s="102"/>
      <c r="L70" s="102"/>
      <c r="M70" s="102"/>
      <c r="N70" s="98"/>
      <c r="O70" s="98"/>
      <c r="P70" s="98"/>
      <c r="Q70" s="98"/>
      <c r="R70" s="98"/>
      <c r="S70" s="98"/>
      <c r="T70" s="98"/>
      <c r="U70" s="109"/>
      <c r="V70" s="103"/>
      <c r="W70" s="107"/>
      <c r="X70" s="108" t="s">
        <v>1440</v>
      </c>
      <c r="Y70" s="96"/>
      <c r="Z70" s="98"/>
      <c r="AA70" s="98"/>
      <c r="AB70" s="98"/>
      <c r="AC70" s="98"/>
      <c r="AD70" s="98"/>
      <c r="AE70" s="98"/>
      <c r="AF70" s="98"/>
      <c r="AG70" s="98"/>
      <c r="AH70" s="98"/>
      <c r="AI70" s="98"/>
      <c r="AJ70" s="98"/>
      <c r="AK70" s="98"/>
      <c r="AL70" s="98"/>
      <c r="AM70" s="98"/>
      <c r="AN70" s="98"/>
      <c r="AO70" s="98"/>
      <c r="AP70" s="98"/>
      <c r="AQ70" s="98"/>
      <c r="AR70" s="98"/>
      <c r="AS70" s="98"/>
    </row>
    <row r="71" spans="1:45" s="4" customFormat="1">
      <c r="A71" s="93" t="s">
        <v>919</v>
      </c>
      <c r="B71" s="94">
        <v>680031615161</v>
      </c>
      <c r="C71" s="95" t="s">
        <v>920</v>
      </c>
      <c r="D71">
        <v>0</v>
      </c>
      <c r="E71" s="96"/>
      <c r="F71" s="97"/>
      <c r="G71" s="98"/>
      <c r="H71" s="99" t="s">
        <v>265</v>
      </c>
      <c r="I71" s="100"/>
      <c r="J71" s="101"/>
      <c r="K71" s="102"/>
      <c r="L71" s="102"/>
      <c r="M71" s="102"/>
      <c r="N71" s="98"/>
      <c r="O71" s="98"/>
      <c r="P71" s="98"/>
      <c r="Q71" s="98"/>
      <c r="R71" s="98"/>
      <c r="S71" s="98"/>
      <c r="T71" s="98"/>
      <c r="U71" s="109"/>
      <c r="V71" s="103"/>
      <c r="W71" s="107"/>
      <c r="X71" s="108" t="s">
        <v>1440</v>
      </c>
      <c r="Y71" s="96"/>
      <c r="Z71" s="98"/>
      <c r="AA71" s="98"/>
      <c r="AB71" s="98"/>
      <c r="AC71" s="98"/>
      <c r="AD71" s="98"/>
      <c r="AE71" s="98"/>
      <c r="AF71" s="98"/>
      <c r="AG71" s="98"/>
      <c r="AH71" s="98"/>
      <c r="AI71" s="98"/>
      <c r="AJ71" s="98"/>
      <c r="AK71" s="98"/>
      <c r="AL71" s="98"/>
      <c r="AM71" s="98"/>
      <c r="AN71" s="98"/>
      <c r="AO71" s="98"/>
      <c r="AP71" s="98"/>
      <c r="AQ71" s="98"/>
      <c r="AR71" s="98"/>
      <c r="AS71" s="98"/>
    </row>
    <row r="72" spans="1:45" s="4" customFormat="1">
      <c r="A72" s="93" t="s">
        <v>919</v>
      </c>
      <c r="B72" s="94">
        <v>680487044362</v>
      </c>
      <c r="C72" s="95" t="s">
        <v>920</v>
      </c>
      <c r="D72">
        <v>0</v>
      </c>
      <c r="E72" s="96"/>
      <c r="F72" s="97"/>
      <c r="G72" s="98"/>
      <c r="H72" s="99" t="s">
        <v>266</v>
      </c>
      <c r="I72" s="100"/>
      <c r="J72" s="101"/>
      <c r="K72" s="102"/>
      <c r="L72" s="102"/>
      <c r="M72" s="102"/>
      <c r="N72" s="98"/>
      <c r="O72" s="98"/>
      <c r="P72" s="98"/>
      <c r="Q72" s="98"/>
      <c r="R72" s="98"/>
      <c r="S72" s="98"/>
      <c r="T72" s="98"/>
      <c r="U72" s="109"/>
      <c r="V72" s="103"/>
      <c r="W72" s="107"/>
      <c r="X72" s="108" t="s">
        <v>1440</v>
      </c>
      <c r="Y72" s="96"/>
      <c r="Z72" s="98"/>
      <c r="AA72" s="98"/>
      <c r="AB72" s="98"/>
      <c r="AC72" s="98"/>
      <c r="AD72" s="98"/>
      <c r="AE72" s="98"/>
      <c r="AF72" s="98"/>
      <c r="AG72" s="98"/>
      <c r="AH72" s="98"/>
      <c r="AI72" s="98"/>
      <c r="AJ72" s="98"/>
      <c r="AK72" s="98"/>
      <c r="AL72" s="98"/>
      <c r="AM72" s="98"/>
      <c r="AN72" s="98"/>
      <c r="AO72" s="98"/>
      <c r="AP72" s="98"/>
      <c r="AQ72" s="98"/>
      <c r="AR72" s="98"/>
      <c r="AS72" s="98"/>
    </row>
    <row r="73" spans="1:45" s="4" customFormat="1">
      <c r="A73" s="93" t="s">
        <v>919</v>
      </c>
      <c r="B73" s="94">
        <v>680487045611</v>
      </c>
      <c r="C73" s="95" t="s">
        <v>920</v>
      </c>
      <c r="D73">
        <v>0</v>
      </c>
      <c r="E73" s="96"/>
      <c r="F73" s="97"/>
      <c r="G73" s="98"/>
      <c r="H73" s="99" t="s">
        <v>267</v>
      </c>
      <c r="I73" s="100"/>
      <c r="J73" s="101"/>
      <c r="K73" s="102"/>
      <c r="L73" s="102"/>
      <c r="M73" s="102"/>
      <c r="N73" s="98"/>
      <c r="O73" s="98"/>
      <c r="P73" s="98"/>
      <c r="Q73" s="98"/>
      <c r="R73" s="98"/>
      <c r="S73" s="98"/>
      <c r="T73" s="98"/>
      <c r="U73" s="109"/>
      <c r="V73" s="103"/>
      <c r="W73" s="107"/>
      <c r="X73" s="108" t="s">
        <v>1440</v>
      </c>
      <c r="Y73" s="96"/>
      <c r="Z73" s="98"/>
      <c r="AA73" s="98"/>
      <c r="AB73" s="98"/>
      <c r="AC73" s="98"/>
      <c r="AD73" s="98"/>
      <c r="AE73" s="98"/>
      <c r="AF73" s="98"/>
      <c r="AG73" s="98"/>
      <c r="AH73" s="98"/>
      <c r="AI73" s="98"/>
      <c r="AJ73" s="98"/>
      <c r="AK73" s="98"/>
      <c r="AL73" s="98"/>
      <c r="AM73" s="98"/>
      <c r="AN73" s="98"/>
      <c r="AO73" s="98"/>
      <c r="AP73" s="98"/>
      <c r="AQ73" s="98"/>
      <c r="AR73" s="98"/>
      <c r="AS73" s="98"/>
    </row>
    <row r="74" spans="1:45" s="4" customFormat="1">
      <c r="A74" s="93" t="s">
        <v>919</v>
      </c>
      <c r="B74" s="94">
        <v>680487044423</v>
      </c>
      <c r="C74" s="95" t="s">
        <v>920</v>
      </c>
      <c r="D74">
        <v>0</v>
      </c>
      <c r="E74" s="96"/>
      <c r="F74" s="97"/>
      <c r="G74" s="98"/>
      <c r="H74" s="99" t="s">
        <v>268</v>
      </c>
      <c r="I74" s="100"/>
      <c r="J74" s="101"/>
      <c r="K74" s="102"/>
      <c r="L74" s="102"/>
      <c r="M74" s="102"/>
      <c r="N74" s="98"/>
      <c r="O74" s="98"/>
      <c r="P74" s="98"/>
      <c r="Q74" s="98"/>
      <c r="R74" s="98"/>
      <c r="S74" s="98"/>
      <c r="T74" s="98"/>
      <c r="U74" s="109"/>
      <c r="V74" s="103"/>
      <c r="W74" s="107"/>
      <c r="X74" s="108" t="s">
        <v>1440</v>
      </c>
      <c r="Y74" s="96"/>
      <c r="Z74" s="98"/>
      <c r="AA74" s="98"/>
      <c r="AB74" s="98"/>
      <c r="AC74" s="98"/>
      <c r="AD74" s="98"/>
      <c r="AE74" s="98"/>
      <c r="AF74" s="98"/>
      <c r="AG74" s="98"/>
      <c r="AH74" s="98"/>
      <c r="AI74" s="98"/>
      <c r="AJ74" s="98"/>
      <c r="AK74" s="98"/>
      <c r="AL74" s="98"/>
      <c r="AM74" s="98"/>
      <c r="AN74" s="98"/>
      <c r="AO74" s="98"/>
      <c r="AP74" s="98"/>
      <c r="AQ74" s="98"/>
      <c r="AR74" s="98"/>
      <c r="AS74" s="98"/>
    </row>
    <row r="75" spans="1:45" s="4" customFormat="1">
      <c r="A75" s="93" t="s">
        <v>919</v>
      </c>
      <c r="B75" s="94">
        <v>680487044447</v>
      </c>
      <c r="C75" s="95" t="s">
        <v>920</v>
      </c>
      <c r="D75">
        <v>0</v>
      </c>
      <c r="E75" s="96"/>
      <c r="F75" s="97"/>
      <c r="G75" s="98"/>
      <c r="H75" s="99" t="s">
        <v>269</v>
      </c>
      <c r="I75" s="100"/>
      <c r="J75" s="101"/>
      <c r="K75" s="102"/>
      <c r="L75" s="102"/>
      <c r="M75" s="102"/>
      <c r="N75" s="98"/>
      <c r="O75" s="98"/>
      <c r="P75" s="98"/>
      <c r="Q75" s="98"/>
      <c r="R75" s="98"/>
      <c r="S75" s="98"/>
      <c r="T75" s="98"/>
      <c r="U75" s="109"/>
      <c r="V75" s="103"/>
      <c r="W75" s="107"/>
      <c r="X75" s="108" t="s">
        <v>1440</v>
      </c>
      <c r="Y75" s="96"/>
      <c r="Z75" s="98"/>
      <c r="AA75" s="98"/>
      <c r="AB75" s="98"/>
      <c r="AC75" s="98"/>
      <c r="AD75" s="98"/>
      <c r="AE75" s="98"/>
      <c r="AF75" s="98"/>
      <c r="AG75" s="98"/>
      <c r="AH75" s="98"/>
      <c r="AI75" s="98"/>
      <c r="AJ75" s="98"/>
      <c r="AK75" s="98"/>
      <c r="AL75" s="98"/>
      <c r="AM75" s="98"/>
      <c r="AN75" s="98"/>
      <c r="AO75" s="98"/>
      <c r="AP75" s="98"/>
      <c r="AQ75" s="98"/>
      <c r="AR75" s="98"/>
      <c r="AS75" s="98"/>
    </row>
    <row r="76" spans="1:45" s="4" customFormat="1">
      <c r="A76" s="93" t="s">
        <v>919</v>
      </c>
      <c r="B76" s="94">
        <v>680487165883</v>
      </c>
      <c r="C76" s="95" t="s">
        <v>920</v>
      </c>
      <c r="D76">
        <v>0</v>
      </c>
      <c r="E76" s="96"/>
      <c r="F76" s="97"/>
      <c r="G76" s="98"/>
      <c r="H76" s="99" t="s">
        <v>270</v>
      </c>
      <c r="I76" s="100"/>
      <c r="J76" s="101"/>
      <c r="K76" s="102"/>
      <c r="L76" s="102"/>
      <c r="M76" s="102"/>
      <c r="N76" s="98"/>
      <c r="O76" s="98"/>
      <c r="P76" s="98"/>
      <c r="Q76" s="98"/>
      <c r="R76" s="98"/>
      <c r="S76" s="98"/>
      <c r="T76" s="98"/>
      <c r="U76" s="109"/>
      <c r="V76" s="103"/>
      <c r="W76" s="107"/>
      <c r="X76" s="108" t="s">
        <v>1440</v>
      </c>
      <c r="Y76" s="96"/>
      <c r="Z76" s="98"/>
      <c r="AA76" s="98"/>
      <c r="AB76" s="98"/>
      <c r="AC76" s="98"/>
      <c r="AD76" s="98"/>
      <c r="AE76" s="98"/>
      <c r="AF76" s="98"/>
      <c r="AG76" s="98"/>
      <c r="AH76" s="98"/>
      <c r="AI76" s="98"/>
      <c r="AJ76" s="98"/>
      <c r="AK76" s="98"/>
      <c r="AL76" s="98"/>
      <c r="AM76" s="98"/>
      <c r="AN76" s="98"/>
      <c r="AO76" s="98"/>
      <c r="AP76" s="98"/>
      <c r="AQ76" s="98"/>
      <c r="AR76" s="98"/>
      <c r="AS76" s="98"/>
    </row>
    <row r="77" spans="1:45" s="4" customFormat="1">
      <c r="A77" s="93" t="s">
        <v>919</v>
      </c>
      <c r="B77" s="94">
        <v>680487043860</v>
      </c>
      <c r="C77" s="95" t="s">
        <v>920</v>
      </c>
      <c r="D77">
        <v>0</v>
      </c>
      <c r="E77" s="96"/>
      <c r="F77" s="97"/>
      <c r="G77" s="98"/>
      <c r="H77" s="99" t="s">
        <v>271</v>
      </c>
      <c r="I77" s="100"/>
      <c r="J77" s="101"/>
      <c r="K77" s="102"/>
      <c r="L77" s="102"/>
      <c r="M77" s="102"/>
      <c r="N77" s="98"/>
      <c r="O77" s="98"/>
      <c r="P77" s="98"/>
      <c r="Q77" s="98"/>
      <c r="R77" s="98"/>
      <c r="S77" s="98"/>
      <c r="T77" s="98"/>
      <c r="U77" s="109"/>
      <c r="V77" s="103"/>
      <c r="W77" s="107"/>
      <c r="X77" s="108" t="s">
        <v>1440</v>
      </c>
      <c r="Y77" s="96"/>
      <c r="Z77" s="98"/>
      <c r="AA77" s="98"/>
      <c r="AB77" s="98"/>
      <c r="AC77" s="98"/>
      <c r="AD77" s="98"/>
      <c r="AE77" s="98"/>
      <c r="AF77" s="98"/>
      <c r="AG77" s="98"/>
      <c r="AH77" s="98"/>
      <c r="AI77" s="98"/>
      <c r="AJ77" s="98"/>
      <c r="AK77" s="98"/>
      <c r="AL77" s="98"/>
      <c r="AM77" s="98"/>
      <c r="AN77" s="98"/>
      <c r="AO77" s="98"/>
      <c r="AP77" s="98"/>
      <c r="AQ77" s="98"/>
      <c r="AR77" s="98"/>
      <c r="AS77" s="98"/>
    </row>
    <row r="78" spans="1:45" s="4" customFormat="1">
      <c r="A78" s="93" t="s">
        <v>919</v>
      </c>
      <c r="B78" s="94">
        <v>680487045017</v>
      </c>
      <c r="C78" s="95" t="s">
        <v>920</v>
      </c>
      <c r="D78">
        <v>0</v>
      </c>
      <c r="E78" s="96"/>
      <c r="F78" s="97"/>
      <c r="G78" s="98"/>
      <c r="H78" s="99" t="s">
        <v>272</v>
      </c>
      <c r="I78" s="100"/>
      <c r="J78" s="101"/>
      <c r="K78" s="102"/>
      <c r="L78" s="102"/>
      <c r="M78" s="102"/>
      <c r="N78" s="98"/>
      <c r="O78" s="98"/>
      <c r="P78" s="98"/>
      <c r="Q78" s="98"/>
      <c r="R78" s="98"/>
      <c r="S78" s="98"/>
      <c r="T78" s="98"/>
      <c r="U78" s="109"/>
      <c r="V78" s="103"/>
      <c r="W78" s="107"/>
      <c r="X78" s="108" t="s">
        <v>1440</v>
      </c>
      <c r="Y78" s="96"/>
      <c r="Z78" s="98"/>
      <c r="AA78" s="98"/>
      <c r="AB78" s="98"/>
      <c r="AC78" s="98"/>
      <c r="AD78" s="98"/>
      <c r="AE78" s="98"/>
      <c r="AF78" s="98"/>
      <c r="AG78" s="98"/>
      <c r="AH78" s="98"/>
      <c r="AI78" s="98"/>
      <c r="AJ78" s="98"/>
      <c r="AK78" s="98"/>
      <c r="AL78" s="98"/>
      <c r="AM78" s="98"/>
      <c r="AN78" s="98"/>
      <c r="AO78" s="98"/>
      <c r="AP78" s="98"/>
      <c r="AQ78" s="98"/>
      <c r="AR78" s="98"/>
      <c r="AS78" s="98"/>
    </row>
    <row r="79" spans="1:45" s="4" customFormat="1">
      <c r="A79" s="93" t="s">
        <v>919</v>
      </c>
      <c r="B79" s="94">
        <v>680487165760</v>
      </c>
      <c r="C79" s="95" t="s">
        <v>920</v>
      </c>
      <c r="D79">
        <v>0</v>
      </c>
      <c r="E79" s="96"/>
      <c r="F79" s="97"/>
      <c r="G79" s="98"/>
      <c r="H79" s="99" t="s">
        <v>650</v>
      </c>
      <c r="I79" s="100"/>
      <c r="J79" s="101"/>
      <c r="K79" s="102"/>
      <c r="L79" s="102"/>
      <c r="M79" s="102"/>
      <c r="N79" s="98"/>
      <c r="O79" s="98"/>
      <c r="P79" s="98"/>
      <c r="Q79" s="98"/>
      <c r="R79" s="98"/>
      <c r="S79" s="98"/>
      <c r="T79" s="98"/>
      <c r="U79" s="109"/>
      <c r="V79" s="103"/>
      <c r="W79" s="107"/>
      <c r="X79" s="108" t="s">
        <v>1440</v>
      </c>
      <c r="Y79" s="96"/>
      <c r="Z79" s="98"/>
      <c r="AA79" s="98"/>
      <c r="AB79" s="98"/>
      <c r="AC79" s="98"/>
      <c r="AD79" s="98"/>
      <c r="AE79" s="98"/>
      <c r="AF79" s="98"/>
      <c r="AG79" s="98"/>
      <c r="AH79" s="98"/>
      <c r="AI79" s="98"/>
      <c r="AJ79" s="98"/>
      <c r="AK79" s="98"/>
      <c r="AL79" s="98"/>
      <c r="AM79" s="98"/>
      <c r="AN79" s="98"/>
      <c r="AO79" s="98"/>
      <c r="AP79" s="98"/>
      <c r="AQ79" s="98"/>
      <c r="AR79" s="98"/>
      <c r="AS79" s="98"/>
    </row>
    <row r="80" spans="1:45" s="4" customFormat="1">
      <c r="A80" s="93" t="s">
        <v>919</v>
      </c>
      <c r="B80" s="94">
        <v>680487045192</v>
      </c>
      <c r="C80" s="95" t="s">
        <v>920</v>
      </c>
      <c r="D80">
        <v>0</v>
      </c>
      <c r="E80" s="96"/>
      <c r="F80" s="97"/>
      <c r="G80" s="98"/>
      <c r="H80" s="99" t="s">
        <v>273</v>
      </c>
      <c r="I80" s="100"/>
      <c r="J80" s="101"/>
      <c r="K80" s="102"/>
      <c r="L80" s="102"/>
      <c r="M80" s="102"/>
      <c r="N80" s="98"/>
      <c r="O80" s="98"/>
      <c r="P80" s="98"/>
      <c r="Q80" s="98"/>
      <c r="R80" s="98"/>
      <c r="S80" s="98"/>
      <c r="T80" s="98"/>
      <c r="U80" s="109"/>
      <c r="V80" s="103"/>
      <c r="W80" s="107"/>
      <c r="X80" s="108" t="s">
        <v>1440</v>
      </c>
      <c r="Y80" s="96"/>
      <c r="Z80" s="98"/>
      <c r="AA80" s="98"/>
      <c r="AB80" s="98"/>
      <c r="AC80" s="98"/>
      <c r="AD80" s="98"/>
      <c r="AE80" s="98"/>
      <c r="AF80" s="98"/>
      <c r="AG80" s="98"/>
      <c r="AH80" s="98"/>
      <c r="AI80" s="98"/>
      <c r="AJ80" s="98"/>
      <c r="AK80" s="98"/>
      <c r="AL80" s="98"/>
      <c r="AM80" s="98"/>
      <c r="AN80" s="98"/>
      <c r="AO80" s="98"/>
      <c r="AP80" s="98"/>
      <c r="AQ80" s="98"/>
      <c r="AR80" s="98"/>
      <c r="AS80" s="98"/>
    </row>
    <row r="81" spans="1:45" s="4" customFormat="1">
      <c r="A81" s="93" t="s">
        <v>919</v>
      </c>
      <c r="B81" s="94">
        <v>680487045215</v>
      </c>
      <c r="C81" s="95" t="s">
        <v>920</v>
      </c>
      <c r="D81">
        <v>0</v>
      </c>
      <c r="E81" s="96"/>
      <c r="F81" s="97"/>
      <c r="G81" s="98"/>
      <c r="H81" s="99" t="s">
        <v>274</v>
      </c>
      <c r="I81" s="100"/>
      <c r="J81" s="101"/>
      <c r="K81" s="102"/>
      <c r="L81" s="102"/>
      <c r="M81" s="102"/>
      <c r="N81" s="98"/>
      <c r="O81" s="98"/>
      <c r="P81" s="98"/>
      <c r="Q81" s="98"/>
      <c r="R81" s="98"/>
      <c r="S81" s="98"/>
      <c r="T81" s="98"/>
      <c r="U81" s="109"/>
      <c r="V81" s="103"/>
      <c r="W81" s="107"/>
      <c r="X81" s="108" t="s">
        <v>1440</v>
      </c>
      <c r="Y81" s="96"/>
      <c r="Z81" s="98"/>
      <c r="AA81" s="98"/>
      <c r="AB81" s="98"/>
      <c r="AC81" s="98"/>
      <c r="AD81" s="98"/>
      <c r="AE81" s="98"/>
      <c r="AF81" s="98"/>
      <c r="AG81" s="98"/>
      <c r="AH81" s="98"/>
      <c r="AI81" s="98"/>
      <c r="AJ81" s="98"/>
      <c r="AK81" s="98"/>
      <c r="AL81" s="98"/>
      <c r="AM81" s="98"/>
      <c r="AN81" s="98"/>
      <c r="AO81" s="98"/>
      <c r="AP81" s="98"/>
      <c r="AQ81" s="98"/>
      <c r="AR81" s="98"/>
      <c r="AS81" s="98"/>
    </row>
    <row r="82" spans="1:45" s="4" customFormat="1">
      <c r="A82" s="93" t="s">
        <v>919</v>
      </c>
      <c r="B82" s="94">
        <v>680487044164</v>
      </c>
      <c r="C82" s="95" t="s">
        <v>920</v>
      </c>
      <c r="D82">
        <v>0</v>
      </c>
      <c r="E82" s="96"/>
      <c r="F82" s="97"/>
      <c r="G82" s="98"/>
      <c r="H82" s="99" t="s">
        <v>275</v>
      </c>
      <c r="I82" s="100"/>
      <c r="J82" s="101"/>
      <c r="K82" s="102"/>
      <c r="L82" s="102"/>
      <c r="M82" s="102"/>
      <c r="N82" s="98"/>
      <c r="O82" s="98"/>
      <c r="P82" s="98"/>
      <c r="Q82" s="98"/>
      <c r="R82" s="98"/>
      <c r="S82" s="98"/>
      <c r="T82" s="98"/>
      <c r="U82" s="109"/>
      <c r="V82" s="103"/>
      <c r="W82" s="107"/>
      <c r="X82" s="108" t="s">
        <v>1440</v>
      </c>
      <c r="Y82" s="96"/>
      <c r="Z82" s="98"/>
      <c r="AA82" s="98"/>
      <c r="AB82" s="98"/>
      <c r="AC82" s="98"/>
      <c r="AD82" s="98"/>
      <c r="AE82" s="98"/>
      <c r="AF82" s="98"/>
      <c r="AG82" s="98"/>
      <c r="AH82" s="98"/>
      <c r="AI82" s="98"/>
      <c r="AJ82" s="98"/>
      <c r="AK82" s="98"/>
      <c r="AL82" s="98"/>
      <c r="AM82" s="98"/>
      <c r="AN82" s="98"/>
      <c r="AO82" s="98"/>
      <c r="AP82" s="98"/>
      <c r="AQ82" s="98"/>
      <c r="AR82" s="98"/>
      <c r="AS82" s="98"/>
    </row>
    <row r="83" spans="1:45" s="4" customFormat="1">
      <c r="A83" s="93" t="s">
        <v>919</v>
      </c>
      <c r="B83" s="94">
        <v>680487045253</v>
      </c>
      <c r="C83" s="95" t="s">
        <v>920</v>
      </c>
      <c r="D83">
        <v>0</v>
      </c>
      <c r="E83" s="96"/>
      <c r="F83" s="97"/>
      <c r="G83" s="98"/>
      <c r="H83" s="99" t="s">
        <v>276</v>
      </c>
      <c r="I83" s="100"/>
      <c r="J83" s="101"/>
      <c r="K83" s="102"/>
      <c r="L83" s="102"/>
      <c r="M83" s="102"/>
      <c r="N83" s="98"/>
      <c r="O83" s="98"/>
      <c r="P83" s="98"/>
      <c r="Q83" s="98"/>
      <c r="R83" s="98"/>
      <c r="S83" s="98"/>
      <c r="T83" s="98"/>
      <c r="U83" s="109"/>
      <c r="V83" s="103"/>
      <c r="W83" s="107"/>
      <c r="X83" s="108" t="s">
        <v>1440</v>
      </c>
      <c r="Y83" s="96"/>
      <c r="Z83" s="98"/>
      <c r="AA83" s="98"/>
      <c r="AB83" s="98"/>
      <c r="AC83" s="98"/>
      <c r="AD83" s="98"/>
      <c r="AE83" s="98"/>
      <c r="AF83" s="98"/>
      <c r="AG83" s="98"/>
      <c r="AH83" s="98"/>
      <c r="AI83" s="98"/>
      <c r="AJ83" s="98"/>
      <c r="AK83" s="98"/>
      <c r="AL83" s="98"/>
      <c r="AM83" s="98"/>
      <c r="AN83" s="98"/>
      <c r="AO83" s="98"/>
      <c r="AP83" s="98"/>
      <c r="AQ83" s="98"/>
      <c r="AR83" s="98"/>
      <c r="AS83" s="98"/>
    </row>
    <row r="84" spans="1:45" s="4" customFormat="1">
      <c r="A84" s="93" t="s">
        <v>919</v>
      </c>
      <c r="B84" s="94">
        <v>680487045130</v>
      </c>
      <c r="C84" s="95" t="s">
        <v>920</v>
      </c>
      <c r="D84">
        <v>0</v>
      </c>
      <c r="E84" s="96"/>
      <c r="F84" s="97"/>
      <c r="G84" s="98"/>
      <c r="H84" s="99" t="s">
        <v>651</v>
      </c>
      <c r="I84" s="100"/>
      <c r="J84" s="101"/>
      <c r="K84" s="102"/>
      <c r="L84" s="102"/>
      <c r="M84" s="102"/>
      <c r="N84" s="98"/>
      <c r="O84" s="98"/>
      <c r="P84" s="98"/>
      <c r="Q84" s="98"/>
      <c r="R84" s="98"/>
      <c r="S84" s="98"/>
      <c r="T84" s="98"/>
      <c r="U84" s="109"/>
      <c r="V84" s="103"/>
      <c r="W84" s="107"/>
      <c r="X84" s="108" t="s">
        <v>1440</v>
      </c>
      <c r="Y84" s="96"/>
      <c r="Z84" s="98"/>
      <c r="AA84" s="98"/>
      <c r="AB84" s="98"/>
      <c r="AC84" s="98"/>
      <c r="AD84" s="98"/>
      <c r="AE84" s="98"/>
      <c r="AF84" s="98"/>
      <c r="AG84" s="98"/>
      <c r="AH84" s="98"/>
      <c r="AI84" s="98"/>
      <c r="AJ84" s="98"/>
      <c r="AK84" s="98"/>
      <c r="AL84" s="98"/>
      <c r="AM84" s="98"/>
      <c r="AN84" s="98"/>
      <c r="AO84" s="98"/>
      <c r="AP84" s="98"/>
      <c r="AQ84" s="98"/>
      <c r="AR84" s="98"/>
      <c r="AS84" s="98"/>
    </row>
    <row r="85" spans="1:45" s="4" customFormat="1">
      <c r="A85" s="93" t="s">
        <v>919</v>
      </c>
      <c r="B85" s="94">
        <v>680487044768</v>
      </c>
      <c r="C85" s="95" t="s">
        <v>920</v>
      </c>
      <c r="D85">
        <v>0</v>
      </c>
      <c r="E85" s="96"/>
      <c r="F85" s="97"/>
      <c r="G85" s="98"/>
      <c r="H85" s="99" t="s">
        <v>1288</v>
      </c>
      <c r="I85" s="100"/>
      <c r="J85" s="101"/>
      <c r="K85" s="102"/>
      <c r="L85" s="102"/>
      <c r="M85" s="102"/>
      <c r="N85" s="98"/>
      <c r="O85" s="98"/>
      <c r="P85" s="98"/>
      <c r="Q85" s="98"/>
      <c r="R85" s="98"/>
      <c r="S85" s="98"/>
      <c r="T85" s="98"/>
      <c r="U85" s="109"/>
      <c r="V85" s="103"/>
      <c r="W85" s="107"/>
      <c r="X85" s="108" t="s">
        <v>1440</v>
      </c>
      <c r="Y85" s="96"/>
      <c r="Z85" s="98"/>
      <c r="AA85" s="98"/>
      <c r="AB85" s="98"/>
      <c r="AC85" s="98"/>
      <c r="AD85" s="98"/>
      <c r="AE85" s="98"/>
      <c r="AF85" s="98"/>
      <c r="AG85" s="98"/>
      <c r="AH85" s="98"/>
      <c r="AI85" s="98"/>
      <c r="AJ85" s="98"/>
      <c r="AK85" s="98"/>
      <c r="AL85" s="98"/>
      <c r="AM85" s="98"/>
      <c r="AN85" s="98"/>
      <c r="AO85" s="98"/>
      <c r="AP85" s="98"/>
      <c r="AQ85" s="98"/>
      <c r="AR85" s="98"/>
      <c r="AS85" s="98"/>
    </row>
    <row r="86" spans="1:45" s="4" customFormat="1">
      <c r="A86" s="93" t="s">
        <v>919</v>
      </c>
      <c r="B86" s="94">
        <v>680487044782</v>
      </c>
      <c r="C86" s="95" t="s">
        <v>920</v>
      </c>
      <c r="D86">
        <v>0</v>
      </c>
      <c r="E86" s="96"/>
      <c r="F86" s="97"/>
      <c r="G86" s="98"/>
      <c r="H86" s="99" t="s">
        <v>1289</v>
      </c>
      <c r="I86" s="100"/>
      <c r="J86" s="101"/>
      <c r="K86" s="102"/>
      <c r="L86" s="102"/>
      <c r="M86" s="102"/>
      <c r="N86" s="98"/>
      <c r="O86" s="98"/>
      <c r="P86" s="98"/>
      <c r="Q86" s="98"/>
      <c r="R86" s="98"/>
      <c r="S86" s="98"/>
      <c r="T86" s="98"/>
      <c r="U86" s="109"/>
      <c r="V86" s="103"/>
      <c r="W86" s="107"/>
      <c r="X86" s="108" t="s">
        <v>1440</v>
      </c>
      <c r="Y86" s="96"/>
      <c r="Z86" s="98"/>
      <c r="AA86" s="98"/>
      <c r="AB86" s="98"/>
      <c r="AC86" s="98"/>
      <c r="AD86" s="98"/>
      <c r="AE86" s="98"/>
      <c r="AF86" s="98"/>
      <c r="AG86" s="98"/>
      <c r="AH86" s="98"/>
      <c r="AI86" s="98"/>
      <c r="AJ86" s="98"/>
      <c r="AK86" s="98"/>
      <c r="AL86" s="98"/>
      <c r="AM86" s="98"/>
      <c r="AN86" s="98"/>
      <c r="AO86" s="98"/>
      <c r="AP86" s="98"/>
      <c r="AQ86" s="98"/>
      <c r="AR86" s="98"/>
      <c r="AS86" s="98"/>
    </row>
    <row r="87" spans="1:45" s="4" customFormat="1">
      <c r="A87" s="93" t="s">
        <v>919</v>
      </c>
      <c r="B87" s="94">
        <v>680487044461</v>
      </c>
      <c r="C87" s="95" t="s">
        <v>920</v>
      </c>
      <c r="D87">
        <v>0</v>
      </c>
      <c r="E87" s="96"/>
      <c r="F87" s="97"/>
      <c r="G87" s="98"/>
      <c r="H87" s="99" t="s">
        <v>277</v>
      </c>
      <c r="I87" s="100"/>
      <c r="J87" s="101"/>
      <c r="K87" s="102"/>
      <c r="L87" s="102"/>
      <c r="M87" s="102"/>
      <c r="N87" s="98"/>
      <c r="O87" s="98"/>
      <c r="P87" s="98"/>
      <c r="Q87" s="98"/>
      <c r="R87" s="98"/>
      <c r="S87" s="98"/>
      <c r="T87" s="98"/>
      <c r="U87" s="109"/>
      <c r="V87" s="103"/>
      <c r="W87" s="107"/>
      <c r="X87" s="108" t="s">
        <v>1440</v>
      </c>
      <c r="Y87" s="96"/>
      <c r="Z87" s="98"/>
      <c r="AA87" s="98"/>
      <c r="AB87" s="98"/>
      <c r="AC87" s="98"/>
      <c r="AD87" s="98"/>
      <c r="AE87" s="98"/>
      <c r="AF87" s="98"/>
      <c r="AG87" s="98"/>
      <c r="AH87" s="98"/>
      <c r="AI87" s="98"/>
      <c r="AJ87" s="98"/>
      <c r="AK87" s="98"/>
      <c r="AL87" s="98"/>
      <c r="AM87" s="98"/>
      <c r="AN87" s="98"/>
      <c r="AO87" s="98"/>
      <c r="AP87" s="98"/>
      <c r="AQ87" s="98"/>
      <c r="AR87" s="98"/>
      <c r="AS87" s="98"/>
    </row>
    <row r="88" spans="1:45" s="4" customFormat="1">
      <c r="A88" s="93" t="s">
        <v>919</v>
      </c>
      <c r="B88" s="94">
        <v>680487045475</v>
      </c>
      <c r="C88" s="95" t="s">
        <v>920</v>
      </c>
      <c r="D88">
        <v>0</v>
      </c>
      <c r="E88" s="96"/>
      <c r="F88" s="97"/>
      <c r="G88" s="98"/>
      <c r="H88" s="99" t="s">
        <v>278</v>
      </c>
      <c r="I88" s="100"/>
      <c r="J88" s="101"/>
      <c r="K88" s="102"/>
      <c r="L88" s="102"/>
      <c r="M88" s="102"/>
      <c r="N88" s="98"/>
      <c r="O88" s="98"/>
      <c r="P88" s="98"/>
      <c r="Q88" s="98"/>
      <c r="R88" s="98"/>
      <c r="S88" s="98"/>
      <c r="T88" s="98"/>
      <c r="U88" s="109"/>
      <c r="V88" s="103"/>
      <c r="W88" s="107"/>
      <c r="X88" s="108" t="s">
        <v>1440</v>
      </c>
      <c r="Y88" s="96"/>
      <c r="Z88" s="98"/>
      <c r="AA88" s="98"/>
      <c r="AB88" s="98"/>
      <c r="AC88" s="98"/>
      <c r="AD88" s="98"/>
      <c r="AE88" s="98"/>
      <c r="AF88" s="98"/>
      <c r="AG88" s="98"/>
      <c r="AH88" s="98"/>
      <c r="AI88" s="98"/>
      <c r="AJ88" s="98"/>
      <c r="AK88" s="98"/>
      <c r="AL88" s="98"/>
      <c r="AM88" s="98"/>
      <c r="AN88" s="98"/>
      <c r="AO88" s="98"/>
      <c r="AP88" s="98"/>
      <c r="AQ88" s="98"/>
      <c r="AR88" s="98"/>
      <c r="AS88" s="98"/>
    </row>
    <row r="89" spans="1:45" s="4" customFormat="1">
      <c r="A89" s="93" t="s">
        <v>919</v>
      </c>
      <c r="B89" s="94">
        <v>680487044409</v>
      </c>
      <c r="C89" s="95" t="s">
        <v>920</v>
      </c>
      <c r="D89">
        <v>0</v>
      </c>
      <c r="E89" s="96"/>
      <c r="F89" s="97"/>
      <c r="G89" s="98"/>
      <c r="H89" s="99" t="s">
        <v>279</v>
      </c>
      <c r="I89" s="100"/>
      <c r="J89" s="101"/>
      <c r="K89" s="102"/>
      <c r="L89" s="102"/>
      <c r="M89" s="102"/>
      <c r="N89" s="98"/>
      <c r="O89" s="98"/>
      <c r="P89" s="98"/>
      <c r="Q89" s="98"/>
      <c r="R89" s="98"/>
      <c r="S89" s="98"/>
      <c r="T89" s="98"/>
      <c r="U89" s="109"/>
      <c r="V89" s="103"/>
      <c r="W89" s="107"/>
      <c r="X89" s="108" t="s">
        <v>1440</v>
      </c>
      <c r="Y89" s="96"/>
      <c r="Z89" s="98"/>
      <c r="AA89" s="98"/>
      <c r="AB89" s="98"/>
      <c r="AC89" s="98"/>
      <c r="AD89" s="98"/>
      <c r="AE89" s="98"/>
      <c r="AF89" s="98"/>
      <c r="AG89" s="98"/>
      <c r="AH89" s="98"/>
      <c r="AI89" s="98"/>
      <c r="AJ89" s="98"/>
      <c r="AK89" s="98"/>
      <c r="AL89" s="98"/>
      <c r="AM89" s="98"/>
      <c r="AN89" s="98"/>
      <c r="AO89" s="98"/>
      <c r="AP89" s="98"/>
      <c r="AQ89" s="98"/>
      <c r="AR89" s="98"/>
      <c r="AS89" s="98"/>
    </row>
    <row r="90" spans="1:45" s="4" customFormat="1">
      <c r="A90" s="93" t="s">
        <v>919</v>
      </c>
      <c r="B90" s="94">
        <v>680487043884</v>
      </c>
      <c r="C90" s="95" t="s">
        <v>920</v>
      </c>
      <c r="D90">
        <v>0</v>
      </c>
      <c r="E90" s="96"/>
      <c r="F90" s="97"/>
      <c r="G90" s="98"/>
      <c r="H90" s="99" t="s">
        <v>280</v>
      </c>
      <c r="I90" s="100"/>
      <c r="J90" s="101"/>
      <c r="K90" s="102"/>
      <c r="L90" s="102"/>
      <c r="M90" s="102"/>
      <c r="N90" s="98"/>
      <c r="O90" s="98"/>
      <c r="P90" s="98"/>
      <c r="Q90" s="98"/>
      <c r="R90" s="98"/>
      <c r="S90" s="98"/>
      <c r="T90" s="98"/>
      <c r="U90" s="109"/>
      <c r="V90" s="103"/>
      <c r="W90" s="107"/>
      <c r="X90" s="108" t="s">
        <v>1440</v>
      </c>
      <c r="Y90" s="96"/>
      <c r="Z90" s="98"/>
      <c r="AA90" s="98"/>
      <c r="AB90" s="98"/>
      <c r="AC90" s="98"/>
      <c r="AD90" s="98"/>
      <c r="AE90" s="98"/>
      <c r="AF90" s="98"/>
      <c r="AG90" s="98"/>
      <c r="AH90" s="98"/>
      <c r="AI90" s="98"/>
      <c r="AJ90" s="98"/>
      <c r="AK90" s="98"/>
      <c r="AL90" s="98"/>
      <c r="AM90" s="98"/>
      <c r="AN90" s="98"/>
      <c r="AO90" s="98"/>
      <c r="AP90" s="98"/>
      <c r="AQ90" s="98"/>
      <c r="AR90" s="98"/>
      <c r="AS90" s="98"/>
    </row>
    <row r="91" spans="1:45" s="4" customFormat="1">
      <c r="A91" s="93" t="s">
        <v>919</v>
      </c>
      <c r="B91" s="94">
        <v>680487045437</v>
      </c>
      <c r="C91" s="95" t="s">
        <v>920</v>
      </c>
      <c r="D91">
        <v>0</v>
      </c>
      <c r="E91" s="96"/>
      <c r="F91" s="97"/>
      <c r="G91" s="98"/>
      <c r="H91" s="99" t="s">
        <v>281</v>
      </c>
      <c r="I91" s="100"/>
      <c r="J91" s="101"/>
      <c r="K91" s="102"/>
      <c r="L91" s="102"/>
      <c r="M91" s="102"/>
      <c r="N91" s="98"/>
      <c r="O91" s="98"/>
      <c r="P91" s="98"/>
      <c r="Q91" s="98"/>
      <c r="R91" s="98"/>
      <c r="S91" s="98"/>
      <c r="T91" s="98"/>
      <c r="U91" s="109"/>
      <c r="V91" s="103"/>
      <c r="W91" s="107"/>
      <c r="X91" s="108" t="s">
        <v>1440</v>
      </c>
      <c r="Y91" s="96"/>
      <c r="Z91" s="98"/>
      <c r="AA91" s="98"/>
      <c r="AB91" s="98"/>
      <c r="AC91" s="98"/>
      <c r="AD91" s="98"/>
      <c r="AE91" s="98"/>
      <c r="AF91" s="98"/>
      <c r="AG91" s="98"/>
      <c r="AH91" s="98"/>
      <c r="AI91" s="98"/>
      <c r="AJ91" s="98"/>
      <c r="AK91" s="98"/>
      <c r="AL91" s="98"/>
      <c r="AM91" s="98"/>
      <c r="AN91" s="98"/>
      <c r="AO91" s="98"/>
      <c r="AP91" s="98"/>
      <c r="AQ91" s="98"/>
      <c r="AR91" s="98"/>
      <c r="AS91" s="98"/>
    </row>
    <row r="92" spans="1:45" s="4" customFormat="1">
      <c r="A92" s="93" t="s">
        <v>919</v>
      </c>
      <c r="B92" s="94">
        <v>680487045895</v>
      </c>
      <c r="C92" s="95" t="s">
        <v>920</v>
      </c>
      <c r="D92">
        <v>0</v>
      </c>
      <c r="E92" s="96"/>
      <c r="F92" s="97"/>
      <c r="G92" s="98"/>
      <c r="H92" s="99" t="s">
        <v>282</v>
      </c>
      <c r="I92" s="100"/>
      <c r="J92" s="101"/>
      <c r="K92" s="102"/>
      <c r="L92" s="102"/>
      <c r="M92" s="102"/>
      <c r="N92" s="98"/>
      <c r="O92" s="98"/>
      <c r="P92" s="98"/>
      <c r="Q92" s="98"/>
      <c r="R92" s="98"/>
      <c r="S92" s="98"/>
      <c r="T92" s="98"/>
      <c r="U92" s="109"/>
      <c r="V92" s="103"/>
      <c r="W92" s="107"/>
      <c r="X92" s="108" t="s">
        <v>1440</v>
      </c>
      <c r="Y92" s="96"/>
      <c r="Z92" s="98"/>
      <c r="AA92" s="98"/>
      <c r="AB92" s="98"/>
      <c r="AC92" s="98"/>
      <c r="AD92" s="98"/>
      <c r="AE92" s="98"/>
      <c r="AF92" s="98"/>
      <c r="AG92" s="98"/>
      <c r="AH92" s="98"/>
      <c r="AI92" s="98"/>
      <c r="AJ92" s="98"/>
      <c r="AK92" s="98"/>
      <c r="AL92" s="98"/>
      <c r="AM92" s="98"/>
      <c r="AN92" s="98"/>
      <c r="AO92" s="98"/>
      <c r="AP92" s="98"/>
      <c r="AQ92" s="98"/>
      <c r="AR92" s="98"/>
      <c r="AS92" s="98"/>
    </row>
    <row r="93" spans="1:45" s="4" customFormat="1">
      <c r="A93" s="93" t="s">
        <v>919</v>
      </c>
      <c r="B93" s="94">
        <v>680487044065</v>
      </c>
      <c r="C93" s="95" t="s">
        <v>920</v>
      </c>
      <c r="D93">
        <v>0</v>
      </c>
      <c r="E93" s="96"/>
      <c r="F93" s="97"/>
      <c r="G93" s="98"/>
      <c r="H93" s="99" t="s">
        <v>283</v>
      </c>
      <c r="I93" s="100"/>
      <c r="J93" s="101"/>
      <c r="K93" s="102"/>
      <c r="L93" s="102"/>
      <c r="M93" s="102"/>
      <c r="N93" s="98"/>
      <c r="O93" s="98"/>
      <c r="P93" s="98"/>
      <c r="Q93" s="98"/>
      <c r="R93" s="98"/>
      <c r="S93" s="98"/>
      <c r="T93" s="98"/>
      <c r="U93" s="109"/>
      <c r="V93" s="103"/>
      <c r="W93" s="107"/>
      <c r="X93" s="108" t="s">
        <v>1440</v>
      </c>
      <c r="Y93" s="96"/>
      <c r="Z93" s="98"/>
      <c r="AA93" s="98"/>
      <c r="AB93" s="98"/>
      <c r="AC93" s="98"/>
      <c r="AD93" s="98"/>
      <c r="AE93" s="98"/>
      <c r="AF93" s="98"/>
      <c r="AG93" s="98"/>
      <c r="AH93" s="98"/>
      <c r="AI93" s="98"/>
      <c r="AJ93" s="98"/>
      <c r="AK93" s="98"/>
      <c r="AL93" s="98"/>
      <c r="AM93" s="98"/>
      <c r="AN93" s="98"/>
      <c r="AO93" s="98"/>
      <c r="AP93" s="98"/>
      <c r="AQ93" s="98"/>
      <c r="AR93" s="98"/>
      <c r="AS93" s="98"/>
    </row>
    <row r="94" spans="1:45" s="4" customFormat="1">
      <c r="A94" s="93" t="s">
        <v>919</v>
      </c>
      <c r="B94" s="94">
        <v>680487045451</v>
      </c>
      <c r="C94" s="95" t="s">
        <v>920</v>
      </c>
      <c r="D94">
        <v>0</v>
      </c>
      <c r="E94" s="96"/>
      <c r="F94" s="97"/>
      <c r="G94" s="98"/>
      <c r="H94" s="99" t="s">
        <v>284</v>
      </c>
      <c r="I94" s="100"/>
      <c r="J94" s="101"/>
      <c r="K94" s="102"/>
      <c r="L94" s="102"/>
      <c r="M94" s="102"/>
      <c r="N94" s="98"/>
      <c r="O94" s="98"/>
      <c r="P94" s="98"/>
      <c r="Q94" s="98"/>
      <c r="R94" s="98"/>
      <c r="S94" s="98"/>
      <c r="T94" s="98"/>
      <c r="U94" s="109"/>
      <c r="V94" s="103"/>
      <c r="W94" s="107"/>
      <c r="X94" s="108" t="s">
        <v>1440</v>
      </c>
      <c r="Y94" s="96"/>
      <c r="Z94" s="98"/>
      <c r="AA94" s="98"/>
      <c r="AB94" s="98"/>
      <c r="AC94" s="98"/>
      <c r="AD94" s="98"/>
      <c r="AE94" s="98"/>
      <c r="AF94" s="98"/>
      <c r="AG94" s="98"/>
      <c r="AH94" s="98"/>
      <c r="AI94" s="98"/>
      <c r="AJ94" s="98"/>
      <c r="AK94" s="98"/>
      <c r="AL94" s="98"/>
      <c r="AM94" s="98"/>
      <c r="AN94" s="98"/>
      <c r="AO94" s="98"/>
      <c r="AP94" s="98"/>
      <c r="AQ94" s="98"/>
      <c r="AR94" s="98"/>
      <c r="AS94" s="98"/>
    </row>
    <row r="95" spans="1:45" s="4" customFormat="1">
      <c r="A95" s="93" t="s">
        <v>919</v>
      </c>
      <c r="B95" s="94">
        <v>680487045932</v>
      </c>
      <c r="C95" s="95" t="s">
        <v>920</v>
      </c>
      <c r="D95">
        <v>0</v>
      </c>
      <c r="E95" s="96"/>
      <c r="F95" s="97"/>
      <c r="G95" s="98"/>
      <c r="H95" s="99" t="s">
        <v>652</v>
      </c>
      <c r="I95" s="100"/>
      <c r="J95" s="101"/>
      <c r="K95" s="102"/>
      <c r="L95" s="102"/>
      <c r="M95" s="102"/>
      <c r="N95" s="98"/>
      <c r="O95" s="98"/>
      <c r="P95" s="98"/>
      <c r="Q95" s="98"/>
      <c r="R95" s="98"/>
      <c r="S95" s="98"/>
      <c r="T95" s="98"/>
      <c r="U95" s="109"/>
      <c r="V95" s="103"/>
      <c r="W95" s="107"/>
      <c r="X95" s="108" t="s">
        <v>1440</v>
      </c>
      <c r="Y95" s="96"/>
      <c r="Z95" s="98"/>
      <c r="AA95" s="98"/>
      <c r="AB95" s="98"/>
      <c r="AC95" s="98"/>
      <c r="AD95" s="98"/>
      <c r="AE95" s="98"/>
      <c r="AF95" s="98"/>
      <c r="AG95" s="98"/>
      <c r="AH95" s="98"/>
      <c r="AI95" s="98"/>
      <c r="AJ95" s="98"/>
      <c r="AK95" s="98"/>
      <c r="AL95" s="98"/>
      <c r="AM95" s="98"/>
      <c r="AN95" s="98"/>
      <c r="AO95" s="98"/>
      <c r="AP95" s="98"/>
      <c r="AQ95" s="98"/>
      <c r="AR95" s="98"/>
      <c r="AS95" s="98"/>
    </row>
    <row r="96" spans="1:45" s="4" customFormat="1">
      <c r="A96" s="93" t="s">
        <v>919</v>
      </c>
      <c r="B96" s="94">
        <v>680487045079</v>
      </c>
      <c r="C96" s="95" t="s">
        <v>920</v>
      </c>
      <c r="D96">
        <v>0</v>
      </c>
      <c r="E96" s="96"/>
      <c r="F96" s="97"/>
      <c r="G96" s="98"/>
      <c r="H96" s="99" t="s">
        <v>285</v>
      </c>
      <c r="I96" s="100"/>
      <c r="J96" s="101"/>
      <c r="K96" s="102"/>
      <c r="L96" s="102"/>
      <c r="M96" s="102"/>
      <c r="N96" s="98"/>
      <c r="O96" s="98"/>
      <c r="P96" s="98"/>
      <c r="Q96" s="98"/>
      <c r="R96" s="98"/>
      <c r="S96" s="98"/>
      <c r="T96" s="98"/>
      <c r="U96" s="109"/>
      <c r="V96" s="103"/>
      <c r="W96" s="107"/>
      <c r="X96" s="108" t="s">
        <v>1440</v>
      </c>
      <c r="Y96" s="96"/>
      <c r="Z96" s="98"/>
      <c r="AA96" s="98"/>
      <c r="AB96" s="98"/>
      <c r="AC96" s="98"/>
      <c r="AD96" s="98"/>
      <c r="AE96" s="98"/>
      <c r="AF96" s="98"/>
      <c r="AG96" s="98"/>
      <c r="AH96" s="98"/>
      <c r="AI96" s="98"/>
      <c r="AJ96" s="98"/>
      <c r="AK96" s="98"/>
      <c r="AL96" s="98"/>
      <c r="AM96" s="98"/>
      <c r="AN96" s="98"/>
      <c r="AO96" s="98"/>
      <c r="AP96" s="98"/>
      <c r="AQ96" s="98"/>
      <c r="AR96" s="98"/>
      <c r="AS96" s="98"/>
    </row>
    <row r="97" spans="1:45" s="4" customFormat="1">
      <c r="A97" s="93" t="s">
        <v>919</v>
      </c>
      <c r="B97" s="94">
        <v>680487045291</v>
      </c>
      <c r="C97" s="95" t="s">
        <v>920</v>
      </c>
      <c r="D97">
        <v>0</v>
      </c>
      <c r="E97" s="96"/>
      <c r="F97" s="97"/>
      <c r="G97" s="98"/>
      <c r="H97" s="99" t="s">
        <v>653</v>
      </c>
      <c r="I97" s="100"/>
      <c r="J97" s="101"/>
      <c r="K97" s="102"/>
      <c r="L97" s="102"/>
      <c r="M97" s="102"/>
      <c r="N97" s="98"/>
      <c r="O97" s="98"/>
      <c r="P97" s="98"/>
      <c r="Q97" s="98"/>
      <c r="R97" s="98"/>
      <c r="S97" s="98"/>
      <c r="T97" s="98"/>
      <c r="U97" s="109"/>
      <c r="V97" s="103"/>
      <c r="W97" s="107"/>
      <c r="X97" s="108" t="s">
        <v>1440</v>
      </c>
      <c r="Y97" s="96"/>
      <c r="Z97" s="98"/>
      <c r="AA97" s="98"/>
      <c r="AB97" s="98"/>
      <c r="AC97" s="98"/>
      <c r="AD97" s="98"/>
      <c r="AE97" s="98"/>
      <c r="AF97" s="98"/>
      <c r="AG97" s="98"/>
      <c r="AH97" s="98"/>
      <c r="AI97" s="98"/>
      <c r="AJ97" s="98"/>
      <c r="AK97" s="98"/>
      <c r="AL97" s="98"/>
      <c r="AM97" s="98"/>
      <c r="AN97" s="98"/>
      <c r="AO97" s="98"/>
      <c r="AP97" s="98"/>
      <c r="AQ97" s="98"/>
      <c r="AR97" s="98"/>
      <c r="AS97" s="98"/>
    </row>
    <row r="98" spans="1:45" s="4" customFormat="1">
      <c r="A98" s="93" t="s">
        <v>919</v>
      </c>
      <c r="B98" s="94">
        <v>680487045598</v>
      </c>
      <c r="C98" s="95" t="s">
        <v>920</v>
      </c>
      <c r="D98">
        <v>0</v>
      </c>
      <c r="E98" s="96"/>
      <c r="F98" s="97"/>
      <c r="G98" s="98"/>
      <c r="H98" s="99" t="s">
        <v>286</v>
      </c>
      <c r="I98" s="100"/>
      <c r="J98" s="101"/>
      <c r="K98" s="102"/>
      <c r="L98" s="102"/>
      <c r="M98" s="102"/>
      <c r="N98" s="98"/>
      <c r="O98" s="98"/>
      <c r="P98" s="98"/>
      <c r="Q98" s="98"/>
      <c r="R98" s="98"/>
      <c r="S98" s="98"/>
      <c r="T98" s="98"/>
      <c r="U98" s="109"/>
      <c r="V98" s="103"/>
      <c r="W98" s="107"/>
      <c r="X98" s="108" t="s">
        <v>1440</v>
      </c>
      <c r="Y98" s="96"/>
      <c r="Z98" s="98"/>
      <c r="AA98" s="98"/>
      <c r="AB98" s="98"/>
      <c r="AC98" s="98"/>
      <c r="AD98" s="98"/>
      <c r="AE98" s="98"/>
      <c r="AF98" s="98"/>
      <c r="AG98" s="98"/>
      <c r="AH98" s="98"/>
      <c r="AI98" s="98"/>
      <c r="AJ98" s="98"/>
      <c r="AK98" s="98"/>
      <c r="AL98" s="98"/>
      <c r="AM98" s="98"/>
      <c r="AN98" s="98"/>
      <c r="AO98" s="98"/>
      <c r="AP98" s="98"/>
      <c r="AQ98" s="98"/>
      <c r="AR98" s="98"/>
      <c r="AS98" s="98"/>
    </row>
    <row r="99" spans="1:45" s="4" customFormat="1">
      <c r="A99" s="93" t="s">
        <v>919</v>
      </c>
      <c r="B99" s="94">
        <v>680487045093</v>
      </c>
      <c r="C99" s="95" t="s">
        <v>920</v>
      </c>
      <c r="D99">
        <v>0</v>
      </c>
      <c r="E99" s="96"/>
      <c r="F99" s="97"/>
      <c r="G99" s="98"/>
      <c r="H99" s="99" t="s">
        <v>287</v>
      </c>
      <c r="I99" s="100"/>
      <c r="J99" s="101"/>
      <c r="K99" s="102"/>
      <c r="L99" s="102"/>
      <c r="M99" s="102"/>
      <c r="N99" s="98"/>
      <c r="O99" s="98"/>
      <c r="P99" s="98"/>
      <c r="Q99" s="98"/>
      <c r="R99" s="98"/>
      <c r="S99" s="98"/>
      <c r="T99" s="98"/>
      <c r="U99" s="109"/>
      <c r="V99" s="103"/>
      <c r="W99" s="107"/>
      <c r="X99" s="108" t="s">
        <v>1440</v>
      </c>
      <c r="Y99" s="96"/>
      <c r="Z99" s="98"/>
      <c r="AA99" s="98"/>
      <c r="AB99" s="98"/>
      <c r="AC99" s="98"/>
      <c r="AD99" s="98"/>
      <c r="AE99" s="98"/>
      <c r="AF99" s="98"/>
      <c r="AG99" s="98"/>
      <c r="AH99" s="98"/>
      <c r="AI99" s="98"/>
      <c r="AJ99" s="98"/>
      <c r="AK99" s="98"/>
      <c r="AL99" s="98"/>
      <c r="AM99" s="98"/>
      <c r="AN99" s="98"/>
      <c r="AO99" s="98"/>
      <c r="AP99" s="98"/>
      <c r="AQ99" s="98"/>
      <c r="AR99" s="98"/>
      <c r="AS99" s="98"/>
    </row>
    <row r="100" spans="1:45" s="4" customFormat="1">
      <c r="A100" s="93" t="s">
        <v>919</v>
      </c>
      <c r="B100" s="94">
        <v>680487045352</v>
      </c>
      <c r="C100" s="95" t="s">
        <v>920</v>
      </c>
      <c r="D100">
        <v>0</v>
      </c>
      <c r="E100" s="96"/>
      <c r="F100" s="97"/>
      <c r="G100" s="98"/>
      <c r="H100" s="99" t="s">
        <v>654</v>
      </c>
      <c r="I100" s="100"/>
      <c r="J100" s="101"/>
      <c r="K100" s="102"/>
      <c r="L100" s="102"/>
      <c r="M100" s="102"/>
      <c r="N100" s="98"/>
      <c r="O100" s="98"/>
      <c r="P100" s="98"/>
      <c r="Q100" s="98"/>
      <c r="R100" s="98"/>
      <c r="S100" s="98"/>
      <c r="T100" s="98"/>
      <c r="U100" s="109"/>
      <c r="V100" s="103"/>
      <c r="W100" s="107"/>
      <c r="X100" s="108" t="s">
        <v>1440</v>
      </c>
      <c r="Y100" s="96"/>
      <c r="Z100" s="98"/>
      <c r="AA100" s="98"/>
      <c r="AB100" s="98"/>
      <c r="AC100" s="98"/>
      <c r="AD100" s="98"/>
      <c r="AE100" s="98"/>
      <c r="AF100" s="98"/>
      <c r="AG100" s="98"/>
      <c r="AH100" s="98"/>
      <c r="AI100" s="98"/>
      <c r="AJ100" s="98"/>
      <c r="AK100" s="98"/>
      <c r="AL100" s="98"/>
      <c r="AM100" s="98"/>
      <c r="AN100" s="98"/>
      <c r="AO100" s="98"/>
      <c r="AP100" s="98"/>
      <c r="AQ100" s="98"/>
      <c r="AR100" s="98"/>
      <c r="AS100" s="98"/>
    </row>
    <row r="101" spans="1:45" s="4" customFormat="1">
      <c r="A101" s="93" t="s">
        <v>919</v>
      </c>
      <c r="B101" s="94">
        <v>680487044522</v>
      </c>
      <c r="C101" s="95" t="s">
        <v>920</v>
      </c>
      <c r="D101">
        <v>0</v>
      </c>
      <c r="E101" s="96"/>
      <c r="F101" s="97"/>
      <c r="G101" s="98"/>
      <c r="H101" s="99" t="s">
        <v>288</v>
      </c>
      <c r="I101" s="100"/>
      <c r="J101" s="101"/>
      <c r="K101" s="102"/>
      <c r="L101" s="102"/>
      <c r="M101" s="102"/>
      <c r="N101" s="98"/>
      <c r="O101" s="98"/>
      <c r="P101" s="98"/>
      <c r="Q101" s="98"/>
      <c r="R101" s="98"/>
      <c r="S101" s="98"/>
      <c r="T101" s="98"/>
      <c r="U101" s="109"/>
      <c r="V101" s="103"/>
      <c r="W101" s="107"/>
      <c r="X101" s="108" t="s">
        <v>1440</v>
      </c>
      <c r="Y101" s="96"/>
      <c r="Z101" s="98"/>
      <c r="AA101" s="98"/>
      <c r="AB101" s="98"/>
      <c r="AC101" s="98"/>
      <c r="AD101" s="98"/>
      <c r="AE101" s="98"/>
      <c r="AF101" s="98"/>
      <c r="AG101" s="98"/>
      <c r="AH101" s="98"/>
      <c r="AI101" s="98"/>
      <c r="AJ101" s="98"/>
      <c r="AK101" s="98"/>
      <c r="AL101" s="98"/>
      <c r="AM101" s="98"/>
      <c r="AN101" s="98"/>
      <c r="AO101" s="98"/>
      <c r="AP101" s="98"/>
      <c r="AQ101" s="98"/>
      <c r="AR101" s="98"/>
      <c r="AS101" s="98"/>
    </row>
    <row r="102" spans="1:45" s="4" customFormat="1">
      <c r="A102" s="93" t="s">
        <v>919</v>
      </c>
      <c r="B102" s="94">
        <v>680487045871</v>
      </c>
      <c r="C102" s="95" t="s">
        <v>920</v>
      </c>
      <c r="D102">
        <v>0</v>
      </c>
      <c r="E102" s="96"/>
      <c r="F102" s="97"/>
      <c r="G102" s="98"/>
      <c r="H102" s="99" t="s">
        <v>655</v>
      </c>
      <c r="I102" s="100"/>
      <c r="J102" s="101"/>
      <c r="K102" s="102"/>
      <c r="L102" s="102"/>
      <c r="M102" s="102"/>
      <c r="N102" s="98"/>
      <c r="O102" s="98"/>
      <c r="P102" s="98"/>
      <c r="Q102" s="98"/>
      <c r="R102" s="98"/>
      <c r="S102" s="98"/>
      <c r="T102" s="98"/>
      <c r="U102" s="109"/>
      <c r="V102" s="103"/>
      <c r="W102" s="107"/>
      <c r="X102" s="108" t="s">
        <v>1440</v>
      </c>
      <c r="Y102" s="96"/>
      <c r="Z102" s="98"/>
      <c r="AA102" s="98"/>
      <c r="AB102" s="98"/>
      <c r="AC102" s="98"/>
      <c r="AD102" s="98"/>
      <c r="AE102" s="98"/>
      <c r="AF102" s="98"/>
      <c r="AG102" s="98"/>
      <c r="AH102" s="98"/>
      <c r="AI102" s="98"/>
      <c r="AJ102" s="98"/>
      <c r="AK102" s="98"/>
      <c r="AL102" s="98"/>
      <c r="AM102" s="98"/>
      <c r="AN102" s="98"/>
      <c r="AO102" s="98"/>
      <c r="AP102" s="98"/>
      <c r="AQ102" s="98"/>
      <c r="AR102" s="98"/>
      <c r="AS102" s="98"/>
    </row>
    <row r="103" spans="1:45" s="4" customFormat="1">
      <c r="A103" s="93" t="s">
        <v>919</v>
      </c>
      <c r="B103" s="94">
        <v>680487044669</v>
      </c>
      <c r="C103" s="95" t="s">
        <v>920</v>
      </c>
      <c r="D103">
        <v>0</v>
      </c>
      <c r="E103" s="96"/>
      <c r="F103" s="97"/>
      <c r="G103" s="98"/>
      <c r="H103" s="99" t="s">
        <v>289</v>
      </c>
      <c r="I103" s="100"/>
      <c r="J103" s="101"/>
      <c r="K103" s="102"/>
      <c r="L103" s="102"/>
      <c r="M103" s="102"/>
      <c r="N103" s="98"/>
      <c r="O103" s="98"/>
      <c r="P103" s="98"/>
      <c r="Q103" s="98"/>
      <c r="R103" s="98"/>
      <c r="S103" s="98"/>
      <c r="T103" s="98"/>
      <c r="U103" s="109"/>
      <c r="V103" s="103"/>
      <c r="W103" s="107"/>
      <c r="X103" s="108" t="s">
        <v>1440</v>
      </c>
      <c r="Y103" s="96"/>
      <c r="Z103" s="98"/>
      <c r="AA103" s="98"/>
      <c r="AB103" s="98"/>
      <c r="AC103" s="98"/>
      <c r="AD103" s="98"/>
      <c r="AE103" s="98"/>
      <c r="AF103" s="98"/>
      <c r="AG103" s="98"/>
      <c r="AH103" s="98"/>
      <c r="AI103" s="98"/>
      <c r="AJ103" s="98"/>
      <c r="AK103" s="98"/>
      <c r="AL103" s="98"/>
      <c r="AM103" s="98"/>
      <c r="AN103" s="98"/>
      <c r="AO103" s="98"/>
      <c r="AP103" s="98"/>
      <c r="AQ103" s="98"/>
      <c r="AR103" s="98"/>
      <c r="AS103" s="98"/>
    </row>
    <row r="104" spans="1:45" s="4" customFormat="1">
      <c r="A104" s="93" t="s">
        <v>919</v>
      </c>
      <c r="B104" s="94">
        <v>680487165913</v>
      </c>
      <c r="C104" s="95" t="s">
        <v>920</v>
      </c>
      <c r="D104">
        <v>0</v>
      </c>
      <c r="E104" s="96"/>
      <c r="F104" s="97"/>
      <c r="G104" s="98"/>
      <c r="H104" s="99" t="s">
        <v>290</v>
      </c>
      <c r="I104" s="100"/>
      <c r="J104" s="101"/>
      <c r="K104" s="102"/>
      <c r="L104" s="102"/>
      <c r="M104" s="102"/>
      <c r="N104" s="98"/>
      <c r="O104" s="98"/>
      <c r="P104" s="98"/>
      <c r="Q104" s="98"/>
      <c r="R104" s="98"/>
      <c r="S104" s="98"/>
      <c r="T104" s="98"/>
      <c r="U104" s="109"/>
      <c r="V104" s="103"/>
      <c r="W104" s="107"/>
      <c r="X104" s="108" t="s">
        <v>1440</v>
      </c>
      <c r="Y104" s="96"/>
      <c r="Z104" s="98"/>
      <c r="AA104" s="98"/>
      <c r="AB104" s="98"/>
      <c r="AC104" s="98"/>
      <c r="AD104" s="98"/>
      <c r="AE104" s="98"/>
      <c r="AF104" s="98"/>
      <c r="AG104" s="98"/>
      <c r="AH104" s="98"/>
      <c r="AI104" s="98"/>
      <c r="AJ104" s="98"/>
      <c r="AK104" s="98"/>
      <c r="AL104" s="98"/>
      <c r="AM104" s="98"/>
      <c r="AN104" s="98"/>
      <c r="AO104" s="98"/>
      <c r="AP104" s="98"/>
      <c r="AQ104" s="98"/>
      <c r="AR104" s="98"/>
      <c r="AS104" s="98"/>
    </row>
    <row r="105" spans="1:45" s="4" customFormat="1">
      <c r="A105" s="93" t="s">
        <v>919</v>
      </c>
      <c r="B105" s="94">
        <v>680487044102</v>
      </c>
      <c r="C105" s="95" t="s">
        <v>920</v>
      </c>
      <c r="D105">
        <v>0</v>
      </c>
      <c r="E105" s="96"/>
      <c r="F105" s="97"/>
      <c r="G105" s="98"/>
      <c r="H105" s="99" t="s">
        <v>291</v>
      </c>
      <c r="I105" s="100"/>
      <c r="J105" s="101"/>
      <c r="K105" s="102"/>
      <c r="L105" s="102"/>
      <c r="M105" s="102"/>
      <c r="N105" s="98"/>
      <c r="O105" s="98"/>
      <c r="P105" s="98"/>
      <c r="Q105" s="98"/>
      <c r="R105" s="98"/>
      <c r="S105" s="98"/>
      <c r="T105" s="98"/>
      <c r="U105" s="109"/>
      <c r="V105" s="103"/>
      <c r="W105" s="107"/>
      <c r="X105" s="108" t="s">
        <v>1440</v>
      </c>
      <c r="Y105" s="96"/>
      <c r="Z105" s="98"/>
      <c r="AA105" s="98"/>
      <c r="AB105" s="98"/>
      <c r="AC105" s="98"/>
      <c r="AD105" s="98"/>
      <c r="AE105" s="98"/>
      <c r="AF105" s="98"/>
      <c r="AG105" s="98"/>
      <c r="AH105" s="98"/>
      <c r="AI105" s="98"/>
      <c r="AJ105" s="98"/>
      <c r="AK105" s="98"/>
      <c r="AL105" s="98"/>
      <c r="AM105" s="98"/>
      <c r="AN105" s="98"/>
      <c r="AO105" s="98"/>
      <c r="AP105" s="98"/>
      <c r="AQ105" s="98"/>
      <c r="AR105" s="98"/>
      <c r="AS105" s="98"/>
    </row>
    <row r="106" spans="1:45" s="4" customFormat="1">
      <c r="A106" s="93" t="s">
        <v>919</v>
      </c>
      <c r="B106" s="94">
        <v>680487044744</v>
      </c>
      <c r="C106" s="95" t="s">
        <v>920</v>
      </c>
      <c r="D106">
        <v>0</v>
      </c>
      <c r="E106" s="96"/>
      <c r="F106" s="97"/>
      <c r="G106" s="98"/>
      <c r="H106" s="99" t="s">
        <v>292</v>
      </c>
      <c r="I106" s="100"/>
      <c r="J106" s="101"/>
      <c r="K106" s="102"/>
      <c r="L106" s="102"/>
      <c r="M106" s="102"/>
      <c r="N106" s="98"/>
      <c r="O106" s="98"/>
      <c r="P106" s="98"/>
      <c r="Q106" s="98"/>
      <c r="R106" s="98"/>
      <c r="S106" s="98"/>
      <c r="T106" s="98"/>
      <c r="U106" s="109"/>
      <c r="V106" s="103"/>
      <c r="W106" s="107"/>
      <c r="X106" s="108" t="s">
        <v>1440</v>
      </c>
      <c r="Y106" s="96"/>
      <c r="Z106" s="98"/>
      <c r="AA106" s="98"/>
      <c r="AB106" s="98"/>
      <c r="AC106" s="98"/>
      <c r="AD106" s="98"/>
      <c r="AE106" s="98"/>
      <c r="AF106" s="98"/>
      <c r="AG106" s="98"/>
      <c r="AH106" s="98"/>
      <c r="AI106" s="98"/>
      <c r="AJ106" s="98"/>
      <c r="AK106" s="98"/>
      <c r="AL106" s="98"/>
      <c r="AM106" s="98"/>
      <c r="AN106" s="98"/>
      <c r="AO106" s="98"/>
      <c r="AP106" s="98"/>
      <c r="AQ106" s="98"/>
      <c r="AR106" s="98"/>
      <c r="AS106" s="98"/>
    </row>
    <row r="107" spans="1:45" s="4" customFormat="1">
      <c r="A107" s="93" t="s">
        <v>919</v>
      </c>
      <c r="B107" s="94">
        <v>680487045833</v>
      </c>
      <c r="C107" s="95" t="s">
        <v>920</v>
      </c>
      <c r="D107">
        <v>0</v>
      </c>
      <c r="E107" s="96"/>
      <c r="F107" s="97"/>
      <c r="G107" s="98"/>
      <c r="H107" s="99" t="s">
        <v>1292</v>
      </c>
      <c r="I107" s="100"/>
      <c r="J107" s="101"/>
      <c r="K107" s="102"/>
      <c r="L107" s="102"/>
      <c r="M107" s="102"/>
      <c r="N107" s="98"/>
      <c r="O107" s="98"/>
      <c r="P107" s="98"/>
      <c r="Q107" s="98"/>
      <c r="R107" s="98"/>
      <c r="S107" s="98"/>
      <c r="T107" s="98"/>
      <c r="U107" s="109"/>
      <c r="V107" s="103"/>
      <c r="W107" s="107"/>
      <c r="X107" s="108" t="s">
        <v>1440</v>
      </c>
      <c r="Y107" s="96"/>
      <c r="Z107" s="98"/>
      <c r="AA107" s="98"/>
      <c r="AB107" s="98"/>
      <c r="AC107" s="98"/>
      <c r="AD107" s="98"/>
      <c r="AE107" s="98"/>
      <c r="AF107" s="98"/>
      <c r="AG107" s="98"/>
      <c r="AH107" s="98"/>
      <c r="AI107" s="98"/>
      <c r="AJ107" s="98"/>
      <c r="AK107" s="98"/>
      <c r="AL107" s="98"/>
      <c r="AM107" s="98"/>
      <c r="AN107" s="98"/>
      <c r="AO107" s="98"/>
      <c r="AP107" s="98"/>
      <c r="AQ107" s="98"/>
      <c r="AR107" s="98"/>
      <c r="AS107" s="98"/>
    </row>
    <row r="108" spans="1:45" s="4" customFormat="1">
      <c r="A108" s="93" t="s">
        <v>919</v>
      </c>
      <c r="B108" s="94">
        <v>680487045031</v>
      </c>
      <c r="C108" s="95" t="s">
        <v>920</v>
      </c>
      <c r="D108">
        <v>0</v>
      </c>
      <c r="E108" s="96"/>
      <c r="F108" s="97"/>
      <c r="G108" s="98"/>
      <c r="H108" s="99" t="s">
        <v>293</v>
      </c>
      <c r="I108" s="100"/>
      <c r="J108" s="101"/>
      <c r="K108" s="102"/>
      <c r="L108" s="102"/>
      <c r="M108" s="102"/>
      <c r="N108" s="98"/>
      <c r="O108" s="98"/>
      <c r="P108" s="98"/>
      <c r="Q108" s="98"/>
      <c r="R108" s="98"/>
      <c r="S108" s="98"/>
      <c r="T108" s="98"/>
      <c r="U108" s="109"/>
      <c r="V108" s="103"/>
      <c r="W108" s="107"/>
      <c r="X108" s="108" t="s">
        <v>1440</v>
      </c>
      <c r="Y108" s="96"/>
      <c r="Z108" s="98"/>
      <c r="AA108" s="98"/>
      <c r="AB108" s="98"/>
      <c r="AC108" s="98"/>
      <c r="AD108" s="98"/>
      <c r="AE108" s="98"/>
      <c r="AF108" s="98"/>
      <c r="AG108" s="98"/>
      <c r="AH108" s="98"/>
      <c r="AI108" s="98"/>
      <c r="AJ108" s="98"/>
      <c r="AK108" s="98"/>
      <c r="AL108" s="98"/>
      <c r="AM108" s="98"/>
      <c r="AN108" s="98"/>
      <c r="AO108" s="98"/>
      <c r="AP108" s="98"/>
      <c r="AQ108" s="98"/>
      <c r="AR108" s="98"/>
      <c r="AS108" s="98"/>
    </row>
    <row r="109" spans="1:45" s="4" customFormat="1">
      <c r="A109" s="93" t="s">
        <v>919</v>
      </c>
      <c r="B109" s="94">
        <v>680034189959</v>
      </c>
      <c r="C109" s="95" t="s">
        <v>920</v>
      </c>
      <c r="D109">
        <v>0</v>
      </c>
      <c r="E109" s="96"/>
      <c r="F109" s="97"/>
      <c r="G109" s="98"/>
      <c r="H109" s="99" t="s">
        <v>656</v>
      </c>
      <c r="I109" s="100"/>
      <c r="J109" s="101"/>
      <c r="K109" s="102"/>
      <c r="L109" s="102"/>
      <c r="M109" s="102"/>
      <c r="N109" s="98"/>
      <c r="O109" s="98"/>
      <c r="P109" s="98"/>
      <c r="Q109" s="98"/>
      <c r="R109" s="98"/>
      <c r="S109" s="98"/>
      <c r="T109" s="98"/>
      <c r="U109" s="109"/>
      <c r="V109" s="103"/>
      <c r="W109" s="107"/>
      <c r="X109" s="108" t="s">
        <v>1440</v>
      </c>
      <c r="Y109" s="96"/>
      <c r="Z109" s="98"/>
      <c r="AA109" s="98"/>
      <c r="AB109" s="98"/>
      <c r="AC109" s="98"/>
      <c r="AD109" s="98"/>
      <c r="AE109" s="98"/>
      <c r="AF109" s="98"/>
      <c r="AG109" s="98"/>
      <c r="AH109" s="98"/>
      <c r="AI109" s="98"/>
      <c r="AJ109" s="98"/>
      <c r="AK109" s="98"/>
      <c r="AL109" s="98"/>
      <c r="AM109" s="98"/>
      <c r="AN109" s="98"/>
      <c r="AO109" s="98"/>
      <c r="AP109" s="98"/>
      <c r="AQ109" s="98"/>
      <c r="AR109" s="98"/>
      <c r="AS109" s="98"/>
    </row>
    <row r="110" spans="1:45" s="4" customFormat="1">
      <c r="A110" s="93" t="s">
        <v>919</v>
      </c>
      <c r="B110" s="94">
        <v>680487044317</v>
      </c>
      <c r="C110" s="95" t="s">
        <v>920</v>
      </c>
      <c r="D110">
        <v>0</v>
      </c>
      <c r="E110" s="96"/>
      <c r="F110" s="97"/>
      <c r="G110" s="98"/>
      <c r="H110" s="99" t="s">
        <v>294</v>
      </c>
      <c r="I110" s="100"/>
      <c r="J110" s="101"/>
      <c r="K110" s="102"/>
      <c r="L110" s="102"/>
      <c r="M110" s="102"/>
      <c r="N110" s="98"/>
      <c r="O110" s="98"/>
      <c r="P110" s="98"/>
      <c r="Q110" s="98"/>
      <c r="R110" s="98"/>
      <c r="S110" s="98"/>
      <c r="T110" s="98"/>
      <c r="U110" s="109"/>
      <c r="V110" s="103"/>
      <c r="W110" s="107"/>
      <c r="X110" s="108" t="s">
        <v>1440</v>
      </c>
      <c r="Y110" s="96"/>
      <c r="Z110" s="98"/>
      <c r="AA110" s="98"/>
      <c r="AB110" s="98"/>
      <c r="AC110" s="98"/>
      <c r="AD110" s="98"/>
      <c r="AE110" s="98"/>
      <c r="AF110" s="98"/>
      <c r="AG110" s="98"/>
      <c r="AH110" s="98"/>
      <c r="AI110" s="98"/>
      <c r="AJ110" s="98"/>
      <c r="AK110" s="98"/>
      <c r="AL110" s="98"/>
      <c r="AM110" s="98"/>
      <c r="AN110" s="98"/>
      <c r="AO110" s="98"/>
      <c r="AP110" s="98"/>
      <c r="AQ110" s="98"/>
      <c r="AR110" s="98"/>
      <c r="AS110" s="98"/>
    </row>
    <row r="111" spans="1:45" s="4" customFormat="1">
      <c r="A111" s="93" t="s">
        <v>919</v>
      </c>
      <c r="B111" s="94">
        <v>680487045345</v>
      </c>
      <c r="C111" s="95" t="s">
        <v>920</v>
      </c>
      <c r="D111">
        <v>0</v>
      </c>
      <c r="E111" s="96"/>
      <c r="F111" s="97"/>
      <c r="G111" s="98"/>
      <c r="H111" s="99" t="s">
        <v>295</v>
      </c>
      <c r="I111" s="100"/>
      <c r="J111" s="101"/>
      <c r="K111" s="102"/>
      <c r="L111" s="102"/>
      <c r="M111" s="102"/>
      <c r="N111" s="98"/>
      <c r="O111" s="98"/>
      <c r="P111" s="98"/>
      <c r="Q111" s="98"/>
      <c r="R111" s="98"/>
      <c r="S111" s="98"/>
      <c r="T111" s="98"/>
      <c r="U111" s="109"/>
      <c r="V111" s="103"/>
      <c r="W111" s="107"/>
      <c r="X111" s="108" t="s">
        <v>1440</v>
      </c>
      <c r="Y111" s="96"/>
      <c r="Z111" s="98"/>
      <c r="AA111" s="98"/>
      <c r="AB111" s="98"/>
      <c r="AC111" s="98"/>
      <c r="AD111" s="98"/>
      <c r="AE111" s="98"/>
      <c r="AF111" s="98"/>
      <c r="AG111" s="98"/>
      <c r="AH111" s="98"/>
      <c r="AI111" s="98"/>
      <c r="AJ111" s="98"/>
      <c r="AK111" s="98"/>
      <c r="AL111" s="98"/>
      <c r="AM111" s="98"/>
      <c r="AN111" s="98"/>
      <c r="AO111" s="98"/>
      <c r="AP111" s="98"/>
      <c r="AQ111" s="98"/>
      <c r="AR111" s="98"/>
      <c r="AS111" s="98"/>
    </row>
    <row r="112" spans="1:45" s="4" customFormat="1">
      <c r="A112" s="93" t="s">
        <v>919</v>
      </c>
      <c r="B112" s="94">
        <v>680487043914</v>
      </c>
      <c r="C112" s="95" t="s">
        <v>920</v>
      </c>
      <c r="D112">
        <v>0</v>
      </c>
      <c r="E112" s="96"/>
      <c r="F112" s="97"/>
      <c r="G112" s="98"/>
      <c r="H112" s="99" t="s">
        <v>657</v>
      </c>
      <c r="I112" s="100"/>
      <c r="J112" s="101"/>
      <c r="K112" s="102"/>
      <c r="L112" s="102"/>
      <c r="M112" s="102"/>
      <c r="N112" s="98"/>
      <c r="O112" s="98"/>
      <c r="P112" s="98"/>
      <c r="Q112" s="98"/>
      <c r="R112" s="98"/>
      <c r="S112" s="98"/>
      <c r="T112" s="98"/>
      <c r="U112" s="109"/>
      <c r="V112" s="103"/>
      <c r="W112" s="107"/>
      <c r="X112" s="108" t="s">
        <v>1440</v>
      </c>
      <c r="Y112" s="96"/>
      <c r="Z112" s="98"/>
      <c r="AA112" s="98"/>
      <c r="AB112" s="98"/>
      <c r="AC112" s="98"/>
      <c r="AD112" s="98"/>
      <c r="AE112" s="98"/>
      <c r="AF112" s="98"/>
      <c r="AG112" s="98"/>
      <c r="AH112" s="98"/>
      <c r="AI112" s="98"/>
      <c r="AJ112" s="98"/>
      <c r="AK112" s="98"/>
      <c r="AL112" s="98"/>
      <c r="AM112" s="98"/>
      <c r="AN112" s="98"/>
      <c r="AO112" s="98"/>
      <c r="AP112" s="98"/>
      <c r="AQ112" s="98"/>
      <c r="AR112" s="98"/>
      <c r="AS112" s="98"/>
    </row>
    <row r="113" spans="1:45" s="4" customFormat="1">
      <c r="A113" s="93" t="s">
        <v>919</v>
      </c>
      <c r="B113" s="94">
        <v>680487043853</v>
      </c>
      <c r="C113" s="95" t="s">
        <v>920</v>
      </c>
      <c r="D113">
        <v>0</v>
      </c>
      <c r="E113" s="96"/>
      <c r="F113" s="97"/>
      <c r="G113" s="98"/>
      <c r="H113" s="99" t="s">
        <v>296</v>
      </c>
      <c r="I113" s="100"/>
      <c r="J113" s="101"/>
      <c r="K113" s="102"/>
      <c r="L113" s="102"/>
      <c r="M113" s="102"/>
      <c r="N113" s="98"/>
      <c r="O113" s="98"/>
      <c r="P113" s="98"/>
      <c r="Q113" s="98"/>
      <c r="R113" s="98"/>
      <c r="S113" s="98"/>
      <c r="T113" s="98"/>
      <c r="U113" s="109"/>
      <c r="V113" s="103"/>
      <c r="W113" s="107"/>
      <c r="X113" s="108" t="s">
        <v>1440</v>
      </c>
      <c r="Y113" s="96"/>
      <c r="Z113" s="98"/>
      <c r="AA113" s="98"/>
      <c r="AB113" s="98"/>
      <c r="AC113" s="98"/>
      <c r="AD113" s="98"/>
      <c r="AE113" s="98"/>
      <c r="AF113" s="98"/>
      <c r="AG113" s="98"/>
      <c r="AH113" s="98"/>
      <c r="AI113" s="98"/>
      <c r="AJ113" s="98"/>
      <c r="AK113" s="98"/>
      <c r="AL113" s="98"/>
      <c r="AM113" s="98"/>
      <c r="AN113" s="98"/>
      <c r="AO113" s="98"/>
      <c r="AP113" s="98"/>
      <c r="AQ113" s="98"/>
      <c r="AR113" s="98"/>
      <c r="AS113" s="98"/>
    </row>
    <row r="114" spans="1:45" s="4" customFormat="1">
      <c r="A114" s="93" t="s">
        <v>919</v>
      </c>
      <c r="B114" s="94">
        <v>680487058642</v>
      </c>
      <c r="C114" s="95" t="s">
        <v>920</v>
      </c>
      <c r="D114">
        <v>0</v>
      </c>
      <c r="E114" s="96"/>
      <c r="F114" s="97"/>
      <c r="G114" s="98"/>
      <c r="H114" s="99" t="s">
        <v>1458</v>
      </c>
      <c r="I114" s="100"/>
      <c r="J114" s="101"/>
      <c r="K114" s="102"/>
      <c r="L114" s="102"/>
      <c r="M114" s="102"/>
      <c r="N114" s="98"/>
      <c r="O114" s="98"/>
      <c r="P114" s="98"/>
      <c r="Q114" s="98"/>
      <c r="R114" s="98"/>
      <c r="S114" s="98"/>
      <c r="T114" s="98"/>
      <c r="U114" s="109"/>
      <c r="V114" s="103"/>
      <c r="W114" s="107"/>
      <c r="X114" s="108" t="s">
        <v>1440</v>
      </c>
      <c r="Y114" s="96"/>
      <c r="Z114" s="98"/>
      <c r="AA114" s="98"/>
      <c r="AB114" s="98"/>
      <c r="AC114" s="98"/>
      <c r="AD114" s="98"/>
      <c r="AE114" s="98"/>
      <c r="AF114" s="98"/>
      <c r="AG114" s="98"/>
      <c r="AH114" s="98"/>
      <c r="AI114" s="98"/>
      <c r="AJ114" s="98"/>
      <c r="AK114" s="98"/>
      <c r="AL114" s="98"/>
      <c r="AM114" s="98"/>
      <c r="AN114" s="98"/>
      <c r="AO114" s="98"/>
      <c r="AP114" s="98"/>
      <c r="AQ114" s="98"/>
      <c r="AR114" s="98"/>
      <c r="AS114" s="98"/>
    </row>
    <row r="115" spans="1:45" s="4" customFormat="1">
      <c r="A115" s="93" t="s">
        <v>919</v>
      </c>
      <c r="B115" s="94">
        <v>680487044270</v>
      </c>
      <c r="C115" s="95" t="s">
        <v>920</v>
      </c>
      <c r="D115">
        <v>0</v>
      </c>
      <c r="E115" s="96"/>
      <c r="F115" s="97"/>
      <c r="G115" s="98"/>
      <c r="H115" s="99" t="s">
        <v>297</v>
      </c>
      <c r="I115" s="100"/>
      <c r="J115" s="101"/>
      <c r="K115" s="102"/>
      <c r="L115" s="102"/>
      <c r="M115" s="102"/>
      <c r="N115" s="98"/>
      <c r="O115" s="98"/>
      <c r="P115" s="98"/>
      <c r="Q115" s="98"/>
      <c r="R115" s="98"/>
      <c r="S115" s="98"/>
      <c r="T115" s="98"/>
      <c r="U115" s="109"/>
      <c r="V115" s="103"/>
      <c r="W115" s="107"/>
      <c r="X115" s="108" t="s">
        <v>1440</v>
      </c>
      <c r="Y115" s="96"/>
      <c r="Z115" s="98"/>
      <c r="AA115" s="98"/>
      <c r="AB115" s="98"/>
      <c r="AC115" s="98"/>
      <c r="AD115" s="98"/>
      <c r="AE115" s="98"/>
      <c r="AF115" s="98"/>
      <c r="AG115" s="98"/>
      <c r="AH115" s="98"/>
      <c r="AI115" s="98"/>
      <c r="AJ115" s="98"/>
      <c r="AK115" s="98"/>
      <c r="AL115" s="98"/>
      <c r="AM115" s="98"/>
      <c r="AN115" s="98"/>
      <c r="AO115" s="98"/>
      <c r="AP115" s="98"/>
      <c r="AQ115" s="98"/>
      <c r="AR115" s="98"/>
      <c r="AS115" s="98"/>
    </row>
    <row r="116" spans="1:45" s="4" customFormat="1">
      <c r="A116" s="93" t="s">
        <v>919</v>
      </c>
      <c r="B116" s="94">
        <v>680487044294</v>
      </c>
      <c r="C116" s="95" t="s">
        <v>920</v>
      </c>
      <c r="D116">
        <v>0</v>
      </c>
      <c r="E116" s="96"/>
      <c r="F116" s="97"/>
      <c r="G116" s="98"/>
      <c r="H116" s="99" t="s">
        <v>298</v>
      </c>
      <c r="I116" s="100"/>
      <c r="J116" s="101"/>
      <c r="K116" s="102"/>
      <c r="L116" s="102"/>
      <c r="M116" s="102"/>
      <c r="N116" s="98"/>
      <c r="O116" s="98"/>
      <c r="P116" s="98"/>
      <c r="Q116" s="98"/>
      <c r="R116" s="98"/>
      <c r="S116" s="98"/>
      <c r="T116" s="98"/>
      <c r="U116" s="109"/>
      <c r="V116" s="103"/>
      <c r="W116" s="107"/>
      <c r="X116" s="108" t="s">
        <v>1440</v>
      </c>
      <c r="Y116" s="96"/>
      <c r="Z116" s="98"/>
      <c r="AA116" s="98"/>
      <c r="AB116" s="98"/>
      <c r="AC116" s="98"/>
      <c r="AD116" s="98"/>
      <c r="AE116" s="98"/>
      <c r="AF116" s="98"/>
      <c r="AG116" s="98"/>
      <c r="AH116" s="98"/>
      <c r="AI116" s="98"/>
      <c r="AJ116" s="98"/>
      <c r="AK116" s="98"/>
      <c r="AL116" s="98"/>
      <c r="AM116" s="98"/>
      <c r="AN116" s="98"/>
      <c r="AO116" s="98"/>
      <c r="AP116" s="98"/>
      <c r="AQ116" s="98"/>
      <c r="AR116" s="98"/>
      <c r="AS116" s="98"/>
    </row>
    <row r="117" spans="1:45" s="4" customFormat="1">
      <c r="A117" s="93" t="s">
        <v>919</v>
      </c>
      <c r="B117" s="94">
        <v>680487044812</v>
      </c>
      <c r="C117" s="95" t="s">
        <v>920</v>
      </c>
      <c r="D117">
        <v>0</v>
      </c>
      <c r="E117" s="96"/>
      <c r="F117" s="97"/>
      <c r="G117" s="98"/>
      <c r="H117" s="99" t="s">
        <v>299</v>
      </c>
      <c r="I117" s="100"/>
      <c r="J117" s="101"/>
      <c r="K117" s="102"/>
      <c r="L117" s="102"/>
      <c r="M117" s="102"/>
      <c r="N117" s="98"/>
      <c r="O117" s="98"/>
      <c r="P117" s="98"/>
      <c r="Q117" s="98"/>
      <c r="R117" s="98"/>
      <c r="S117" s="98"/>
      <c r="T117" s="98"/>
      <c r="U117" s="109"/>
      <c r="V117" s="103"/>
      <c r="W117" s="107"/>
      <c r="X117" s="108" t="s">
        <v>1440</v>
      </c>
      <c r="Y117" s="96"/>
      <c r="Z117" s="98"/>
      <c r="AA117" s="98"/>
      <c r="AB117" s="98"/>
      <c r="AC117" s="98"/>
      <c r="AD117" s="98"/>
      <c r="AE117" s="98"/>
      <c r="AF117" s="98"/>
      <c r="AG117" s="98"/>
      <c r="AH117" s="98"/>
      <c r="AI117" s="98"/>
      <c r="AJ117" s="98"/>
      <c r="AK117" s="98"/>
      <c r="AL117" s="98"/>
      <c r="AM117" s="98"/>
      <c r="AN117" s="98"/>
      <c r="AO117" s="98"/>
      <c r="AP117" s="98"/>
      <c r="AQ117" s="98"/>
      <c r="AR117" s="98"/>
      <c r="AS117" s="98"/>
    </row>
    <row r="118" spans="1:45" s="4" customFormat="1">
      <c r="A118" s="93" t="s">
        <v>919</v>
      </c>
      <c r="B118" s="94">
        <v>680487045826</v>
      </c>
      <c r="C118" s="95" t="s">
        <v>920</v>
      </c>
      <c r="D118">
        <v>0</v>
      </c>
      <c r="E118" s="96"/>
      <c r="F118" s="97"/>
      <c r="G118" s="98"/>
      <c r="H118" s="99" t="s">
        <v>658</v>
      </c>
      <c r="I118" s="100"/>
      <c r="J118" s="101"/>
      <c r="K118" s="102"/>
      <c r="L118" s="102"/>
      <c r="M118" s="102"/>
      <c r="N118" s="98"/>
      <c r="O118" s="98"/>
      <c r="P118" s="98"/>
      <c r="Q118" s="98"/>
      <c r="R118" s="98"/>
      <c r="S118" s="98"/>
      <c r="T118" s="98"/>
      <c r="U118" s="109"/>
      <c r="V118" s="103"/>
      <c r="W118" s="107"/>
      <c r="X118" s="108" t="s">
        <v>1440</v>
      </c>
      <c r="Y118" s="96"/>
      <c r="Z118" s="98"/>
      <c r="AA118" s="98"/>
      <c r="AB118" s="98"/>
      <c r="AC118" s="98"/>
      <c r="AD118" s="98"/>
      <c r="AE118" s="98"/>
      <c r="AF118" s="98"/>
      <c r="AG118" s="98"/>
      <c r="AH118" s="98"/>
      <c r="AI118" s="98"/>
      <c r="AJ118" s="98"/>
      <c r="AK118" s="98"/>
      <c r="AL118" s="98"/>
      <c r="AM118" s="98"/>
      <c r="AN118" s="98"/>
      <c r="AO118" s="98"/>
      <c r="AP118" s="98"/>
      <c r="AQ118" s="98"/>
      <c r="AR118" s="98"/>
      <c r="AS118" s="98"/>
    </row>
    <row r="119" spans="1:45" s="4" customFormat="1">
      <c r="A119" s="93" t="s">
        <v>919</v>
      </c>
      <c r="B119" s="94">
        <v>680487044096</v>
      </c>
      <c r="C119" s="95" t="s">
        <v>920</v>
      </c>
      <c r="D119">
        <v>0</v>
      </c>
      <c r="E119" s="96"/>
      <c r="F119" s="97"/>
      <c r="G119" s="98"/>
      <c r="H119" s="99" t="s">
        <v>300</v>
      </c>
      <c r="I119" s="100"/>
      <c r="J119" s="101"/>
      <c r="K119" s="102"/>
      <c r="L119" s="102"/>
      <c r="M119" s="102"/>
      <c r="N119" s="98"/>
      <c r="O119" s="98"/>
      <c r="P119" s="98"/>
      <c r="Q119" s="98"/>
      <c r="R119" s="98"/>
      <c r="S119" s="98"/>
      <c r="T119" s="98"/>
      <c r="U119" s="109"/>
      <c r="V119" s="103"/>
      <c r="W119" s="107"/>
      <c r="X119" s="108" t="s">
        <v>1440</v>
      </c>
      <c r="Y119" s="96"/>
      <c r="Z119" s="98"/>
      <c r="AA119" s="98"/>
      <c r="AB119" s="98"/>
      <c r="AC119" s="98"/>
      <c r="AD119" s="98"/>
      <c r="AE119" s="98"/>
      <c r="AF119" s="98"/>
      <c r="AG119" s="98"/>
      <c r="AH119" s="98"/>
      <c r="AI119" s="98"/>
      <c r="AJ119" s="98"/>
      <c r="AK119" s="98"/>
      <c r="AL119" s="98"/>
      <c r="AM119" s="98"/>
      <c r="AN119" s="98"/>
      <c r="AO119" s="98"/>
      <c r="AP119" s="98"/>
      <c r="AQ119" s="98"/>
      <c r="AR119" s="98"/>
      <c r="AS119" s="98"/>
    </row>
    <row r="120" spans="1:45" s="4" customFormat="1">
      <c r="A120" s="93" t="s">
        <v>919</v>
      </c>
      <c r="B120" s="94">
        <v>680487044577</v>
      </c>
      <c r="C120" s="95" t="s">
        <v>920</v>
      </c>
      <c r="D120">
        <v>0</v>
      </c>
      <c r="E120" s="96"/>
      <c r="F120" s="97"/>
      <c r="G120" s="98"/>
      <c r="H120" s="99" t="s">
        <v>301</v>
      </c>
      <c r="I120" s="100"/>
      <c r="J120" s="101"/>
      <c r="K120" s="102"/>
      <c r="L120" s="102"/>
      <c r="M120" s="102"/>
      <c r="N120" s="98"/>
      <c r="O120" s="98"/>
      <c r="P120" s="98"/>
      <c r="Q120" s="98"/>
      <c r="R120" s="98"/>
      <c r="S120" s="98"/>
      <c r="T120" s="98"/>
      <c r="U120" s="109"/>
      <c r="V120" s="103"/>
      <c r="W120" s="107"/>
      <c r="X120" s="108" t="s">
        <v>1440</v>
      </c>
      <c r="Y120" s="96"/>
      <c r="Z120" s="98"/>
      <c r="AA120" s="98"/>
      <c r="AB120" s="98"/>
      <c r="AC120" s="98"/>
      <c r="AD120" s="98"/>
      <c r="AE120" s="98"/>
      <c r="AF120" s="98"/>
      <c r="AG120" s="98"/>
      <c r="AH120" s="98"/>
      <c r="AI120" s="98"/>
      <c r="AJ120" s="98"/>
      <c r="AK120" s="98"/>
      <c r="AL120" s="98"/>
      <c r="AM120" s="98"/>
      <c r="AN120" s="98"/>
      <c r="AO120" s="98"/>
      <c r="AP120" s="98"/>
      <c r="AQ120" s="98"/>
      <c r="AR120" s="98"/>
      <c r="AS120" s="98"/>
    </row>
    <row r="121" spans="1:45" s="4" customFormat="1">
      <c r="A121" s="93" t="s">
        <v>919</v>
      </c>
      <c r="B121" s="94">
        <v>680487043839</v>
      </c>
      <c r="C121" s="95" t="s">
        <v>920</v>
      </c>
      <c r="D121">
        <v>0</v>
      </c>
      <c r="E121" s="96"/>
      <c r="F121" s="97"/>
      <c r="G121" s="98"/>
      <c r="H121" s="99" t="s">
        <v>302</v>
      </c>
      <c r="I121" s="100"/>
      <c r="J121" s="101"/>
      <c r="K121" s="102"/>
      <c r="L121" s="102"/>
      <c r="M121" s="102"/>
      <c r="N121" s="98"/>
      <c r="O121" s="98"/>
      <c r="P121" s="98"/>
      <c r="Q121" s="98"/>
      <c r="R121" s="98"/>
      <c r="S121" s="98"/>
      <c r="T121" s="98"/>
      <c r="U121" s="109"/>
      <c r="V121" s="103"/>
      <c r="W121" s="107"/>
      <c r="X121" s="108" t="s">
        <v>1440</v>
      </c>
      <c r="Y121" s="96"/>
      <c r="Z121" s="98"/>
      <c r="AA121" s="98"/>
      <c r="AB121" s="98"/>
      <c r="AC121" s="98"/>
      <c r="AD121" s="98"/>
      <c r="AE121" s="98"/>
      <c r="AF121" s="98"/>
      <c r="AG121" s="98"/>
      <c r="AH121" s="98"/>
      <c r="AI121" s="98"/>
      <c r="AJ121" s="98"/>
      <c r="AK121" s="98"/>
      <c r="AL121" s="98"/>
      <c r="AM121" s="98"/>
      <c r="AN121" s="98"/>
      <c r="AO121" s="98"/>
      <c r="AP121" s="98"/>
      <c r="AQ121" s="98"/>
      <c r="AR121" s="98"/>
      <c r="AS121" s="98"/>
    </row>
    <row r="122" spans="1:45" s="4" customFormat="1">
      <c r="A122" s="93" t="s">
        <v>919</v>
      </c>
      <c r="B122" s="94">
        <v>680487045802</v>
      </c>
      <c r="C122" s="95" t="s">
        <v>920</v>
      </c>
      <c r="D122">
        <v>0</v>
      </c>
      <c r="E122" s="96"/>
      <c r="F122" s="97"/>
      <c r="G122" s="98"/>
      <c r="H122" s="99" t="s">
        <v>303</v>
      </c>
      <c r="I122" s="100"/>
      <c r="J122" s="101"/>
      <c r="K122" s="102"/>
      <c r="L122" s="102"/>
      <c r="M122" s="102"/>
      <c r="N122" s="98"/>
      <c r="O122" s="98"/>
      <c r="P122" s="98"/>
      <c r="Q122" s="98"/>
      <c r="R122" s="98"/>
      <c r="S122" s="98"/>
      <c r="T122" s="98"/>
      <c r="U122" s="109"/>
      <c r="V122" s="103"/>
      <c r="W122" s="107"/>
      <c r="X122" s="108" t="s">
        <v>1440</v>
      </c>
      <c r="Y122" s="96"/>
      <c r="Z122" s="98"/>
      <c r="AA122" s="98"/>
      <c r="AB122" s="98"/>
      <c r="AC122" s="98"/>
      <c r="AD122" s="98"/>
      <c r="AE122" s="98"/>
      <c r="AF122" s="98"/>
      <c r="AG122" s="98"/>
      <c r="AH122" s="98"/>
      <c r="AI122" s="98"/>
      <c r="AJ122" s="98"/>
      <c r="AK122" s="98"/>
      <c r="AL122" s="98"/>
      <c r="AM122" s="98"/>
      <c r="AN122" s="98"/>
      <c r="AO122" s="98"/>
      <c r="AP122" s="98"/>
      <c r="AQ122" s="98"/>
      <c r="AR122" s="98"/>
      <c r="AS122" s="98"/>
    </row>
    <row r="123" spans="1:45" s="4" customFormat="1">
      <c r="A123" s="93" t="s">
        <v>919</v>
      </c>
      <c r="B123" s="94">
        <v>680487045727</v>
      </c>
      <c r="C123" s="95" t="s">
        <v>920</v>
      </c>
      <c r="D123">
        <v>0</v>
      </c>
      <c r="E123" s="96"/>
      <c r="F123" s="97"/>
      <c r="G123" s="98"/>
      <c r="H123" s="99" t="s">
        <v>304</v>
      </c>
      <c r="I123" s="100"/>
      <c r="J123" s="101"/>
      <c r="K123" s="102"/>
      <c r="L123" s="102"/>
      <c r="M123" s="102"/>
      <c r="N123" s="98"/>
      <c r="O123" s="98"/>
      <c r="P123" s="98"/>
      <c r="Q123" s="98"/>
      <c r="R123" s="98"/>
      <c r="S123" s="98"/>
      <c r="T123" s="98"/>
      <c r="U123" s="109"/>
      <c r="V123" s="103"/>
      <c r="W123" s="107"/>
      <c r="X123" s="108" t="s">
        <v>1440</v>
      </c>
      <c r="Y123" s="96"/>
      <c r="Z123" s="98"/>
      <c r="AA123" s="98"/>
      <c r="AB123" s="98"/>
      <c r="AC123" s="98"/>
      <c r="AD123" s="98"/>
      <c r="AE123" s="98"/>
      <c r="AF123" s="98"/>
      <c r="AG123" s="98"/>
      <c r="AH123" s="98"/>
      <c r="AI123" s="98"/>
      <c r="AJ123" s="98"/>
      <c r="AK123" s="98"/>
      <c r="AL123" s="98"/>
      <c r="AM123" s="98"/>
      <c r="AN123" s="98"/>
      <c r="AO123" s="98"/>
      <c r="AP123" s="98"/>
      <c r="AQ123" s="98"/>
      <c r="AR123" s="98"/>
      <c r="AS123" s="98"/>
    </row>
    <row r="124" spans="1:45" s="4" customFormat="1">
      <c r="A124" s="93" t="s">
        <v>919</v>
      </c>
      <c r="B124" s="94">
        <v>680487057904</v>
      </c>
      <c r="C124" s="95" t="s">
        <v>920</v>
      </c>
      <c r="D124">
        <v>0</v>
      </c>
      <c r="E124" s="96"/>
      <c r="F124" s="97"/>
      <c r="G124" s="98"/>
      <c r="H124" s="99" t="s">
        <v>305</v>
      </c>
      <c r="I124" s="100"/>
      <c r="J124" s="101"/>
      <c r="K124" s="102"/>
      <c r="L124" s="102"/>
      <c r="M124" s="102"/>
      <c r="N124" s="98"/>
      <c r="O124" s="98"/>
      <c r="P124" s="98"/>
      <c r="Q124" s="98"/>
      <c r="R124" s="98"/>
      <c r="S124" s="98"/>
      <c r="T124" s="98"/>
      <c r="U124" s="109"/>
      <c r="V124" s="103"/>
      <c r="W124" s="107"/>
      <c r="X124" s="108" t="s">
        <v>1440</v>
      </c>
      <c r="Y124" s="96"/>
      <c r="Z124" s="98"/>
      <c r="AA124" s="98"/>
      <c r="AB124" s="98"/>
      <c r="AC124" s="98"/>
      <c r="AD124" s="98"/>
      <c r="AE124" s="98"/>
      <c r="AF124" s="98"/>
      <c r="AG124" s="98"/>
      <c r="AH124" s="98"/>
      <c r="AI124" s="98"/>
      <c r="AJ124" s="98"/>
      <c r="AK124" s="98"/>
      <c r="AL124" s="98"/>
      <c r="AM124" s="98"/>
      <c r="AN124" s="98"/>
      <c r="AO124" s="98"/>
      <c r="AP124" s="98"/>
      <c r="AQ124" s="98"/>
      <c r="AR124" s="98"/>
      <c r="AS124" s="98"/>
    </row>
    <row r="125" spans="1:45" s="4" customFormat="1">
      <c r="A125" s="93" t="s">
        <v>919</v>
      </c>
      <c r="B125" s="94">
        <v>680487043815</v>
      </c>
      <c r="C125" s="95" t="s">
        <v>920</v>
      </c>
      <c r="D125">
        <v>0</v>
      </c>
      <c r="E125" s="96"/>
      <c r="F125" s="97"/>
      <c r="G125" s="98"/>
      <c r="H125" s="99" t="s">
        <v>306</v>
      </c>
      <c r="I125" s="100"/>
      <c r="J125" s="101"/>
      <c r="K125" s="102"/>
      <c r="L125" s="102"/>
      <c r="M125" s="102"/>
      <c r="N125" s="98"/>
      <c r="O125" s="98"/>
      <c r="P125" s="98"/>
      <c r="Q125" s="98"/>
      <c r="R125" s="98"/>
      <c r="S125" s="98"/>
      <c r="T125" s="98"/>
      <c r="U125" s="109"/>
      <c r="V125" s="103"/>
      <c r="W125" s="107"/>
      <c r="X125" s="108" t="s">
        <v>1440</v>
      </c>
      <c r="Y125" s="96"/>
      <c r="Z125" s="98"/>
      <c r="AA125" s="98"/>
      <c r="AB125" s="98"/>
      <c r="AC125" s="98"/>
      <c r="AD125" s="98"/>
      <c r="AE125" s="98"/>
      <c r="AF125" s="98"/>
      <c r="AG125" s="98"/>
      <c r="AH125" s="98"/>
      <c r="AI125" s="98"/>
      <c r="AJ125" s="98"/>
      <c r="AK125" s="98"/>
      <c r="AL125" s="98"/>
      <c r="AM125" s="98"/>
      <c r="AN125" s="98"/>
      <c r="AO125" s="98"/>
      <c r="AP125" s="98"/>
      <c r="AQ125" s="98"/>
      <c r="AR125" s="98"/>
      <c r="AS125" s="98"/>
    </row>
    <row r="126" spans="1:45" s="4" customFormat="1">
      <c r="A126" s="93" t="s">
        <v>919</v>
      </c>
      <c r="B126" s="94">
        <v>680487044980</v>
      </c>
      <c r="C126" s="95" t="s">
        <v>920</v>
      </c>
      <c r="D126">
        <v>0</v>
      </c>
      <c r="E126" s="96"/>
      <c r="F126" s="97"/>
      <c r="G126" s="98"/>
      <c r="H126" s="99" t="s">
        <v>307</v>
      </c>
      <c r="I126" s="100"/>
      <c r="J126" s="101"/>
      <c r="K126" s="102"/>
      <c r="L126" s="102"/>
      <c r="M126" s="102"/>
      <c r="N126" s="98"/>
      <c r="O126" s="98"/>
      <c r="P126" s="98"/>
      <c r="Q126" s="98"/>
      <c r="R126" s="98"/>
      <c r="S126" s="98"/>
      <c r="T126" s="98"/>
      <c r="U126" s="109"/>
      <c r="V126" s="103"/>
      <c r="W126" s="107"/>
      <c r="X126" s="108" t="s">
        <v>1440</v>
      </c>
      <c r="Y126" s="96"/>
      <c r="Z126" s="98"/>
      <c r="AA126" s="98"/>
      <c r="AB126" s="98"/>
      <c r="AC126" s="98"/>
      <c r="AD126" s="98"/>
      <c r="AE126" s="98"/>
      <c r="AF126" s="98"/>
      <c r="AG126" s="98"/>
      <c r="AH126" s="98"/>
      <c r="AI126" s="98"/>
      <c r="AJ126" s="98"/>
      <c r="AK126" s="98"/>
      <c r="AL126" s="98"/>
      <c r="AM126" s="98"/>
      <c r="AN126" s="98"/>
      <c r="AO126" s="98"/>
      <c r="AP126" s="98"/>
      <c r="AQ126" s="98"/>
      <c r="AR126" s="98"/>
      <c r="AS126" s="98"/>
    </row>
    <row r="127" spans="1:45" s="4" customFormat="1">
      <c r="A127" s="93" t="s">
        <v>919</v>
      </c>
      <c r="B127" s="94">
        <v>680487165753</v>
      </c>
      <c r="C127" s="95" t="s">
        <v>920</v>
      </c>
      <c r="D127">
        <v>0</v>
      </c>
      <c r="E127" s="96"/>
      <c r="F127" s="97"/>
      <c r="G127" s="98"/>
      <c r="H127" s="99" t="s">
        <v>308</v>
      </c>
      <c r="I127" s="100"/>
      <c r="J127" s="101"/>
      <c r="K127" s="102"/>
      <c r="L127" s="102"/>
      <c r="M127" s="102"/>
      <c r="N127" s="98"/>
      <c r="O127" s="98"/>
      <c r="P127" s="98"/>
      <c r="Q127" s="98"/>
      <c r="R127" s="98"/>
      <c r="S127" s="98"/>
      <c r="T127" s="98"/>
      <c r="U127" s="109"/>
      <c r="V127" s="103"/>
      <c r="W127" s="107"/>
      <c r="X127" s="108" t="s">
        <v>1440</v>
      </c>
      <c r="Y127" s="96"/>
      <c r="Z127" s="98"/>
      <c r="AA127" s="98"/>
      <c r="AB127" s="98"/>
      <c r="AC127" s="98"/>
      <c r="AD127" s="98"/>
      <c r="AE127" s="98"/>
      <c r="AF127" s="98"/>
      <c r="AG127" s="98"/>
      <c r="AH127" s="98"/>
      <c r="AI127" s="98"/>
      <c r="AJ127" s="98"/>
      <c r="AK127" s="98"/>
      <c r="AL127" s="98"/>
      <c r="AM127" s="98"/>
      <c r="AN127" s="98"/>
      <c r="AO127" s="98"/>
      <c r="AP127" s="98"/>
      <c r="AQ127" s="98"/>
      <c r="AR127" s="98"/>
      <c r="AS127" s="98"/>
    </row>
    <row r="128" spans="1:45" s="4" customFormat="1">
      <c r="A128" s="93" t="s">
        <v>919</v>
      </c>
      <c r="B128" s="94">
        <v>680487044256</v>
      </c>
      <c r="C128" s="95" t="s">
        <v>920</v>
      </c>
      <c r="D128">
        <v>0</v>
      </c>
      <c r="E128" s="96"/>
      <c r="F128" s="97"/>
      <c r="G128" s="98"/>
      <c r="H128" s="99" t="s">
        <v>309</v>
      </c>
      <c r="I128" s="100"/>
      <c r="J128" s="101"/>
      <c r="K128" s="102"/>
      <c r="L128" s="102"/>
      <c r="M128" s="102"/>
      <c r="N128" s="98"/>
      <c r="O128" s="98"/>
      <c r="P128" s="98"/>
      <c r="Q128" s="98"/>
      <c r="R128" s="98"/>
      <c r="S128" s="98"/>
      <c r="T128" s="98"/>
      <c r="U128" s="109"/>
      <c r="V128" s="103"/>
      <c r="W128" s="107"/>
      <c r="X128" s="108" t="s">
        <v>1440</v>
      </c>
      <c r="Y128" s="96"/>
      <c r="Z128" s="98"/>
      <c r="AA128" s="98"/>
      <c r="AB128" s="98"/>
      <c r="AC128" s="98"/>
      <c r="AD128" s="98"/>
      <c r="AE128" s="98"/>
      <c r="AF128" s="98"/>
      <c r="AG128" s="98"/>
      <c r="AH128" s="98"/>
      <c r="AI128" s="98"/>
      <c r="AJ128" s="98"/>
      <c r="AK128" s="98"/>
      <c r="AL128" s="98"/>
      <c r="AM128" s="98"/>
      <c r="AN128" s="98"/>
      <c r="AO128" s="98"/>
      <c r="AP128" s="98"/>
      <c r="AQ128" s="98"/>
      <c r="AR128" s="98"/>
      <c r="AS128" s="98"/>
    </row>
    <row r="129" spans="1:45" s="4" customFormat="1">
      <c r="A129" s="93" t="s">
        <v>919</v>
      </c>
      <c r="B129" s="94">
        <v>680487046243</v>
      </c>
      <c r="C129" s="95" t="s">
        <v>920</v>
      </c>
      <c r="D129">
        <v>0</v>
      </c>
      <c r="E129" s="96"/>
      <c r="F129" s="97"/>
      <c r="G129" s="98"/>
      <c r="H129" s="99" t="s">
        <v>310</v>
      </c>
      <c r="I129" s="100"/>
      <c r="J129" s="101"/>
      <c r="K129" s="102"/>
      <c r="L129" s="102"/>
      <c r="M129" s="102"/>
      <c r="N129" s="98"/>
      <c r="O129" s="98"/>
      <c r="P129" s="98"/>
      <c r="Q129" s="98"/>
      <c r="R129" s="98"/>
      <c r="S129" s="98"/>
      <c r="T129" s="98"/>
      <c r="U129" s="109"/>
      <c r="V129" s="103"/>
      <c r="W129" s="107"/>
      <c r="X129" s="108" t="s">
        <v>1440</v>
      </c>
      <c r="Y129" s="96"/>
      <c r="Z129" s="98"/>
      <c r="AA129" s="98"/>
      <c r="AB129" s="98"/>
      <c r="AC129" s="98"/>
      <c r="AD129" s="98"/>
      <c r="AE129" s="98"/>
      <c r="AF129" s="98"/>
      <c r="AG129" s="98"/>
      <c r="AH129" s="98"/>
      <c r="AI129" s="98"/>
      <c r="AJ129" s="98"/>
      <c r="AK129" s="98"/>
      <c r="AL129" s="98"/>
      <c r="AM129" s="98"/>
      <c r="AN129" s="98"/>
      <c r="AO129" s="98"/>
      <c r="AP129" s="98"/>
      <c r="AQ129" s="98"/>
      <c r="AR129" s="98"/>
      <c r="AS129" s="98"/>
    </row>
    <row r="130" spans="1:45" s="4" customFormat="1">
      <c r="A130" s="93" t="s">
        <v>919</v>
      </c>
      <c r="B130" s="94">
        <v>680487044690</v>
      </c>
      <c r="C130" s="95" t="s">
        <v>920</v>
      </c>
      <c r="D130">
        <v>0</v>
      </c>
      <c r="E130" s="96"/>
      <c r="F130" s="97"/>
      <c r="G130" s="98"/>
      <c r="H130" s="99" t="s">
        <v>311</v>
      </c>
      <c r="I130" s="100"/>
      <c r="J130" s="101"/>
      <c r="K130" s="102"/>
      <c r="L130" s="102"/>
      <c r="M130" s="102"/>
      <c r="N130" s="98"/>
      <c r="O130" s="98"/>
      <c r="P130" s="98"/>
      <c r="Q130" s="98"/>
      <c r="R130" s="98"/>
      <c r="S130" s="98"/>
      <c r="T130" s="98"/>
      <c r="U130" s="109"/>
      <c r="V130" s="103"/>
      <c r="W130" s="107"/>
      <c r="X130" s="108" t="s">
        <v>1440</v>
      </c>
      <c r="Y130" s="96"/>
      <c r="Z130" s="98"/>
      <c r="AA130" s="98"/>
      <c r="AB130" s="98"/>
      <c r="AC130" s="98"/>
      <c r="AD130" s="98"/>
      <c r="AE130" s="98"/>
      <c r="AF130" s="98"/>
      <c r="AG130" s="98"/>
      <c r="AH130" s="98"/>
      <c r="AI130" s="98"/>
      <c r="AJ130" s="98"/>
      <c r="AK130" s="98"/>
      <c r="AL130" s="98"/>
      <c r="AM130" s="98"/>
      <c r="AN130" s="98"/>
      <c r="AO130" s="98"/>
      <c r="AP130" s="98"/>
      <c r="AQ130" s="98"/>
      <c r="AR130" s="98"/>
      <c r="AS130" s="98"/>
    </row>
    <row r="131" spans="1:45" s="4" customFormat="1">
      <c r="A131" s="93" t="s">
        <v>919</v>
      </c>
      <c r="B131" s="94">
        <v>680487045680</v>
      </c>
      <c r="C131" s="95" t="s">
        <v>920</v>
      </c>
      <c r="D131">
        <v>0</v>
      </c>
      <c r="E131" s="96"/>
      <c r="F131" s="97"/>
      <c r="G131" s="98"/>
      <c r="H131" s="99" t="s">
        <v>312</v>
      </c>
      <c r="I131" s="100"/>
      <c r="J131" s="101"/>
      <c r="K131" s="102"/>
      <c r="L131" s="102"/>
      <c r="M131" s="102"/>
      <c r="N131" s="98"/>
      <c r="O131" s="98"/>
      <c r="P131" s="98"/>
      <c r="Q131" s="98"/>
      <c r="R131" s="98"/>
      <c r="S131" s="98"/>
      <c r="T131" s="98"/>
      <c r="U131" s="109"/>
      <c r="V131" s="103"/>
      <c r="W131" s="107"/>
      <c r="X131" s="108" t="s">
        <v>1440</v>
      </c>
      <c r="Y131" s="96"/>
      <c r="Z131" s="98"/>
      <c r="AA131" s="98"/>
      <c r="AB131" s="98"/>
      <c r="AC131" s="98"/>
      <c r="AD131" s="98"/>
      <c r="AE131" s="98"/>
      <c r="AF131" s="98"/>
      <c r="AG131" s="98"/>
      <c r="AH131" s="98"/>
      <c r="AI131" s="98"/>
      <c r="AJ131" s="98"/>
      <c r="AK131" s="98"/>
      <c r="AL131" s="98"/>
      <c r="AM131" s="98"/>
      <c r="AN131" s="98"/>
      <c r="AO131" s="98"/>
      <c r="AP131" s="98"/>
      <c r="AQ131" s="98"/>
      <c r="AR131" s="98"/>
      <c r="AS131" s="98"/>
    </row>
    <row r="132" spans="1:45" s="4" customFormat="1">
      <c r="A132" s="93" t="s">
        <v>919</v>
      </c>
      <c r="B132" s="94">
        <v>680487045703</v>
      </c>
      <c r="C132" s="95" t="s">
        <v>920</v>
      </c>
      <c r="D132">
        <v>0</v>
      </c>
      <c r="E132" s="96"/>
      <c r="F132" s="97"/>
      <c r="G132" s="98"/>
      <c r="H132" s="99" t="s">
        <v>313</v>
      </c>
      <c r="I132" s="100"/>
      <c r="J132" s="101"/>
      <c r="K132" s="102"/>
      <c r="L132" s="102"/>
      <c r="M132" s="102"/>
      <c r="N132" s="98"/>
      <c r="O132" s="98"/>
      <c r="P132" s="98"/>
      <c r="Q132" s="98"/>
      <c r="R132" s="98"/>
      <c r="S132" s="98"/>
      <c r="T132" s="98"/>
      <c r="U132" s="109"/>
      <c r="V132" s="103"/>
      <c r="W132" s="107"/>
      <c r="X132" s="108" t="s">
        <v>1440</v>
      </c>
      <c r="Y132" s="96"/>
      <c r="Z132" s="98"/>
      <c r="AA132" s="98"/>
      <c r="AB132" s="98"/>
      <c r="AC132" s="98"/>
      <c r="AD132" s="98"/>
      <c r="AE132" s="98"/>
      <c r="AF132" s="98"/>
      <c r="AG132" s="98"/>
      <c r="AH132" s="98"/>
      <c r="AI132" s="98"/>
      <c r="AJ132" s="98"/>
      <c r="AK132" s="98"/>
      <c r="AL132" s="98"/>
      <c r="AM132" s="98"/>
      <c r="AN132" s="98"/>
      <c r="AO132" s="98"/>
      <c r="AP132" s="98"/>
      <c r="AQ132" s="98"/>
      <c r="AR132" s="98"/>
      <c r="AS132" s="98"/>
    </row>
    <row r="133" spans="1:45" s="4" customFormat="1">
      <c r="A133" s="93" t="s">
        <v>919</v>
      </c>
      <c r="B133" s="94">
        <v>680487135084</v>
      </c>
      <c r="C133" s="95" t="s">
        <v>920</v>
      </c>
      <c r="D133">
        <v>0</v>
      </c>
      <c r="E133" s="96"/>
      <c r="F133" s="97"/>
      <c r="G133" s="98"/>
      <c r="H133" s="99" t="s">
        <v>314</v>
      </c>
      <c r="I133" s="100"/>
      <c r="J133" s="101"/>
      <c r="K133" s="102"/>
      <c r="L133" s="102"/>
      <c r="M133" s="102"/>
      <c r="N133" s="98"/>
      <c r="O133" s="98"/>
      <c r="P133" s="98"/>
      <c r="Q133" s="98"/>
      <c r="R133" s="98"/>
      <c r="S133" s="98"/>
      <c r="T133" s="98"/>
      <c r="U133" s="109"/>
      <c r="V133" s="103"/>
      <c r="W133" s="107"/>
      <c r="X133" s="108" t="s">
        <v>1440</v>
      </c>
      <c r="Y133" s="96"/>
      <c r="Z133" s="98"/>
      <c r="AA133" s="98"/>
      <c r="AB133" s="98"/>
      <c r="AC133" s="98"/>
      <c r="AD133" s="98"/>
      <c r="AE133" s="98"/>
      <c r="AF133" s="98"/>
      <c r="AG133" s="98"/>
      <c r="AH133" s="98"/>
      <c r="AI133" s="98"/>
      <c r="AJ133" s="98"/>
      <c r="AK133" s="98"/>
      <c r="AL133" s="98"/>
      <c r="AM133" s="98"/>
      <c r="AN133" s="98"/>
      <c r="AO133" s="98"/>
      <c r="AP133" s="98"/>
      <c r="AQ133" s="98"/>
      <c r="AR133" s="98"/>
      <c r="AS133" s="98"/>
    </row>
    <row r="134" spans="1:45" s="4" customFormat="1">
      <c r="A134" s="93" t="s">
        <v>919</v>
      </c>
      <c r="B134" s="94">
        <v>680487165944</v>
      </c>
      <c r="C134" s="95" t="s">
        <v>920</v>
      </c>
      <c r="D134">
        <v>0</v>
      </c>
      <c r="E134" s="96"/>
      <c r="F134" s="97"/>
      <c r="G134" s="98"/>
      <c r="H134" s="99" t="s">
        <v>315</v>
      </c>
      <c r="I134" s="100"/>
      <c r="J134" s="101"/>
      <c r="K134" s="102"/>
      <c r="L134" s="102"/>
      <c r="M134" s="102"/>
      <c r="N134" s="98"/>
      <c r="O134" s="98"/>
      <c r="P134" s="98"/>
      <c r="Q134" s="98"/>
      <c r="R134" s="98"/>
      <c r="S134" s="98"/>
      <c r="T134" s="98"/>
      <c r="U134" s="109"/>
      <c r="V134" s="103"/>
      <c r="W134" s="107"/>
      <c r="X134" s="108" t="s">
        <v>1440</v>
      </c>
      <c r="Y134" s="96"/>
      <c r="Z134" s="98"/>
      <c r="AA134" s="98"/>
      <c r="AB134" s="98"/>
      <c r="AC134" s="98"/>
      <c r="AD134" s="98"/>
      <c r="AE134" s="98"/>
      <c r="AF134" s="98"/>
      <c r="AG134" s="98"/>
      <c r="AH134" s="98"/>
      <c r="AI134" s="98"/>
      <c r="AJ134" s="98"/>
      <c r="AK134" s="98"/>
      <c r="AL134" s="98"/>
      <c r="AM134" s="98"/>
      <c r="AN134" s="98"/>
      <c r="AO134" s="98"/>
      <c r="AP134" s="98"/>
      <c r="AQ134" s="98"/>
      <c r="AR134" s="98"/>
      <c r="AS134" s="98"/>
    </row>
    <row r="135" spans="1:45" s="4" customFormat="1">
      <c r="A135" s="93" t="s">
        <v>919</v>
      </c>
      <c r="B135" s="94">
        <v>680487045529</v>
      </c>
      <c r="C135" s="95" t="s">
        <v>920</v>
      </c>
      <c r="D135">
        <v>0</v>
      </c>
      <c r="E135" s="96"/>
      <c r="F135" s="97"/>
      <c r="G135" s="98"/>
      <c r="H135" s="99" t="s">
        <v>316</v>
      </c>
      <c r="I135" s="100"/>
      <c r="J135" s="101"/>
      <c r="K135" s="102"/>
      <c r="L135" s="102"/>
      <c r="M135" s="102"/>
      <c r="N135" s="98"/>
      <c r="O135" s="98"/>
      <c r="P135" s="98"/>
      <c r="Q135" s="98"/>
      <c r="R135" s="98"/>
      <c r="S135" s="98"/>
      <c r="T135" s="98"/>
      <c r="U135" s="109"/>
      <c r="V135" s="103"/>
      <c r="W135" s="107"/>
      <c r="X135" s="108" t="s">
        <v>1440</v>
      </c>
      <c r="Y135" s="96"/>
      <c r="Z135" s="98"/>
      <c r="AA135" s="98"/>
      <c r="AB135" s="98"/>
      <c r="AC135" s="98"/>
      <c r="AD135" s="98"/>
      <c r="AE135" s="98"/>
      <c r="AF135" s="98"/>
      <c r="AG135" s="98"/>
      <c r="AH135" s="98"/>
      <c r="AI135" s="98"/>
      <c r="AJ135" s="98"/>
      <c r="AK135" s="98"/>
      <c r="AL135" s="98"/>
      <c r="AM135" s="98"/>
      <c r="AN135" s="98"/>
      <c r="AO135" s="98"/>
      <c r="AP135" s="98"/>
      <c r="AQ135" s="98"/>
      <c r="AR135" s="98"/>
      <c r="AS135" s="98"/>
    </row>
    <row r="136" spans="1:45" s="4" customFormat="1">
      <c r="A136" s="93" t="s">
        <v>919</v>
      </c>
      <c r="B136" s="94">
        <v>680487044652</v>
      </c>
      <c r="C136" s="95" t="s">
        <v>920</v>
      </c>
      <c r="D136">
        <v>0</v>
      </c>
      <c r="E136" s="96"/>
      <c r="F136" s="97"/>
      <c r="G136" s="98"/>
      <c r="H136" s="99" t="s">
        <v>318</v>
      </c>
      <c r="I136" s="100"/>
      <c r="J136" s="101"/>
      <c r="K136" s="102"/>
      <c r="L136" s="102"/>
      <c r="M136" s="102"/>
      <c r="N136" s="98"/>
      <c r="O136" s="98"/>
      <c r="P136" s="98"/>
      <c r="Q136" s="98"/>
      <c r="R136" s="98"/>
      <c r="S136" s="98"/>
      <c r="T136" s="98"/>
      <c r="U136" s="109"/>
      <c r="V136" s="103"/>
      <c r="W136" s="107"/>
      <c r="X136" s="108" t="s">
        <v>1440</v>
      </c>
      <c r="Y136" s="96"/>
      <c r="Z136" s="98"/>
      <c r="AA136" s="98"/>
      <c r="AB136" s="98"/>
      <c r="AC136" s="98"/>
      <c r="AD136" s="98"/>
      <c r="AE136" s="98"/>
      <c r="AF136" s="98"/>
      <c r="AG136" s="98"/>
      <c r="AH136" s="98"/>
      <c r="AI136" s="98"/>
      <c r="AJ136" s="98"/>
      <c r="AK136" s="98"/>
      <c r="AL136" s="98"/>
      <c r="AM136" s="98"/>
      <c r="AN136" s="98"/>
      <c r="AO136" s="98"/>
      <c r="AP136" s="98"/>
      <c r="AQ136" s="98"/>
      <c r="AR136" s="98"/>
      <c r="AS136" s="98"/>
    </row>
    <row r="137" spans="1:45" s="4" customFormat="1">
      <c r="A137" s="93" t="s">
        <v>919</v>
      </c>
      <c r="B137" s="94">
        <v>680487045666</v>
      </c>
      <c r="C137" s="95" t="s">
        <v>920</v>
      </c>
      <c r="D137">
        <v>0</v>
      </c>
      <c r="E137" s="96"/>
      <c r="F137" s="97"/>
      <c r="G137" s="98"/>
      <c r="H137" s="99" t="s">
        <v>319</v>
      </c>
      <c r="I137" s="100"/>
      <c r="J137" s="101"/>
      <c r="K137" s="102"/>
      <c r="L137" s="102"/>
      <c r="M137" s="102"/>
      <c r="N137" s="98"/>
      <c r="O137" s="98"/>
      <c r="P137" s="98"/>
      <c r="Q137" s="98"/>
      <c r="R137" s="98"/>
      <c r="S137" s="98"/>
      <c r="T137" s="98"/>
      <c r="U137" s="109"/>
      <c r="V137" s="103"/>
      <c r="W137" s="107"/>
      <c r="X137" s="108" t="s">
        <v>1440</v>
      </c>
      <c r="Y137" s="96"/>
      <c r="Z137" s="98"/>
      <c r="AA137" s="98"/>
      <c r="AB137" s="98"/>
      <c r="AC137" s="98"/>
      <c r="AD137" s="98"/>
      <c r="AE137" s="98"/>
      <c r="AF137" s="98"/>
      <c r="AG137" s="98"/>
      <c r="AH137" s="98"/>
      <c r="AI137" s="98"/>
      <c r="AJ137" s="98"/>
      <c r="AK137" s="98"/>
      <c r="AL137" s="98"/>
      <c r="AM137" s="98"/>
      <c r="AN137" s="98"/>
      <c r="AO137" s="98"/>
      <c r="AP137" s="98"/>
      <c r="AQ137" s="98"/>
      <c r="AR137" s="98"/>
      <c r="AS137" s="98"/>
    </row>
    <row r="138" spans="1:45" s="4" customFormat="1">
      <c r="A138" s="93" t="s">
        <v>919</v>
      </c>
      <c r="B138" s="94">
        <v>680487135206</v>
      </c>
      <c r="C138" s="95" t="s">
        <v>920</v>
      </c>
      <c r="D138">
        <v>0</v>
      </c>
      <c r="E138" s="96"/>
      <c r="F138" s="97"/>
      <c r="G138" s="98"/>
      <c r="H138" s="99" t="s">
        <v>320</v>
      </c>
      <c r="I138" s="100"/>
      <c r="J138" s="101"/>
      <c r="K138" s="102"/>
      <c r="L138" s="102"/>
      <c r="M138" s="102"/>
      <c r="N138" s="98"/>
      <c r="O138" s="98"/>
      <c r="P138" s="98"/>
      <c r="Q138" s="98"/>
      <c r="R138" s="98"/>
      <c r="S138" s="98"/>
      <c r="T138" s="98"/>
      <c r="U138" s="109"/>
      <c r="V138" s="103"/>
      <c r="W138" s="107"/>
      <c r="X138" s="108" t="s">
        <v>1440</v>
      </c>
      <c r="Y138" s="96"/>
      <c r="Z138" s="98"/>
      <c r="AA138" s="98"/>
      <c r="AB138" s="98"/>
      <c r="AC138" s="98"/>
      <c r="AD138" s="98"/>
      <c r="AE138" s="98"/>
      <c r="AF138" s="98"/>
      <c r="AG138" s="98"/>
      <c r="AH138" s="98"/>
      <c r="AI138" s="98"/>
      <c r="AJ138" s="98"/>
      <c r="AK138" s="98"/>
      <c r="AL138" s="98"/>
      <c r="AM138" s="98"/>
      <c r="AN138" s="98"/>
      <c r="AO138" s="98"/>
      <c r="AP138" s="98"/>
      <c r="AQ138" s="98"/>
      <c r="AR138" s="98"/>
      <c r="AS138" s="98"/>
    </row>
    <row r="139" spans="1:45" s="4" customFormat="1">
      <c r="A139" s="93" t="s">
        <v>919</v>
      </c>
      <c r="B139" s="94">
        <v>680487044355</v>
      </c>
      <c r="C139" s="95" t="s">
        <v>920</v>
      </c>
      <c r="D139">
        <v>0</v>
      </c>
      <c r="E139" s="96"/>
      <c r="F139" s="97"/>
      <c r="G139" s="98"/>
      <c r="H139" s="99" t="s">
        <v>321</v>
      </c>
      <c r="I139" s="100"/>
      <c r="J139" s="101"/>
      <c r="K139" s="102"/>
      <c r="L139" s="102"/>
      <c r="M139" s="102"/>
      <c r="N139" s="98"/>
      <c r="O139" s="98"/>
      <c r="P139" s="98"/>
      <c r="Q139" s="98"/>
      <c r="R139" s="98"/>
      <c r="S139" s="98"/>
      <c r="T139" s="98"/>
      <c r="U139" s="109"/>
      <c r="V139" s="103"/>
      <c r="W139" s="107"/>
      <c r="X139" s="108" t="s">
        <v>1440</v>
      </c>
      <c r="Y139" s="96"/>
      <c r="Z139" s="98"/>
      <c r="AA139" s="98"/>
      <c r="AB139" s="98"/>
      <c r="AC139" s="98"/>
      <c r="AD139" s="98"/>
      <c r="AE139" s="98"/>
      <c r="AF139" s="98"/>
      <c r="AG139" s="98"/>
      <c r="AH139" s="98"/>
      <c r="AI139" s="98"/>
      <c r="AJ139" s="98"/>
      <c r="AK139" s="98"/>
      <c r="AL139" s="98"/>
      <c r="AM139" s="98"/>
      <c r="AN139" s="98"/>
      <c r="AO139" s="98"/>
      <c r="AP139" s="98"/>
      <c r="AQ139" s="98"/>
      <c r="AR139" s="98"/>
      <c r="AS139" s="98"/>
    </row>
    <row r="140" spans="1:45" s="4" customFormat="1">
      <c r="A140" s="93" t="s">
        <v>919</v>
      </c>
      <c r="B140" s="94">
        <v>680487045505</v>
      </c>
      <c r="C140" s="95" t="s">
        <v>920</v>
      </c>
      <c r="D140">
        <v>0</v>
      </c>
      <c r="E140" s="96"/>
      <c r="F140" s="97"/>
      <c r="G140" s="98"/>
      <c r="H140" s="99" t="s">
        <v>322</v>
      </c>
      <c r="I140" s="100"/>
      <c r="J140" s="101"/>
      <c r="K140" s="102"/>
      <c r="L140" s="102"/>
      <c r="M140" s="102"/>
      <c r="N140" s="98"/>
      <c r="O140" s="98"/>
      <c r="P140" s="98"/>
      <c r="Q140" s="98"/>
      <c r="R140" s="98"/>
      <c r="S140" s="98"/>
      <c r="T140" s="98"/>
      <c r="U140" s="109"/>
      <c r="V140" s="103"/>
      <c r="W140" s="107"/>
      <c r="X140" s="108" t="s">
        <v>1440</v>
      </c>
      <c r="Y140" s="96"/>
      <c r="Z140" s="98"/>
      <c r="AA140" s="98"/>
      <c r="AB140" s="98"/>
      <c r="AC140" s="98"/>
      <c r="AD140" s="98"/>
      <c r="AE140" s="98"/>
      <c r="AF140" s="98"/>
      <c r="AG140" s="98"/>
      <c r="AH140" s="98"/>
      <c r="AI140" s="98"/>
      <c r="AJ140" s="98"/>
      <c r="AK140" s="98"/>
      <c r="AL140" s="98"/>
      <c r="AM140" s="98"/>
      <c r="AN140" s="98"/>
      <c r="AO140" s="98"/>
      <c r="AP140" s="98"/>
      <c r="AQ140" s="98"/>
      <c r="AR140" s="98"/>
      <c r="AS140" s="98"/>
    </row>
    <row r="141" spans="1:45" s="4" customFormat="1">
      <c r="A141" s="93" t="s">
        <v>919</v>
      </c>
      <c r="B141" s="94">
        <v>680487045000</v>
      </c>
      <c r="C141" s="95" t="s">
        <v>920</v>
      </c>
      <c r="D141">
        <v>0</v>
      </c>
      <c r="E141" s="96"/>
      <c r="F141" s="97"/>
      <c r="G141" s="98"/>
      <c r="H141" s="99" t="s">
        <v>323</v>
      </c>
      <c r="I141" s="100"/>
      <c r="J141" s="101"/>
      <c r="K141" s="102"/>
      <c r="L141" s="102"/>
      <c r="M141" s="102"/>
      <c r="N141" s="98"/>
      <c r="O141" s="98"/>
      <c r="P141" s="98"/>
      <c r="Q141" s="98"/>
      <c r="R141" s="98"/>
      <c r="S141" s="98"/>
      <c r="T141" s="98"/>
      <c r="U141" s="109"/>
      <c r="V141" s="103"/>
      <c r="W141" s="107"/>
      <c r="X141" s="108" t="s">
        <v>1440</v>
      </c>
      <c r="Y141" s="96"/>
      <c r="Z141" s="98"/>
      <c r="AA141" s="98"/>
      <c r="AB141" s="98"/>
      <c r="AC141" s="98"/>
      <c r="AD141" s="98"/>
      <c r="AE141" s="98"/>
      <c r="AF141" s="98"/>
      <c r="AG141" s="98"/>
      <c r="AH141" s="98"/>
      <c r="AI141" s="98"/>
      <c r="AJ141" s="98"/>
      <c r="AK141" s="98"/>
      <c r="AL141" s="98"/>
      <c r="AM141" s="98"/>
      <c r="AN141" s="98"/>
      <c r="AO141" s="98"/>
      <c r="AP141" s="98"/>
      <c r="AQ141" s="98"/>
      <c r="AR141" s="98"/>
      <c r="AS141" s="98"/>
    </row>
    <row r="142" spans="1:45" s="4" customFormat="1">
      <c r="A142" s="93" t="s">
        <v>919</v>
      </c>
      <c r="B142" s="94">
        <v>680487135268</v>
      </c>
      <c r="C142" s="95" t="s">
        <v>920</v>
      </c>
      <c r="D142">
        <v>0</v>
      </c>
      <c r="E142" s="96"/>
      <c r="F142" s="97"/>
      <c r="G142" s="98"/>
      <c r="H142" s="99" t="s">
        <v>324</v>
      </c>
      <c r="I142" s="100"/>
      <c r="J142" s="101"/>
      <c r="K142" s="102"/>
      <c r="L142" s="102"/>
      <c r="M142" s="102"/>
      <c r="N142" s="98"/>
      <c r="O142" s="98"/>
      <c r="P142" s="98"/>
      <c r="Q142" s="98"/>
      <c r="R142" s="98"/>
      <c r="S142" s="98"/>
      <c r="T142" s="98"/>
      <c r="U142" s="109"/>
      <c r="V142" s="103"/>
      <c r="W142" s="107"/>
      <c r="X142" s="108" t="s">
        <v>1440</v>
      </c>
      <c r="Y142" s="96"/>
      <c r="Z142" s="98"/>
      <c r="AA142" s="98"/>
      <c r="AB142" s="98"/>
      <c r="AC142" s="98"/>
      <c r="AD142" s="98"/>
      <c r="AE142" s="98"/>
      <c r="AF142" s="98"/>
      <c r="AG142" s="98"/>
      <c r="AH142" s="98"/>
      <c r="AI142" s="98"/>
      <c r="AJ142" s="98"/>
      <c r="AK142" s="98"/>
      <c r="AL142" s="98"/>
      <c r="AM142" s="98"/>
      <c r="AN142" s="98"/>
      <c r="AO142" s="98"/>
      <c r="AP142" s="98"/>
      <c r="AQ142" s="98"/>
      <c r="AR142" s="98"/>
      <c r="AS142" s="98"/>
    </row>
    <row r="143" spans="1:45" s="4" customFormat="1">
      <c r="A143" s="93" t="s">
        <v>919</v>
      </c>
      <c r="B143" s="94">
        <v>680487135138</v>
      </c>
      <c r="C143" s="95" t="s">
        <v>920</v>
      </c>
      <c r="D143">
        <v>0</v>
      </c>
      <c r="E143" s="96"/>
      <c r="F143" s="97"/>
      <c r="G143" s="98"/>
      <c r="H143" s="99" t="s">
        <v>325</v>
      </c>
      <c r="I143" s="100"/>
      <c r="J143" s="101"/>
      <c r="K143" s="102"/>
      <c r="L143" s="102"/>
      <c r="M143" s="102"/>
      <c r="N143" s="98"/>
      <c r="O143" s="98"/>
      <c r="P143" s="98"/>
      <c r="Q143" s="98"/>
      <c r="R143" s="98"/>
      <c r="S143" s="98"/>
      <c r="T143" s="98"/>
      <c r="U143" s="109"/>
      <c r="V143" s="103"/>
      <c r="W143" s="107"/>
      <c r="X143" s="108" t="s">
        <v>1440</v>
      </c>
      <c r="Y143" s="96"/>
      <c r="Z143" s="98"/>
      <c r="AA143" s="98"/>
      <c r="AB143" s="98"/>
      <c r="AC143" s="98"/>
      <c r="AD143" s="98"/>
      <c r="AE143" s="98"/>
      <c r="AF143" s="98"/>
      <c r="AG143" s="98"/>
      <c r="AH143" s="98"/>
      <c r="AI143" s="98"/>
      <c r="AJ143" s="98"/>
      <c r="AK143" s="98"/>
      <c r="AL143" s="98"/>
      <c r="AM143" s="98"/>
      <c r="AN143" s="98"/>
      <c r="AO143" s="98"/>
      <c r="AP143" s="98"/>
      <c r="AQ143" s="98"/>
      <c r="AR143" s="98"/>
      <c r="AS143" s="98"/>
    </row>
    <row r="144" spans="1:45" s="4" customFormat="1">
      <c r="A144" s="93" t="s">
        <v>919</v>
      </c>
      <c r="B144" s="94">
        <v>680487135145</v>
      </c>
      <c r="C144" s="95" t="s">
        <v>920</v>
      </c>
      <c r="D144">
        <v>0</v>
      </c>
      <c r="E144" s="96"/>
      <c r="F144" s="97"/>
      <c r="G144" s="98"/>
      <c r="H144" s="99" t="s">
        <v>326</v>
      </c>
      <c r="I144" s="100"/>
      <c r="J144" s="101"/>
      <c r="K144" s="102"/>
      <c r="L144" s="102"/>
      <c r="M144" s="102"/>
      <c r="N144" s="98"/>
      <c r="O144" s="98"/>
      <c r="P144" s="98"/>
      <c r="Q144" s="98"/>
      <c r="R144" s="98"/>
      <c r="S144" s="98"/>
      <c r="T144" s="98"/>
      <c r="U144" s="109"/>
      <c r="V144" s="103"/>
      <c r="W144" s="107"/>
      <c r="X144" s="108" t="s">
        <v>1440</v>
      </c>
      <c r="Y144" s="96"/>
      <c r="Z144" s="98"/>
      <c r="AA144" s="98"/>
      <c r="AB144" s="98"/>
      <c r="AC144" s="98"/>
      <c r="AD144" s="98"/>
      <c r="AE144" s="98"/>
      <c r="AF144" s="98"/>
      <c r="AG144" s="98"/>
      <c r="AH144" s="98"/>
      <c r="AI144" s="98"/>
      <c r="AJ144" s="98"/>
      <c r="AK144" s="98"/>
      <c r="AL144" s="98"/>
      <c r="AM144" s="98"/>
      <c r="AN144" s="98"/>
      <c r="AO144" s="98"/>
      <c r="AP144" s="98"/>
      <c r="AQ144" s="98"/>
      <c r="AR144" s="98"/>
      <c r="AS144" s="98"/>
    </row>
    <row r="145" spans="1:45" s="4" customFormat="1">
      <c r="A145" s="93" t="s">
        <v>919</v>
      </c>
      <c r="B145" s="94">
        <v>680487135114</v>
      </c>
      <c r="C145" s="95" t="s">
        <v>920</v>
      </c>
      <c r="D145">
        <v>0</v>
      </c>
      <c r="E145" s="96"/>
      <c r="F145" s="97"/>
      <c r="G145" s="98"/>
      <c r="H145" s="99" t="s">
        <v>327</v>
      </c>
      <c r="I145" s="100"/>
      <c r="J145" s="101"/>
      <c r="K145" s="102"/>
      <c r="L145" s="102"/>
      <c r="M145" s="102"/>
      <c r="N145" s="98"/>
      <c r="O145" s="98"/>
      <c r="P145" s="98"/>
      <c r="Q145" s="98"/>
      <c r="R145" s="98"/>
      <c r="S145" s="98"/>
      <c r="T145" s="98"/>
      <c r="U145" s="109"/>
      <c r="V145" s="103"/>
      <c r="W145" s="107"/>
      <c r="X145" s="108" t="s">
        <v>1440</v>
      </c>
      <c r="Y145" s="96"/>
      <c r="Z145" s="98"/>
      <c r="AA145" s="98"/>
      <c r="AB145" s="98"/>
      <c r="AC145" s="98"/>
      <c r="AD145" s="98"/>
      <c r="AE145" s="98"/>
      <c r="AF145" s="98"/>
      <c r="AG145" s="98"/>
      <c r="AH145" s="98"/>
      <c r="AI145" s="98"/>
      <c r="AJ145" s="98"/>
      <c r="AK145" s="98"/>
      <c r="AL145" s="98"/>
      <c r="AM145" s="98"/>
      <c r="AN145" s="98"/>
      <c r="AO145" s="98"/>
      <c r="AP145" s="98"/>
      <c r="AQ145" s="98"/>
      <c r="AR145" s="98"/>
      <c r="AS145" s="98"/>
    </row>
    <row r="146" spans="1:45" s="4" customFormat="1">
      <c r="A146" s="93" t="s">
        <v>919</v>
      </c>
      <c r="B146" s="94">
        <v>680487045161</v>
      </c>
      <c r="C146" s="95" t="s">
        <v>920</v>
      </c>
      <c r="D146">
        <v>0</v>
      </c>
      <c r="E146" s="96"/>
      <c r="F146" s="97"/>
      <c r="G146" s="98"/>
      <c r="H146" s="99" t="s">
        <v>328</v>
      </c>
      <c r="I146" s="100"/>
      <c r="J146" s="101"/>
      <c r="K146" s="102"/>
      <c r="L146" s="102"/>
      <c r="M146" s="102"/>
      <c r="N146" s="98"/>
      <c r="O146" s="98"/>
      <c r="P146" s="98"/>
      <c r="Q146" s="98"/>
      <c r="R146" s="98"/>
      <c r="S146" s="98"/>
      <c r="T146" s="98"/>
      <c r="U146" s="109"/>
      <c r="V146" s="103"/>
      <c r="W146" s="107"/>
      <c r="X146" s="108" t="s">
        <v>1440</v>
      </c>
      <c r="Y146" s="96"/>
      <c r="Z146" s="98"/>
      <c r="AA146" s="98"/>
      <c r="AB146" s="98"/>
      <c r="AC146" s="98"/>
      <c r="AD146" s="98"/>
      <c r="AE146" s="98"/>
      <c r="AF146" s="98"/>
      <c r="AG146" s="98"/>
      <c r="AH146" s="98"/>
      <c r="AI146" s="98"/>
      <c r="AJ146" s="98"/>
      <c r="AK146" s="98"/>
      <c r="AL146" s="98"/>
      <c r="AM146" s="98"/>
      <c r="AN146" s="98"/>
      <c r="AO146" s="98"/>
      <c r="AP146" s="98"/>
      <c r="AQ146" s="98"/>
      <c r="AR146" s="98"/>
      <c r="AS146" s="98"/>
    </row>
    <row r="147" spans="1:45" s="4" customFormat="1">
      <c r="A147" s="93" t="s">
        <v>919</v>
      </c>
      <c r="B147" s="94">
        <v>680487165852</v>
      </c>
      <c r="C147" s="95" t="s">
        <v>920</v>
      </c>
      <c r="D147">
        <v>0</v>
      </c>
      <c r="E147" s="96"/>
      <c r="F147" s="97"/>
      <c r="G147" s="98"/>
      <c r="H147" s="99" t="s">
        <v>659</v>
      </c>
      <c r="I147" s="100"/>
      <c r="J147" s="101"/>
      <c r="K147" s="102"/>
      <c r="L147" s="102"/>
      <c r="M147" s="102"/>
      <c r="N147" s="98"/>
      <c r="O147" s="98"/>
      <c r="P147" s="98"/>
      <c r="Q147" s="98"/>
      <c r="R147" s="98"/>
      <c r="S147" s="98"/>
      <c r="T147" s="98"/>
      <c r="U147" s="109"/>
      <c r="V147" s="103"/>
      <c r="W147" s="107"/>
      <c r="X147" s="108" t="s">
        <v>1440</v>
      </c>
      <c r="Y147" s="96"/>
      <c r="Z147" s="98"/>
      <c r="AA147" s="98"/>
      <c r="AB147" s="98"/>
      <c r="AC147" s="98"/>
      <c r="AD147" s="98"/>
      <c r="AE147" s="98"/>
      <c r="AF147" s="98"/>
      <c r="AG147" s="98"/>
      <c r="AH147" s="98"/>
      <c r="AI147" s="98"/>
      <c r="AJ147" s="98"/>
      <c r="AK147" s="98"/>
      <c r="AL147" s="98"/>
      <c r="AM147" s="98"/>
      <c r="AN147" s="98"/>
      <c r="AO147" s="98"/>
      <c r="AP147" s="98"/>
      <c r="AQ147" s="98"/>
      <c r="AR147" s="98"/>
      <c r="AS147" s="98"/>
    </row>
    <row r="148" spans="1:45" s="4" customFormat="1">
      <c r="A148" s="93" t="s">
        <v>919</v>
      </c>
      <c r="B148" s="94">
        <v>680487045062</v>
      </c>
      <c r="C148" s="95" t="s">
        <v>920</v>
      </c>
      <c r="D148">
        <v>0</v>
      </c>
      <c r="E148" s="96"/>
      <c r="F148" s="97"/>
      <c r="G148" s="98"/>
      <c r="H148" s="99" t="s">
        <v>329</v>
      </c>
      <c r="I148" s="100"/>
      <c r="J148" s="101"/>
      <c r="K148" s="102"/>
      <c r="L148" s="102"/>
      <c r="M148" s="102"/>
      <c r="N148" s="98"/>
      <c r="O148" s="98"/>
      <c r="P148" s="98"/>
      <c r="Q148" s="98"/>
      <c r="R148" s="98"/>
      <c r="S148" s="98"/>
      <c r="T148" s="98"/>
      <c r="U148" s="109"/>
      <c r="V148" s="103"/>
      <c r="W148" s="107"/>
      <c r="X148" s="108" t="s">
        <v>1440</v>
      </c>
      <c r="Y148" s="96"/>
      <c r="Z148" s="98"/>
      <c r="AA148" s="98"/>
      <c r="AB148" s="98"/>
      <c r="AC148" s="98"/>
      <c r="AD148" s="98"/>
      <c r="AE148" s="98"/>
      <c r="AF148" s="98"/>
      <c r="AG148" s="98"/>
      <c r="AH148" s="98"/>
      <c r="AI148" s="98"/>
      <c r="AJ148" s="98"/>
      <c r="AK148" s="98"/>
      <c r="AL148" s="98"/>
      <c r="AM148" s="98"/>
      <c r="AN148" s="98"/>
      <c r="AO148" s="98"/>
      <c r="AP148" s="98"/>
      <c r="AQ148" s="98"/>
      <c r="AR148" s="98"/>
      <c r="AS148" s="98"/>
    </row>
    <row r="149" spans="1:45" s="4" customFormat="1">
      <c r="A149" s="93" t="s">
        <v>919</v>
      </c>
      <c r="B149" s="94">
        <v>680487045789</v>
      </c>
      <c r="C149" s="95" t="s">
        <v>920</v>
      </c>
      <c r="D149">
        <v>0</v>
      </c>
      <c r="E149" s="96"/>
      <c r="F149" s="97"/>
      <c r="G149" s="98"/>
      <c r="H149" s="99" t="s">
        <v>330</v>
      </c>
      <c r="I149" s="100"/>
      <c r="J149" s="101"/>
      <c r="K149" s="102"/>
      <c r="L149" s="102"/>
      <c r="M149" s="102"/>
      <c r="N149" s="98"/>
      <c r="O149" s="98"/>
      <c r="P149" s="98"/>
      <c r="Q149" s="98"/>
      <c r="R149" s="98"/>
      <c r="S149" s="98"/>
      <c r="T149" s="98"/>
      <c r="U149" s="109"/>
      <c r="V149" s="103"/>
      <c r="W149" s="107"/>
      <c r="X149" s="108" t="s">
        <v>1440</v>
      </c>
      <c r="Y149" s="96"/>
      <c r="Z149" s="98"/>
      <c r="AA149" s="98"/>
      <c r="AB149" s="98"/>
      <c r="AC149" s="98"/>
      <c r="AD149" s="98"/>
      <c r="AE149" s="98"/>
      <c r="AF149" s="98"/>
      <c r="AG149" s="98"/>
      <c r="AH149" s="98"/>
      <c r="AI149" s="98"/>
      <c r="AJ149" s="98"/>
      <c r="AK149" s="98"/>
      <c r="AL149" s="98"/>
      <c r="AM149" s="98"/>
      <c r="AN149" s="98"/>
      <c r="AO149" s="98"/>
      <c r="AP149" s="98"/>
      <c r="AQ149" s="98"/>
      <c r="AR149" s="98"/>
      <c r="AS149" s="98"/>
    </row>
    <row r="150" spans="1:45" s="4" customFormat="1">
      <c r="A150" s="93" t="s">
        <v>919</v>
      </c>
      <c r="B150" s="94">
        <v>680487085952</v>
      </c>
      <c r="C150" s="95" t="s">
        <v>920</v>
      </c>
      <c r="D150">
        <v>0</v>
      </c>
      <c r="E150" s="96"/>
      <c r="F150" s="97"/>
      <c r="G150" s="98"/>
      <c r="H150" s="99" t="s">
        <v>331</v>
      </c>
      <c r="I150" s="100"/>
      <c r="J150" s="101"/>
      <c r="K150" s="102"/>
      <c r="L150" s="102"/>
      <c r="M150" s="102"/>
      <c r="N150" s="98"/>
      <c r="O150" s="98"/>
      <c r="P150" s="98"/>
      <c r="Q150" s="98"/>
      <c r="R150" s="98"/>
      <c r="S150" s="98"/>
      <c r="T150" s="98"/>
      <c r="U150" s="109"/>
      <c r="V150" s="103"/>
      <c r="W150" s="107"/>
      <c r="X150" s="108" t="s">
        <v>1440</v>
      </c>
      <c r="Y150" s="96"/>
      <c r="Z150" s="98"/>
      <c r="AA150" s="98"/>
      <c r="AB150" s="98"/>
      <c r="AC150" s="98"/>
      <c r="AD150" s="98"/>
      <c r="AE150" s="98"/>
      <c r="AF150" s="98"/>
      <c r="AG150" s="98"/>
      <c r="AH150" s="98"/>
      <c r="AI150" s="98"/>
      <c r="AJ150" s="98"/>
      <c r="AK150" s="98"/>
      <c r="AL150" s="98"/>
      <c r="AM150" s="98"/>
      <c r="AN150" s="98"/>
      <c r="AO150" s="98"/>
      <c r="AP150" s="98"/>
      <c r="AQ150" s="98"/>
      <c r="AR150" s="98"/>
      <c r="AS150" s="98"/>
    </row>
    <row r="151" spans="1:45" s="4" customFormat="1">
      <c r="A151" s="93" t="s">
        <v>919</v>
      </c>
      <c r="B151" s="94">
        <v>680487044492</v>
      </c>
      <c r="C151" s="95" t="s">
        <v>920</v>
      </c>
      <c r="D151">
        <v>0</v>
      </c>
      <c r="E151" s="96"/>
      <c r="F151" s="97"/>
      <c r="G151" s="98"/>
      <c r="H151" s="99" t="s">
        <v>332</v>
      </c>
      <c r="I151" s="100"/>
      <c r="J151" s="101"/>
      <c r="K151" s="102"/>
      <c r="L151" s="102"/>
      <c r="M151" s="102"/>
      <c r="N151" s="98"/>
      <c r="O151" s="98"/>
      <c r="P151" s="98"/>
      <c r="Q151" s="98"/>
      <c r="R151" s="98"/>
      <c r="S151" s="98"/>
      <c r="T151" s="98"/>
      <c r="U151" s="109"/>
      <c r="V151" s="103"/>
      <c r="W151" s="107"/>
      <c r="X151" s="108" t="s">
        <v>1440</v>
      </c>
      <c r="Y151" s="96"/>
      <c r="Z151" s="98"/>
      <c r="AA151" s="98"/>
      <c r="AB151" s="98"/>
      <c r="AC151" s="98"/>
      <c r="AD151" s="98"/>
      <c r="AE151" s="98"/>
      <c r="AF151" s="98"/>
      <c r="AG151" s="98"/>
      <c r="AH151" s="98"/>
      <c r="AI151" s="98"/>
      <c r="AJ151" s="98"/>
      <c r="AK151" s="98"/>
      <c r="AL151" s="98"/>
      <c r="AM151" s="98"/>
      <c r="AN151" s="98"/>
      <c r="AO151" s="98"/>
      <c r="AP151" s="98"/>
      <c r="AQ151" s="98"/>
      <c r="AR151" s="98"/>
      <c r="AS151" s="98"/>
    </row>
    <row r="152" spans="1:45" s="4" customFormat="1">
      <c r="A152" s="93" t="s">
        <v>919</v>
      </c>
      <c r="B152" s="94">
        <v>680487044591</v>
      </c>
      <c r="C152" s="95" t="s">
        <v>920</v>
      </c>
      <c r="D152">
        <v>0</v>
      </c>
      <c r="E152" s="96"/>
      <c r="F152" s="97"/>
      <c r="G152" s="98"/>
      <c r="H152" s="99" t="s">
        <v>333</v>
      </c>
      <c r="I152" s="100"/>
      <c r="J152" s="101"/>
      <c r="K152" s="102"/>
      <c r="L152" s="102"/>
      <c r="M152" s="102"/>
      <c r="N152" s="98"/>
      <c r="O152" s="98"/>
      <c r="P152" s="98"/>
      <c r="Q152" s="98"/>
      <c r="R152" s="98"/>
      <c r="S152" s="98"/>
      <c r="T152" s="98"/>
      <c r="U152" s="109"/>
      <c r="V152" s="103"/>
      <c r="W152" s="107"/>
      <c r="X152" s="108" t="s">
        <v>1440</v>
      </c>
      <c r="Y152" s="96"/>
      <c r="Z152" s="98"/>
      <c r="AA152" s="98"/>
      <c r="AB152" s="98"/>
      <c r="AC152" s="98"/>
      <c r="AD152" s="98"/>
      <c r="AE152" s="98"/>
      <c r="AF152" s="98"/>
      <c r="AG152" s="98"/>
      <c r="AH152" s="98"/>
      <c r="AI152" s="98"/>
      <c r="AJ152" s="98"/>
      <c r="AK152" s="98"/>
      <c r="AL152" s="98"/>
      <c r="AM152" s="98"/>
      <c r="AN152" s="98"/>
      <c r="AO152" s="98"/>
      <c r="AP152" s="98"/>
      <c r="AQ152" s="98"/>
      <c r="AR152" s="98"/>
      <c r="AS152" s="98"/>
    </row>
    <row r="153" spans="1:45" s="4" customFormat="1">
      <c r="A153" s="93" t="s">
        <v>919</v>
      </c>
      <c r="B153" s="94">
        <v>680487044232</v>
      </c>
      <c r="C153" s="95" t="s">
        <v>920</v>
      </c>
      <c r="D153">
        <v>0</v>
      </c>
      <c r="E153" s="96"/>
      <c r="F153" s="97"/>
      <c r="G153" s="98"/>
      <c r="H153" s="99" t="s">
        <v>334</v>
      </c>
      <c r="I153" s="100"/>
      <c r="J153" s="101"/>
      <c r="K153" s="102"/>
      <c r="L153" s="102"/>
      <c r="M153" s="102"/>
      <c r="N153" s="98"/>
      <c r="O153" s="98"/>
      <c r="P153" s="98"/>
      <c r="Q153" s="98"/>
      <c r="R153" s="98"/>
      <c r="S153" s="98"/>
      <c r="T153" s="98"/>
      <c r="U153" s="109"/>
      <c r="V153" s="103"/>
      <c r="W153" s="107"/>
      <c r="X153" s="108" t="s">
        <v>1440</v>
      </c>
      <c r="Y153" s="96"/>
      <c r="Z153" s="98"/>
      <c r="AA153" s="98"/>
      <c r="AB153" s="98"/>
      <c r="AC153" s="98"/>
      <c r="AD153" s="98"/>
      <c r="AE153" s="98"/>
      <c r="AF153" s="98"/>
      <c r="AG153" s="98"/>
      <c r="AH153" s="98"/>
      <c r="AI153" s="98"/>
      <c r="AJ153" s="98"/>
      <c r="AK153" s="98"/>
      <c r="AL153" s="98"/>
      <c r="AM153" s="98"/>
      <c r="AN153" s="98"/>
      <c r="AO153" s="98"/>
      <c r="AP153" s="98"/>
      <c r="AQ153" s="98"/>
      <c r="AR153" s="98"/>
      <c r="AS153" s="98"/>
    </row>
    <row r="154" spans="1:45" s="4" customFormat="1">
      <c r="A154" s="93" t="s">
        <v>919</v>
      </c>
      <c r="B154" s="94">
        <v>680487045321</v>
      </c>
      <c r="C154" s="95" t="s">
        <v>920</v>
      </c>
      <c r="D154">
        <v>0</v>
      </c>
      <c r="E154" s="96"/>
      <c r="F154" s="97"/>
      <c r="G154" s="98"/>
      <c r="H154" s="99" t="s">
        <v>335</v>
      </c>
      <c r="I154" s="100"/>
      <c r="J154" s="101"/>
      <c r="K154" s="102"/>
      <c r="L154" s="102"/>
      <c r="M154" s="102"/>
      <c r="N154" s="98"/>
      <c r="O154" s="98"/>
      <c r="P154" s="98"/>
      <c r="Q154" s="98"/>
      <c r="R154" s="98"/>
      <c r="S154" s="98"/>
      <c r="T154" s="98"/>
      <c r="U154" s="109"/>
      <c r="V154" s="103"/>
      <c r="W154" s="107"/>
      <c r="X154" s="108" t="s">
        <v>1440</v>
      </c>
      <c r="Y154" s="96"/>
      <c r="Z154" s="98"/>
      <c r="AA154" s="98"/>
      <c r="AB154" s="98"/>
      <c r="AC154" s="98"/>
      <c r="AD154" s="98"/>
      <c r="AE154" s="98"/>
      <c r="AF154" s="98"/>
      <c r="AG154" s="98"/>
      <c r="AH154" s="98"/>
      <c r="AI154" s="98"/>
      <c r="AJ154" s="98"/>
      <c r="AK154" s="98"/>
      <c r="AL154" s="98"/>
      <c r="AM154" s="98"/>
      <c r="AN154" s="98"/>
      <c r="AO154" s="98"/>
      <c r="AP154" s="98"/>
      <c r="AQ154" s="98"/>
      <c r="AR154" s="98"/>
      <c r="AS154" s="98"/>
    </row>
    <row r="155" spans="1:45" s="4" customFormat="1">
      <c r="A155" s="93" t="s">
        <v>919</v>
      </c>
      <c r="B155" s="94">
        <v>680487135107</v>
      </c>
      <c r="C155" s="95" t="s">
        <v>920</v>
      </c>
      <c r="D155">
        <v>0</v>
      </c>
      <c r="E155" s="96"/>
      <c r="F155" s="97"/>
      <c r="G155" s="98"/>
      <c r="H155" s="99" t="s">
        <v>336</v>
      </c>
      <c r="I155" s="100"/>
      <c r="J155" s="101"/>
      <c r="K155" s="102"/>
      <c r="L155" s="102"/>
      <c r="M155" s="102"/>
      <c r="N155" s="98"/>
      <c r="O155" s="98"/>
      <c r="P155" s="98"/>
      <c r="Q155" s="98"/>
      <c r="R155" s="98"/>
      <c r="S155" s="98"/>
      <c r="T155" s="98"/>
      <c r="U155" s="109"/>
      <c r="V155" s="103"/>
      <c r="W155" s="107"/>
      <c r="X155" s="108" t="s">
        <v>1440</v>
      </c>
      <c r="Y155" s="96"/>
      <c r="Z155" s="98"/>
      <c r="AA155" s="98"/>
      <c r="AB155" s="98"/>
      <c r="AC155" s="98"/>
      <c r="AD155" s="98"/>
      <c r="AE155" s="98"/>
      <c r="AF155" s="98"/>
      <c r="AG155" s="98"/>
      <c r="AH155" s="98"/>
      <c r="AI155" s="98"/>
      <c r="AJ155" s="98"/>
      <c r="AK155" s="98"/>
      <c r="AL155" s="98"/>
      <c r="AM155" s="98"/>
      <c r="AN155" s="98"/>
      <c r="AO155" s="98"/>
      <c r="AP155" s="98"/>
      <c r="AQ155" s="98"/>
      <c r="AR155" s="98"/>
      <c r="AS155" s="98"/>
    </row>
    <row r="156" spans="1:45" s="4" customFormat="1">
      <c r="A156" s="93" t="s">
        <v>919</v>
      </c>
      <c r="B156" s="94">
        <v>680487135121</v>
      </c>
      <c r="C156" s="95" t="s">
        <v>920</v>
      </c>
      <c r="D156">
        <v>0</v>
      </c>
      <c r="E156" s="96"/>
      <c r="F156" s="97"/>
      <c r="G156" s="98"/>
      <c r="H156" s="99" t="s">
        <v>337</v>
      </c>
      <c r="I156" s="100"/>
      <c r="J156" s="101"/>
      <c r="K156" s="102"/>
      <c r="L156" s="102"/>
      <c r="M156" s="102"/>
      <c r="N156" s="98"/>
      <c r="O156" s="98"/>
      <c r="P156" s="98"/>
      <c r="Q156" s="98"/>
      <c r="R156" s="98"/>
      <c r="S156" s="98"/>
      <c r="T156" s="98"/>
      <c r="U156" s="109"/>
      <c r="V156" s="103"/>
      <c r="W156" s="107"/>
      <c r="X156" s="108" t="s">
        <v>1440</v>
      </c>
      <c r="Y156" s="96"/>
      <c r="Z156" s="98"/>
      <c r="AA156" s="98"/>
      <c r="AB156" s="98"/>
      <c r="AC156" s="98"/>
      <c r="AD156" s="98"/>
      <c r="AE156" s="98"/>
      <c r="AF156" s="98"/>
      <c r="AG156" s="98"/>
      <c r="AH156" s="98"/>
      <c r="AI156" s="98"/>
      <c r="AJ156" s="98"/>
      <c r="AK156" s="98"/>
      <c r="AL156" s="98"/>
      <c r="AM156" s="98"/>
      <c r="AN156" s="98"/>
      <c r="AO156" s="98"/>
      <c r="AP156" s="98"/>
      <c r="AQ156" s="98"/>
      <c r="AR156" s="98"/>
      <c r="AS156" s="98"/>
    </row>
    <row r="157" spans="1:45" s="4" customFormat="1">
      <c r="A157" s="93" t="s">
        <v>919</v>
      </c>
      <c r="B157" s="94">
        <v>680487135053</v>
      </c>
      <c r="C157" s="95" t="s">
        <v>920</v>
      </c>
      <c r="D157">
        <v>0</v>
      </c>
      <c r="E157" s="96"/>
      <c r="F157" s="97"/>
      <c r="G157" s="98"/>
      <c r="H157" s="99" t="s">
        <v>338</v>
      </c>
      <c r="I157" s="100"/>
      <c r="J157" s="101"/>
      <c r="K157" s="102"/>
      <c r="L157" s="102"/>
      <c r="M157" s="102"/>
      <c r="N157" s="98"/>
      <c r="O157" s="98"/>
      <c r="P157" s="98"/>
      <c r="Q157" s="98"/>
      <c r="R157" s="98"/>
      <c r="S157" s="98"/>
      <c r="T157" s="98"/>
      <c r="U157" s="109"/>
      <c r="V157" s="103"/>
      <c r="W157" s="107"/>
      <c r="X157" s="108" t="s">
        <v>1440</v>
      </c>
      <c r="Y157" s="96"/>
      <c r="Z157" s="98"/>
      <c r="AA157" s="98"/>
      <c r="AB157" s="98"/>
      <c r="AC157" s="98"/>
      <c r="AD157" s="98"/>
      <c r="AE157" s="98"/>
      <c r="AF157" s="98"/>
      <c r="AG157" s="98"/>
      <c r="AH157" s="98"/>
      <c r="AI157" s="98"/>
      <c r="AJ157" s="98"/>
      <c r="AK157" s="98"/>
      <c r="AL157" s="98"/>
      <c r="AM157" s="98"/>
      <c r="AN157" s="98"/>
      <c r="AO157" s="98"/>
      <c r="AP157" s="98"/>
      <c r="AQ157" s="98"/>
      <c r="AR157" s="98"/>
      <c r="AS157" s="98"/>
    </row>
    <row r="158" spans="1:45" s="4" customFormat="1">
      <c r="A158" s="93" t="s">
        <v>919</v>
      </c>
      <c r="B158" s="94">
        <v>680487135152</v>
      </c>
      <c r="C158" s="95" t="s">
        <v>920</v>
      </c>
      <c r="D158">
        <v>0</v>
      </c>
      <c r="E158" s="96"/>
      <c r="F158" s="97"/>
      <c r="G158" s="98"/>
      <c r="H158" s="99" t="s">
        <v>339</v>
      </c>
      <c r="I158" s="100"/>
      <c r="J158" s="101"/>
      <c r="K158" s="102"/>
      <c r="L158" s="102"/>
      <c r="M158" s="102"/>
      <c r="N158" s="98"/>
      <c r="O158" s="98"/>
      <c r="P158" s="98"/>
      <c r="Q158" s="98"/>
      <c r="R158" s="98"/>
      <c r="S158" s="98"/>
      <c r="T158" s="98"/>
      <c r="U158" s="109"/>
      <c r="V158" s="103"/>
      <c r="W158" s="107"/>
      <c r="X158" s="108" t="s">
        <v>1440</v>
      </c>
      <c r="Y158" s="96"/>
      <c r="Z158" s="98"/>
      <c r="AA158" s="98"/>
      <c r="AB158" s="98"/>
      <c r="AC158" s="98"/>
      <c r="AD158" s="98"/>
      <c r="AE158" s="98"/>
      <c r="AF158" s="98"/>
      <c r="AG158" s="98"/>
      <c r="AH158" s="98"/>
      <c r="AI158" s="98"/>
      <c r="AJ158" s="98"/>
      <c r="AK158" s="98"/>
      <c r="AL158" s="98"/>
      <c r="AM158" s="98"/>
      <c r="AN158" s="98"/>
      <c r="AO158" s="98"/>
      <c r="AP158" s="98"/>
      <c r="AQ158" s="98"/>
      <c r="AR158" s="98"/>
      <c r="AS158" s="98"/>
    </row>
    <row r="159" spans="1:45" s="4" customFormat="1">
      <c r="A159" s="93" t="s">
        <v>919</v>
      </c>
      <c r="B159" s="94">
        <v>680487166064</v>
      </c>
      <c r="C159" s="95" t="s">
        <v>920</v>
      </c>
      <c r="D159">
        <v>0</v>
      </c>
      <c r="E159" s="96"/>
      <c r="F159" s="97"/>
      <c r="G159" s="98"/>
      <c r="H159" s="99" t="s">
        <v>340</v>
      </c>
      <c r="I159" s="100"/>
      <c r="J159" s="101"/>
      <c r="K159" s="102"/>
      <c r="L159" s="102"/>
      <c r="M159" s="102"/>
      <c r="N159" s="98"/>
      <c r="O159" s="98"/>
      <c r="P159" s="98"/>
      <c r="Q159" s="98"/>
      <c r="R159" s="98"/>
      <c r="S159" s="98"/>
      <c r="T159" s="98"/>
      <c r="U159" s="109"/>
      <c r="V159" s="103"/>
      <c r="W159" s="107"/>
      <c r="X159" s="108" t="s">
        <v>1440</v>
      </c>
      <c r="Y159" s="96"/>
      <c r="Z159" s="98"/>
      <c r="AA159" s="98"/>
      <c r="AB159" s="98"/>
      <c r="AC159" s="98"/>
      <c r="AD159" s="98"/>
      <c r="AE159" s="98"/>
      <c r="AF159" s="98"/>
      <c r="AG159" s="98"/>
      <c r="AH159" s="98"/>
      <c r="AI159" s="98"/>
      <c r="AJ159" s="98"/>
      <c r="AK159" s="98"/>
      <c r="AL159" s="98"/>
      <c r="AM159" s="98"/>
      <c r="AN159" s="98"/>
      <c r="AO159" s="98"/>
      <c r="AP159" s="98"/>
      <c r="AQ159" s="98"/>
      <c r="AR159" s="98"/>
      <c r="AS159" s="98"/>
    </row>
    <row r="160" spans="1:45" s="4" customFormat="1">
      <c r="A160" s="93" t="s">
        <v>919</v>
      </c>
      <c r="B160" s="94">
        <v>680487043976</v>
      </c>
      <c r="C160" s="95" t="s">
        <v>920</v>
      </c>
      <c r="D160">
        <v>0</v>
      </c>
      <c r="E160" s="96"/>
      <c r="F160" s="97"/>
      <c r="G160" s="98"/>
      <c r="H160" s="99" t="s">
        <v>341</v>
      </c>
      <c r="I160" s="100"/>
      <c r="J160" s="101"/>
      <c r="K160" s="102"/>
      <c r="L160" s="102"/>
      <c r="M160" s="102"/>
      <c r="N160" s="98"/>
      <c r="O160" s="98"/>
      <c r="P160" s="98"/>
      <c r="Q160" s="98"/>
      <c r="R160" s="98"/>
      <c r="S160" s="98"/>
      <c r="T160" s="98"/>
      <c r="U160" s="109"/>
      <c r="V160" s="103"/>
      <c r="W160" s="107"/>
      <c r="X160" s="108" t="s">
        <v>1440</v>
      </c>
      <c r="Y160" s="96"/>
      <c r="Z160" s="98"/>
      <c r="AA160" s="98"/>
      <c r="AB160" s="98"/>
      <c r="AC160" s="98"/>
      <c r="AD160" s="98"/>
      <c r="AE160" s="98"/>
      <c r="AF160" s="98"/>
      <c r="AG160" s="98"/>
      <c r="AH160" s="98"/>
      <c r="AI160" s="98"/>
      <c r="AJ160" s="98"/>
      <c r="AK160" s="98"/>
      <c r="AL160" s="98"/>
      <c r="AM160" s="98"/>
      <c r="AN160" s="98"/>
      <c r="AO160" s="98"/>
      <c r="AP160" s="98"/>
      <c r="AQ160" s="98"/>
      <c r="AR160" s="98"/>
      <c r="AS160" s="98"/>
    </row>
    <row r="161" spans="1:45" s="4" customFormat="1">
      <c r="A161" s="93" t="s">
        <v>919</v>
      </c>
      <c r="B161" s="94">
        <v>680487043990</v>
      </c>
      <c r="C161" s="95" t="s">
        <v>920</v>
      </c>
      <c r="D161">
        <v>0</v>
      </c>
      <c r="E161" s="96"/>
      <c r="F161" s="97"/>
      <c r="G161" s="98"/>
      <c r="H161" s="99" t="s">
        <v>342</v>
      </c>
      <c r="I161" s="100"/>
      <c r="J161" s="101"/>
      <c r="K161" s="102"/>
      <c r="L161" s="102"/>
      <c r="M161" s="102"/>
      <c r="N161" s="98"/>
      <c r="O161" s="98"/>
      <c r="P161" s="98"/>
      <c r="Q161" s="98"/>
      <c r="R161" s="98"/>
      <c r="S161" s="98"/>
      <c r="T161" s="98"/>
      <c r="U161" s="109"/>
      <c r="V161" s="103"/>
      <c r="W161" s="107"/>
      <c r="X161" s="108" t="s">
        <v>1440</v>
      </c>
      <c r="Y161" s="96"/>
      <c r="Z161" s="98"/>
      <c r="AA161" s="98"/>
      <c r="AB161" s="98"/>
      <c r="AC161" s="98"/>
      <c r="AD161" s="98"/>
      <c r="AE161" s="98"/>
      <c r="AF161" s="98"/>
      <c r="AG161" s="98"/>
      <c r="AH161" s="98"/>
      <c r="AI161" s="98"/>
      <c r="AJ161" s="98"/>
      <c r="AK161" s="98"/>
      <c r="AL161" s="98"/>
      <c r="AM161" s="98"/>
      <c r="AN161" s="98"/>
      <c r="AO161" s="98"/>
      <c r="AP161" s="98"/>
      <c r="AQ161" s="98"/>
      <c r="AR161" s="98"/>
      <c r="AS161" s="98"/>
    </row>
    <row r="162" spans="1:45" s="4" customFormat="1">
      <c r="A162" s="93" t="s">
        <v>919</v>
      </c>
      <c r="B162" s="94">
        <v>680487135237</v>
      </c>
      <c r="C162" s="95" t="s">
        <v>920</v>
      </c>
      <c r="D162">
        <v>0</v>
      </c>
      <c r="E162" s="96"/>
      <c r="F162" s="97"/>
      <c r="G162" s="98"/>
      <c r="H162" s="99" t="s">
        <v>343</v>
      </c>
      <c r="I162" s="100"/>
      <c r="J162" s="101"/>
      <c r="K162" s="102"/>
      <c r="L162" s="102"/>
      <c r="M162" s="102"/>
      <c r="N162" s="98"/>
      <c r="O162" s="98"/>
      <c r="P162" s="98"/>
      <c r="Q162" s="98"/>
      <c r="R162" s="98"/>
      <c r="S162" s="98"/>
      <c r="T162" s="98"/>
      <c r="U162" s="109"/>
      <c r="V162" s="103"/>
      <c r="W162" s="107"/>
      <c r="X162" s="108" t="s">
        <v>1440</v>
      </c>
      <c r="Y162" s="96"/>
      <c r="Z162" s="98"/>
      <c r="AA162" s="98"/>
      <c r="AB162" s="98"/>
      <c r="AC162" s="98"/>
      <c r="AD162" s="98"/>
      <c r="AE162" s="98"/>
      <c r="AF162" s="98"/>
      <c r="AG162" s="98"/>
      <c r="AH162" s="98"/>
      <c r="AI162" s="98"/>
      <c r="AJ162" s="98"/>
      <c r="AK162" s="98"/>
      <c r="AL162" s="98"/>
      <c r="AM162" s="98"/>
      <c r="AN162" s="98"/>
      <c r="AO162" s="98"/>
      <c r="AP162" s="98"/>
      <c r="AQ162" s="98"/>
      <c r="AR162" s="98"/>
      <c r="AS162" s="98"/>
    </row>
    <row r="163" spans="1:45" s="4" customFormat="1">
      <c r="A163" s="93" t="s">
        <v>919</v>
      </c>
      <c r="B163" s="94">
        <v>680487045185</v>
      </c>
      <c r="C163" s="95" t="s">
        <v>920</v>
      </c>
      <c r="D163">
        <v>0</v>
      </c>
      <c r="E163" s="96"/>
      <c r="F163" s="97"/>
      <c r="G163" s="98"/>
      <c r="H163" s="99" t="s">
        <v>344</v>
      </c>
      <c r="I163" s="100"/>
      <c r="J163" s="101"/>
      <c r="K163" s="102"/>
      <c r="L163" s="102"/>
      <c r="M163" s="102"/>
      <c r="N163" s="98"/>
      <c r="O163" s="98"/>
      <c r="P163" s="98"/>
      <c r="Q163" s="98"/>
      <c r="R163" s="98"/>
      <c r="S163" s="98"/>
      <c r="T163" s="98"/>
      <c r="U163" s="109"/>
      <c r="V163" s="103"/>
      <c r="W163" s="107"/>
      <c r="X163" s="108" t="s">
        <v>1440</v>
      </c>
      <c r="Y163" s="96"/>
      <c r="Z163" s="98"/>
      <c r="AA163" s="98"/>
      <c r="AB163" s="98"/>
      <c r="AC163" s="98"/>
      <c r="AD163" s="98"/>
      <c r="AE163" s="98"/>
      <c r="AF163" s="98"/>
      <c r="AG163" s="98"/>
      <c r="AH163" s="98"/>
      <c r="AI163" s="98"/>
      <c r="AJ163" s="98"/>
      <c r="AK163" s="98"/>
      <c r="AL163" s="98"/>
      <c r="AM163" s="98"/>
      <c r="AN163" s="98"/>
      <c r="AO163" s="98"/>
      <c r="AP163" s="98"/>
      <c r="AQ163" s="98"/>
      <c r="AR163" s="98"/>
      <c r="AS163" s="98"/>
    </row>
    <row r="164" spans="1:45" s="4" customFormat="1">
      <c r="A164" s="93" t="s">
        <v>919</v>
      </c>
      <c r="B164" s="94">
        <v>680487045864</v>
      </c>
      <c r="C164" s="95" t="s">
        <v>920</v>
      </c>
      <c r="D164">
        <v>0</v>
      </c>
      <c r="E164" s="96"/>
      <c r="F164" s="97"/>
      <c r="G164" s="98"/>
      <c r="H164" s="99" t="s">
        <v>345</v>
      </c>
      <c r="I164" s="100"/>
      <c r="J164" s="101"/>
      <c r="K164" s="102"/>
      <c r="L164" s="102"/>
      <c r="M164" s="102"/>
      <c r="N164" s="98"/>
      <c r="O164" s="98"/>
      <c r="P164" s="98"/>
      <c r="Q164" s="98"/>
      <c r="R164" s="98"/>
      <c r="S164" s="98"/>
      <c r="T164" s="98"/>
      <c r="U164" s="109"/>
      <c r="V164" s="103"/>
      <c r="W164" s="107"/>
      <c r="X164" s="108" t="s">
        <v>1440</v>
      </c>
      <c r="Y164" s="96"/>
      <c r="Z164" s="98"/>
      <c r="AA164" s="98"/>
      <c r="AB164" s="98"/>
      <c r="AC164" s="98"/>
      <c r="AD164" s="98"/>
      <c r="AE164" s="98"/>
      <c r="AF164" s="98"/>
      <c r="AG164" s="98"/>
      <c r="AH164" s="98"/>
      <c r="AI164" s="98"/>
      <c r="AJ164" s="98"/>
      <c r="AK164" s="98"/>
      <c r="AL164" s="98"/>
      <c r="AM164" s="98"/>
      <c r="AN164" s="98"/>
      <c r="AO164" s="98"/>
      <c r="AP164" s="98"/>
      <c r="AQ164" s="98"/>
      <c r="AR164" s="98"/>
      <c r="AS164" s="98"/>
    </row>
    <row r="165" spans="1:45" s="4" customFormat="1">
      <c r="A165" s="93" t="s">
        <v>919</v>
      </c>
      <c r="B165" s="94">
        <v>680487044195</v>
      </c>
      <c r="C165" s="95" t="s">
        <v>920</v>
      </c>
      <c r="D165">
        <v>0</v>
      </c>
      <c r="E165" s="96"/>
      <c r="F165" s="97"/>
      <c r="G165" s="98"/>
      <c r="H165" s="99" t="s">
        <v>346</v>
      </c>
      <c r="I165" s="100"/>
      <c r="J165" s="101"/>
      <c r="K165" s="102"/>
      <c r="L165" s="102"/>
      <c r="M165" s="102"/>
      <c r="N165" s="98"/>
      <c r="O165" s="98"/>
      <c r="P165" s="98"/>
      <c r="Q165" s="98"/>
      <c r="R165" s="98"/>
      <c r="S165" s="98"/>
      <c r="T165" s="98"/>
      <c r="U165" s="109"/>
      <c r="V165" s="103"/>
      <c r="W165" s="107"/>
      <c r="X165" s="108" t="s">
        <v>1440</v>
      </c>
      <c r="Y165" s="96"/>
      <c r="Z165" s="98"/>
      <c r="AA165" s="98"/>
      <c r="AB165" s="98"/>
      <c r="AC165" s="98"/>
      <c r="AD165" s="98"/>
      <c r="AE165" s="98"/>
      <c r="AF165" s="98"/>
      <c r="AG165" s="98"/>
      <c r="AH165" s="98"/>
      <c r="AI165" s="98"/>
      <c r="AJ165" s="98"/>
      <c r="AK165" s="98"/>
      <c r="AL165" s="98"/>
      <c r="AM165" s="98"/>
      <c r="AN165" s="98"/>
      <c r="AO165" s="98"/>
      <c r="AP165" s="98"/>
      <c r="AQ165" s="98"/>
      <c r="AR165" s="98"/>
      <c r="AS165" s="98"/>
    </row>
    <row r="166" spans="1:45" s="4" customFormat="1">
      <c r="A166" s="93" t="s">
        <v>919</v>
      </c>
      <c r="B166" s="94">
        <v>680487135190</v>
      </c>
      <c r="C166" s="95" t="s">
        <v>920</v>
      </c>
      <c r="D166">
        <v>0</v>
      </c>
      <c r="E166" s="96"/>
      <c r="F166" s="97"/>
      <c r="G166" s="98"/>
      <c r="H166" s="99" t="s">
        <v>347</v>
      </c>
      <c r="I166" s="100"/>
      <c r="J166" s="101"/>
      <c r="K166" s="102"/>
      <c r="L166" s="102"/>
      <c r="M166" s="102"/>
      <c r="N166" s="98"/>
      <c r="O166" s="98"/>
      <c r="P166" s="98"/>
      <c r="Q166" s="98"/>
      <c r="R166" s="98"/>
      <c r="S166" s="98"/>
      <c r="T166" s="98"/>
      <c r="U166" s="109"/>
      <c r="V166" s="103"/>
      <c r="W166" s="107"/>
      <c r="X166" s="108" t="s">
        <v>1440</v>
      </c>
      <c r="Y166" s="96"/>
      <c r="Z166" s="98"/>
      <c r="AA166" s="98"/>
      <c r="AB166" s="98"/>
      <c r="AC166" s="98"/>
      <c r="AD166" s="98"/>
      <c r="AE166" s="98"/>
      <c r="AF166" s="98"/>
      <c r="AG166" s="98"/>
      <c r="AH166" s="98"/>
      <c r="AI166" s="98"/>
      <c r="AJ166" s="98"/>
      <c r="AK166" s="98"/>
      <c r="AL166" s="98"/>
      <c r="AM166" s="98"/>
      <c r="AN166" s="98"/>
      <c r="AO166" s="98"/>
      <c r="AP166" s="98"/>
      <c r="AQ166" s="98"/>
      <c r="AR166" s="98"/>
      <c r="AS166" s="98"/>
    </row>
    <row r="167" spans="1:45" s="4" customFormat="1">
      <c r="A167" s="93" t="s">
        <v>919</v>
      </c>
      <c r="B167" s="94">
        <v>680487165876</v>
      </c>
      <c r="C167" s="95" t="s">
        <v>920</v>
      </c>
      <c r="D167">
        <v>0</v>
      </c>
      <c r="E167" s="96"/>
      <c r="F167" s="97"/>
      <c r="G167" s="98"/>
      <c r="H167" s="99" t="s">
        <v>348</v>
      </c>
      <c r="I167" s="100"/>
      <c r="J167" s="101"/>
      <c r="K167" s="102"/>
      <c r="L167" s="102"/>
      <c r="M167" s="102"/>
      <c r="N167" s="98"/>
      <c r="O167" s="98"/>
      <c r="P167" s="98"/>
      <c r="Q167" s="98"/>
      <c r="R167" s="98"/>
      <c r="S167" s="98"/>
      <c r="T167" s="98"/>
      <c r="U167" s="109"/>
      <c r="V167" s="103"/>
      <c r="W167" s="107"/>
      <c r="X167" s="108" t="s">
        <v>1440</v>
      </c>
      <c r="Y167" s="96"/>
      <c r="Z167" s="98"/>
      <c r="AA167" s="98"/>
      <c r="AB167" s="98"/>
      <c r="AC167" s="98"/>
      <c r="AD167" s="98"/>
      <c r="AE167" s="98"/>
      <c r="AF167" s="98"/>
      <c r="AG167" s="98"/>
      <c r="AH167" s="98"/>
      <c r="AI167" s="98"/>
      <c r="AJ167" s="98"/>
      <c r="AK167" s="98"/>
      <c r="AL167" s="98"/>
      <c r="AM167" s="98"/>
      <c r="AN167" s="98"/>
      <c r="AO167" s="98"/>
      <c r="AP167" s="98"/>
      <c r="AQ167" s="98"/>
      <c r="AR167" s="98"/>
      <c r="AS167" s="98"/>
    </row>
    <row r="168" spans="1:45" s="4" customFormat="1">
      <c r="A168" s="93" t="s">
        <v>919</v>
      </c>
      <c r="B168" s="94">
        <v>680487044638</v>
      </c>
      <c r="C168" s="95" t="s">
        <v>920</v>
      </c>
      <c r="D168">
        <v>0</v>
      </c>
      <c r="E168" s="96"/>
      <c r="F168" s="97"/>
      <c r="G168" s="98"/>
      <c r="H168" s="99" t="s">
        <v>349</v>
      </c>
      <c r="I168" s="100"/>
      <c r="J168" s="101"/>
      <c r="K168" s="102"/>
      <c r="L168" s="102"/>
      <c r="M168" s="102"/>
      <c r="N168" s="98"/>
      <c r="O168" s="98"/>
      <c r="P168" s="98"/>
      <c r="Q168" s="98"/>
      <c r="R168" s="98"/>
      <c r="S168" s="98"/>
      <c r="T168" s="98"/>
      <c r="U168" s="109"/>
      <c r="V168" s="103"/>
      <c r="W168" s="107"/>
      <c r="X168" s="108" t="s">
        <v>1440</v>
      </c>
      <c r="Y168" s="96"/>
      <c r="Z168" s="98"/>
      <c r="AA168" s="98"/>
      <c r="AB168" s="98"/>
      <c r="AC168" s="98"/>
      <c r="AD168" s="98"/>
      <c r="AE168" s="98"/>
      <c r="AF168" s="98"/>
      <c r="AG168" s="98"/>
      <c r="AH168" s="98"/>
      <c r="AI168" s="98"/>
      <c r="AJ168" s="98"/>
      <c r="AK168" s="98"/>
      <c r="AL168" s="98"/>
      <c r="AM168" s="98"/>
      <c r="AN168" s="98"/>
      <c r="AO168" s="98"/>
      <c r="AP168" s="98"/>
      <c r="AQ168" s="98"/>
      <c r="AR168" s="98"/>
      <c r="AS168" s="98"/>
    </row>
    <row r="169" spans="1:45" s="4" customFormat="1">
      <c r="A169" s="93" t="s">
        <v>919</v>
      </c>
      <c r="B169" s="94">
        <v>680487044393</v>
      </c>
      <c r="C169" s="95" t="s">
        <v>920</v>
      </c>
      <c r="D169">
        <v>0</v>
      </c>
      <c r="E169" s="96"/>
      <c r="F169" s="97"/>
      <c r="G169" s="98"/>
      <c r="H169" s="99" t="s">
        <v>350</v>
      </c>
      <c r="I169" s="100"/>
      <c r="J169" s="101"/>
      <c r="K169" s="102"/>
      <c r="L169" s="102"/>
      <c r="M169" s="102"/>
      <c r="N169" s="98"/>
      <c r="O169" s="98"/>
      <c r="P169" s="98"/>
      <c r="Q169" s="98"/>
      <c r="R169" s="98"/>
      <c r="S169" s="98"/>
      <c r="T169" s="98"/>
      <c r="U169" s="109"/>
      <c r="V169" s="103"/>
      <c r="W169" s="107"/>
      <c r="X169" s="108" t="s">
        <v>1440</v>
      </c>
      <c r="Y169" s="96"/>
      <c r="Z169" s="98"/>
      <c r="AA169" s="98"/>
      <c r="AB169" s="98"/>
      <c r="AC169" s="98"/>
      <c r="AD169" s="98"/>
      <c r="AE169" s="98"/>
      <c r="AF169" s="98"/>
      <c r="AG169" s="98"/>
      <c r="AH169" s="98"/>
      <c r="AI169" s="98"/>
      <c r="AJ169" s="98"/>
      <c r="AK169" s="98"/>
      <c r="AL169" s="98"/>
      <c r="AM169" s="98"/>
      <c r="AN169" s="98"/>
      <c r="AO169" s="98"/>
      <c r="AP169" s="98"/>
      <c r="AQ169" s="98"/>
      <c r="AR169" s="98"/>
      <c r="AS169" s="98"/>
    </row>
    <row r="170" spans="1:45" s="4" customFormat="1">
      <c r="A170" s="93" t="s">
        <v>919</v>
      </c>
      <c r="B170" s="94">
        <v>680487045420</v>
      </c>
      <c r="C170" s="95" t="s">
        <v>920</v>
      </c>
      <c r="D170">
        <v>0</v>
      </c>
      <c r="E170" s="96"/>
      <c r="F170" s="97"/>
      <c r="G170" s="98"/>
      <c r="H170" s="99" t="s">
        <v>351</v>
      </c>
      <c r="I170" s="100"/>
      <c r="J170" s="101"/>
      <c r="K170" s="102"/>
      <c r="L170" s="102"/>
      <c r="M170" s="102"/>
      <c r="N170" s="98"/>
      <c r="O170" s="98"/>
      <c r="P170" s="98"/>
      <c r="Q170" s="98"/>
      <c r="R170" s="98"/>
      <c r="S170" s="98"/>
      <c r="T170" s="98"/>
      <c r="U170" s="109"/>
      <c r="V170" s="103"/>
      <c r="W170" s="107"/>
      <c r="X170" s="108" t="s">
        <v>1440</v>
      </c>
      <c r="Y170" s="96"/>
      <c r="Z170" s="98"/>
      <c r="AA170" s="98"/>
      <c r="AB170" s="98"/>
      <c r="AC170" s="98"/>
      <c r="AD170" s="98"/>
      <c r="AE170" s="98"/>
      <c r="AF170" s="98"/>
      <c r="AG170" s="98"/>
      <c r="AH170" s="98"/>
      <c r="AI170" s="98"/>
      <c r="AJ170" s="98"/>
      <c r="AK170" s="98"/>
      <c r="AL170" s="98"/>
      <c r="AM170" s="98"/>
      <c r="AN170" s="98"/>
      <c r="AO170" s="98"/>
      <c r="AP170" s="98"/>
      <c r="AQ170" s="98"/>
      <c r="AR170" s="98"/>
      <c r="AS170" s="98"/>
    </row>
    <row r="171" spans="1:45" s="4" customFormat="1">
      <c r="A171" s="93" t="s">
        <v>919</v>
      </c>
      <c r="B171" s="94">
        <v>680487135176</v>
      </c>
      <c r="C171" s="95" t="s">
        <v>920</v>
      </c>
      <c r="D171">
        <v>0</v>
      </c>
      <c r="E171" s="96"/>
      <c r="F171" s="97"/>
      <c r="G171" s="98"/>
      <c r="H171" s="99" t="s">
        <v>352</v>
      </c>
      <c r="I171" s="100"/>
      <c r="J171" s="101"/>
      <c r="K171" s="102"/>
      <c r="L171" s="102"/>
      <c r="M171" s="102"/>
      <c r="N171" s="98"/>
      <c r="O171" s="98"/>
      <c r="P171" s="98"/>
      <c r="Q171" s="98"/>
      <c r="R171" s="98"/>
      <c r="S171" s="98"/>
      <c r="T171" s="98"/>
      <c r="U171" s="109"/>
      <c r="V171" s="103"/>
      <c r="W171" s="107"/>
      <c r="X171" s="108" t="s">
        <v>1440</v>
      </c>
      <c r="Y171" s="96"/>
      <c r="Z171" s="98"/>
      <c r="AA171" s="98"/>
      <c r="AB171" s="98"/>
      <c r="AC171" s="98"/>
      <c r="AD171" s="98"/>
      <c r="AE171" s="98"/>
      <c r="AF171" s="98"/>
      <c r="AG171" s="98"/>
      <c r="AH171" s="98"/>
      <c r="AI171" s="98"/>
      <c r="AJ171" s="98"/>
      <c r="AK171" s="98"/>
      <c r="AL171" s="98"/>
      <c r="AM171" s="98"/>
      <c r="AN171" s="98"/>
      <c r="AO171" s="98"/>
      <c r="AP171" s="98"/>
      <c r="AQ171" s="98"/>
      <c r="AR171" s="98"/>
      <c r="AS171" s="98"/>
    </row>
    <row r="172" spans="1:45" s="4" customFormat="1">
      <c r="A172" s="93" t="s">
        <v>919</v>
      </c>
      <c r="B172" s="94">
        <v>680487135183</v>
      </c>
      <c r="C172" s="95" t="s">
        <v>920</v>
      </c>
      <c r="D172">
        <v>0</v>
      </c>
      <c r="E172" s="96"/>
      <c r="F172" s="97"/>
      <c r="G172" s="98"/>
      <c r="H172" s="99" t="s">
        <v>353</v>
      </c>
      <c r="I172" s="100"/>
      <c r="J172" s="101"/>
      <c r="K172" s="102"/>
      <c r="L172" s="102"/>
      <c r="M172" s="102"/>
      <c r="N172" s="98"/>
      <c r="O172" s="98"/>
      <c r="P172" s="98"/>
      <c r="Q172" s="98"/>
      <c r="R172" s="98"/>
      <c r="S172" s="98"/>
      <c r="T172" s="98"/>
      <c r="U172" s="109"/>
      <c r="V172" s="103"/>
      <c r="W172" s="107"/>
      <c r="X172" s="108" t="s">
        <v>1440</v>
      </c>
      <c r="Y172" s="96"/>
      <c r="Z172" s="98"/>
      <c r="AA172" s="98"/>
      <c r="AB172" s="98"/>
      <c r="AC172" s="98"/>
      <c r="AD172" s="98"/>
      <c r="AE172" s="98"/>
      <c r="AF172" s="98"/>
      <c r="AG172" s="98"/>
      <c r="AH172" s="98"/>
      <c r="AI172" s="98"/>
      <c r="AJ172" s="98"/>
      <c r="AK172" s="98"/>
      <c r="AL172" s="98"/>
      <c r="AM172" s="98"/>
      <c r="AN172" s="98"/>
      <c r="AO172" s="98"/>
      <c r="AP172" s="98"/>
      <c r="AQ172" s="98"/>
      <c r="AR172" s="98"/>
      <c r="AS172" s="98"/>
    </row>
    <row r="173" spans="1:45" s="4" customFormat="1">
      <c r="A173" s="93" t="s">
        <v>919</v>
      </c>
      <c r="B173" s="94">
        <v>680487045406</v>
      </c>
      <c r="C173" s="95" t="s">
        <v>920</v>
      </c>
      <c r="D173">
        <v>0</v>
      </c>
      <c r="E173" s="96"/>
      <c r="F173" s="97"/>
      <c r="G173" s="98"/>
      <c r="H173" s="99" t="s">
        <v>354</v>
      </c>
      <c r="I173" s="100"/>
      <c r="J173" s="101"/>
      <c r="K173" s="102"/>
      <c r="L173" s="102"/>
      <c r="M173" s="102"/>
      <c r="N173" s="98"/>
      <c r="O173" s="98"/>
      <c r="P173" s="98"/>
      <c r="Q173" s="98"/>
      <c r="R173" s="98"/>
      <c r="S173" s="98"/>
      <c r="T173" s="98"/>
      <c r="U173" s="109"/>
      <c r="V173" s="103"/>
      <c r="W173" s="107"/>
      <c r="X173" s="108" t="s">
        <v>1440</v>
      </c>
      <c r="Y173" s="96"/>
      <c r="Z173" s="98"/>
      <c r="AA173" s="98"/>
      <c r="AB173" s="98"/>
      <c r="AC173" s="98"/>
      <c r="AD173" s="98"/>
      <c r="AE173" s="98"/>
      <c r="AF173" s="98"/>
      <c r="AG173" s="98"/>
      <c r="AH173" s="98"/>
      <c r="AI173" s="98"/>
      <c r="AJ173" s="98"/>
      <c r="AK173" s="98"/>
      <c r="AL173" s="98"/>
      <c r="AM173" s="98"/>
      <c r="AN173" s="98"/>
      <c r="AO173" s="98"/>
      <c r="AP173" s="98"/>
      <c r="AQ173" s="98"/>
      <c r="AR173" s="98"/>
      <c r="AS173" s="98"/>
    </row>
    <row r="174" spans="1:45" s="4" customFormat="1">
      <c r="A174" s="93" t="s">
        <v>919</v>
      </c>
      <c r="B174" s="94">
        <v>680487086096</v>
      </c>
      <c r="C174" s="95" t="s">
        <v>920</v>
      </c>
      <c r="D174">
        <v>0</v>
      </c>
      <c r="E174" s="96"/>
      <c r="F174" s="97"/>
      <c r="G174" s="98"/>
      <c r="H174" s="99" t="s">
        <v>355</v>
      </c>
      <c r="I174" s="100"/>
      <c r="J174" s="101"/>
      <c r="K174" s="102"/>
      <c r="L174" s="102"/>
      <c r="M174" s="102"/>
      <c r="N174" s="98"/>
      <c r="O174" s="98"/>
      <c r="P174" s="98"/>
      <c r="Q174" s="98"/>
      <c r="R174" s="98"/>
      <c r="S174" s="98"/>
      <c r="T174" s="98"/>
      <c r="U174" s="109"/>
      <c r="V174" s="103"/>
      <c r="W174" s="107"/>
      <c r="X174" s="108" t="s">
        <v>1440</v>
      </c>
      <c r="Y174" s="96"/>
      <c r="Z174" s="98"/>
      <c r="AA174" s="98"/>
      <c r="AB174" s="98"/>
      <c r="AC174" s="98"/>
      <c r="AD174" s="98"/>
      <c r="AE174" s="98"/>
      <c r="AF174" s="98"/>
      <c r="AG174" s="98"/>
      <c r="AH174" s="98"/>
      <c r="AI174" s="98"/>
      <c r="AJ174" s="98"/>
      <c r="AK174" s="98"/>
      <c r="AL174" s="98"/>
      <c r="AM174" s="98"/>
      <c r="AN174" s="98"/>
      <c r="AO174" s="98"/>
      <c r="AP174" s="98"/>
      <c r="AQ174" s="98"/>
      <c r="AR174" s="98"/>
      <c r="AS174" s="98"/>
    </row>
    <row r="175" spans="1:45" s="4" customFormat="1">
      <c r="A175" s="93" t="s">
        <v>919</v>
      </c>
      <c r="B175" s="94">
        <v>680487044850</v>
      </c>
      <c r="C175" s="95" t="s">
        <v>920</v>
      </c>
      <c r="D175">
        <v>0</v>
      </c>
      <c r="E175" s="96"/>
      <c r="F175" s="97"/>
      <c r="G175" s="98"/>
      <c r="H175" s="99" t="s">
        <v>356</v>
      </c>
      <c r="I175" s="100"/>
      <c r="J175" s="101"/>
      <c r="K175" s="102"/>
      <c r="L175" s="102"/>
      <c r="M175" s="102"/>
      <c r="N175" s="98"/>
      <c r="O175" s="98"/>
      <c r="P175" s="98"/>
      <c r="Q175" s="98"/>
      <c r="R175" s="98"/>
      <c r="S175" s="98"/>
      <c r="T175" s="98"/>
      <c r="U175" s="109"/>
      <c r="V175" s="103"/>
      <c r="W175" s="107"/>
      <c r="X175" s="108" t="s">
        <v>1440</v>
      </c>
      <c r="Y175" s="96"/>
      <c r="Z175" s="98"/>
      <c r="AA175" s="98"/>
      <c r="AB175" s="98"/>
      <c r="AC175" s="98"/>
      <c r="AD175" s="98"/>
      <c r="AE175" s="98"/>
      <c r="AF175" s="98"/>
      <c r="AG175" s="98"/>
      <c r="AH175" s="98"/>
      <c r="AI175" s="98"/>
      <c r="AJ175" s="98"/>
      <c r="AK175" s="98"/>
      <c r="AL175" s="98"/>
      <c r="AM175" s="98"/>
      <c r="AN175" s="98"/>
      <c r="AO175" s="98"/>
      <c r="AP175" s="98"/>
      <c r="AQ175" s="98"/>
      <c r="AR175" s="98"/>
      <c r="AS175" s="98"/>
    </row>
    <row r="176" spans="1:45" s="4" customFormat="1">
      <c r="A176" s="93" t="s">
        <v>919</v>
      </c>
      <c r="B176" s="94">
        <v>680487086119</v>
      </c>
      <c r="C176" s="95" t="s">
        <v>920</v>
      </c>
      <c r="D176">
        <v>0</v>
      </c>
      <c r="E176" s="96"/>
      <c r="F176" s="97"/>
      <c r="G176" s="98"/>
      <c r="H176" s="99" t="s">
        <v>357</v>
      </c>
      <c r="I176" s="100"/>
      <c r="J176" s="101"/>
      <c r="K176" s="102"/>
      <c r="L176" s="102"/>
      <c r="M176" s="102"/>
      <c r="N176" s="98"/>
      <c r="O176" s="98"/>
      <c r="P176" s="98"/>
      <c r="Q176" s="98"/>
      <c r="R176" s="98"/>
      <c r="S176" s="98"/>
      <c r="T176" s="98"/>
      <c r="U176" s="109"/>
      <c r="V176" s="103"/>
      <c r="W176" s="107"/>
      <c r="X176" s="108" t="s">
        <v>1440</v>
      </c>
      <c r="Y176" s="96"/>
      <c r="Z176" s="98"/>
      <c r="AA176" s="98"/>
      <c r="AB176" s="98"/>
      <c r="AC176" s="98"/>
      <c r="AD176" s="98"/>
      <c r="AE176" s="98"/>
      <c r="AF176" s="98"/>
      <c r="AG176" s="98"/>
      <c r="AH176" s="98"/>
      <c r="AI176" s="98"/>
      <c r="AJ176" s="98"/>
      <c r="AK176" s="98"/>
      <c r="AL176" s="98"/>
      <c r="AM176" s="98"/>
      <c r="AN176" s="98"/>
      <c r="AO176" s="98"/>
      <c r="AP176" s="98"/>
      <c r="AQ176" s="98"/>
      <c r="AR176" s="98"/>
      <c r="AS176" s="98"/>
    </row>
    <row r="177" spans="1:45" s="4" customFormat="1">
      <c r="A177" s="93" t="s">
        <v>919</v>
      </c>
      <c r="B177" s="94">
        <v>680487044614</v>
      </c>
      <c r="C177" s="95" t="s">
        <v>920</v>
      </c>
      <c r="D177">
        <v>0</v>
      </c>
      <c r="E177" s="96"/>
      <c r="F177" s="97"/>
      <c r="G177" s="98"/>
      <c r="H177" s="99" t="s">
        <v>358</v>
      </c>
      <c r="I177" s="100"/>
      <c r="J177" s="101"/>
      <c r="K177" s="102"/>
      <c r="L177" s="102"/>
      <c r="M177" s="102"/>
      <c r="N177" s="98"/>
      <c r="O177" s="98"/>
      <c r="P177" s="98"/>
      <c r="Q177" s="98"/>
      <c r="R177" s="98"/>
      <c r="S177" s="98"/>
      <c r="T177" s="98"/>
      <c r="U177" s="109"/>
      <c r="V177" s="103"/>
      <c r="W177" s="107"/>
      <c r="X177" s="108" t="s">
        <v>1440</v>
      </c>
      <c r="Y177" s="96"/>
      <c r="Z177" s="98"/>
      <c r="AA177" s="98"/>
      <c r="AB177" s="98"/>
      <c r="AC177" s="98"/>
      <c r="AD177" s="98"/>
      <c r="AE177" s="98"/>
      <c r="AF177" s="98"/>
      <c r="AG177" s="98"/>
      <c r="AH177" s="98"/>
      <c r="AI177" s="98"/>
      <c r="AJ177" s="98"/>
      <c r="AK177" s="98"/>
      <c r="AL177" s="98"/>
      <c r="AM177" s="98"/>
      <c r="AN177" s="98"/>
      <c r="AO177" s="98"/>
      <c r="AP177" s="98"/>
      <c r="AQ177" s="98"/>
      <c r="AR177" s="98"/>
      <c r="AS177" s="98"/>
    </row>
    <row r="178" spans="1:45" s="4" customFormat="1">
      <c r="A178" s="93" t="s">
        <v>919</v>
      </c>
      <c r="B178" s="94">
        <v>680031615178</v>
      </c>
      <c r="C178" s="95" t="s">
        <v>920</v>
      </c>
      <c r="D178">
        <v>0</v>
      </c>
      <c r="E178" s="96"/>
      <c r="F178" s="97"/>
      <c r="G178" s="98"/>
      <c r="H178" s="99" t="s">
        <v>359</v>
      </c>
      <c r="I178" s="100"/>
      <c r="J178" s="101"/>
      <c r="K178" s="102"/>
      <c r="L178" s="102"/>
      <c r="M178" s="102"/>
      <c r="N178" s="98"/>
      <c r="O178" s="98"/>
      <c r="P178" s="98"/>
      <c r="Q178" s="98"/>
      <c r="R178" s="98"/>
      <c r="S178" s="98"/>
      <c r="T178" s="98"/>
      <c r="U178" s="109"/>
      <c r="V178" s="103"/>
      <c r="W178" s="107"/>
      <c r="X178" s="108" t="s">
        <v>1440</v>
      </c>
      <c r="Y178" s="96"/>
      <c r="Z178" s="98"/>
      <c r="AA178" s="98"/>
      <c r="AB178" s="98"/>
      <c r="AC178" s="98"/>
      <c r="AD178" s="98"/>
      <c r="AE178" s="98"/>
      <c r="AF178" s="98"/>
      <c r="AG178" s="98"/>
      <c r="AH178" s="98"/>
      <c r="AI178" s="98"/>
      <c r="AJ178" s="98"/>
      <c r="AK178" s="98"/>
      <c r="AL178" s="98"/>
      <c r="AM178" s="98"/>
      <c r="AN178" s="98"/>
      <c r="AO178" s="98"/>
      <c r="AP178" s="98"/>
      <c r="AQ178" s="98"/>
      <c r="AR178" s="98"/>
      <c r="AS178" s="98"/>
    </row>
    <row r="179" spans="1:45" s="4" customFormat="1">
      <c r="A179" s="93" t="s">
        <v>919</v>
      </c>
      <c r="B179" s="94">
        <v>680487044379</v>
      </c>
      <c r="C179" s="95" t="s">
        <v>920</v>
      </c>
      <c r="D179">
        <v>0</v>
      </c>
      <c r="E179" s="96"/>
      <c r="F179" s="97"/>
      <c r="G179" s="98"/>
      <c r="H179" s="99" t="s">
        <v>360</v>
      </c>
      <c r="I179" s="100"/>
      <c r="J179" s="101"/>
      <c r="K179" s="102"/>
      <c r="L179" s="102"/>
      <c r="M179" s="102"/>
      <c r="N179" s="98"/>
      <c r="O179" s="98"/>
      <c r="P179" s="98"/>
      <c r="Q179" s="98"/>
      <c r="R179" s="98"/>
      <c r="S179" s="98"/>
      <c r="T179" s="98"/>
      <c r="U179" s="109"/>
      <c r="V179" s="103"/>
      <c r="W179" s="107"/>
      <c r="X179" s="108" t="s">
        <v>1440</v>
      </c>
      <c r="Y179" s="96"/>
      <c r="Z179" s="98"/>
      <c r="AA179" s="98"/>
      <c r="AB179" s="98"/>
      <c r="AC179" s="98"/>
      <c r="AD179" s="98"/>
      <c r="AE179" s="98"/>
      <c r="AF179" s="98"/>
      <c r="AG179" s="98"/>
      <c r="AH179" s="98"/>
      <c r="AI179" s="98"/>
      <c r="AJ179" s="98"/>
      <c r="AK179" s="98"/>
      <c r="AL179" s="98"/>
      <c r="AM179" s="98"/>
      <c r="AN179" s="98"/>
      <c r="AO179" s="98"/>
      <c r="AP179" s="98"/>
      <c r="AQ179" s="98"/>
      <c r="AR179" s="98"/>
      <c r="AS179" s="98"/>
    </row>
    <row r="180" spans="1:45" s="4" customFormat="1">
      <c r="A180" s="93" t="s">
        <v>919</v>
      </c>
      <c r="B180" s="94">
        <v>680487135220</v>
      </c>
      <c r="C180" s="95" t="s">
        <v>920</v>
      </c>
      <c r="D180">
        <v>0</v>
      </c>
      <c r="E180" s="96"/>
      <c r="F180" s="97"/>
      <c r="G180" s="98"/>
      <c r="H180" s="99" t="s">
        <v>361</v>
      </c>
      <c r="I180" s="100"/>
      <c r="J180" s="101"/>
      <c r="K180" s="102"/>
      <c r="L180" s="102"/>
      <c r="M180" s="102"/>
      <c r="N180" s="98"/>
      <c r="O180" s="98"/>
      <c r="P180" s="98"/>
      <c r="Q180" s="98"/>
      <c r="R180" s="98"/>
      <c r="S180" s="98"/>
      <c r="T180" s="98"/>
      <c r="U180" s="109"/>
      <c r="V180" s="103"/>
      <c r="W180" s="107"/>
      <c r="X180" s="108" t="s">
        <v>1440</v>
      </c>
      <c r="Y180" s="96"/>
      <c r="Z180" s="98"/>
      <c r="AA180" s="98"/>
      <c r="AB180" s="98"/>
      <c r="AC180" s="98"/>
      <c r="AD180" s="98"/>
      <c r="AE180" s="98"/>
      <c r="AF180" s="98"/>
      <c r="AG180" s="98"/>
      <c r="AH180" s="98"/>
      <c r="AI180" s="98"/>
      <c r="AJ180" s="98"/>
      <c r="AK180" s="98"/>
      <c r="AL180" s="98"/>
      <c r="AM180" s="98"/>
      <c r="AN180" s="98"/>
      <c r="AO180" s="98"/>
      <c r="AP180" s="98"/>
      <c r="AQ180" s="98"/>
      <c r="AR180" s="98"/>
      <c r="AS180" s="98"/>
    </row>
    <row r="181" spans="1:45" s="4" customFormat="1">
      <c r="A181" s="93" t="s">
        <v>919</v>
      </c>
      <c r="B181" s="94">
        <v>680487167108</v>
      </c>
      <c r="C181" s="95" t="s">
        <v>920</v>
      </c>
      <c r="D181">
        <v>0</v>
      </c>
      <c r="E181" s="96"/>
      <c r="F181" s="97"/>
      <c r="G181" s="98"/>
      <c r="H181" s="99" t="s">
        <v>362</v>
      </c>
      <c r="I181" s="100"/>
      <c r="J181" s="101"/>
      <c r="K181" s="102"/>
      <c r="L181" s="102"/>
      <c r="M181" s="102"/>
      <c r="N181" s="98"/>
      <c r="O181" s="98"/>
      <c r="P181" s="98"/>
      <c r="Q181" s="98"/>
      <c r="R181" s="98"/>
      <c r="S181" s="98"/>
      <c r="T181" s="98"/>
      <c r="U181" s="109"/>
      <c r="V181" s="103"/>
      <c r="W181" s="107"/>
      <c r="X181" s="108" t="s">
        <v>1440</v>
      </c>
      <c r="Y181" s="96"/>
      <c r="Z181" s="98"/>
      <c r="AA181" s="98"/>
      <c r="AB181" s="98"/>
      <c r="AC181" s="98"/>
      <c r="AD181" s="98"/>
      <c r="AE181" s="98"/>
      <c r="AF181" s="98"/>
      <c r="AG181" s="98"/>
      <c r="AH181" s="98"/>
      <c r="AI181" s="98"/>
      <c r="AJ181" s="98"/>
      <c r="AK181" s="98"/>
      <c r="AL181" s="98"/>
      <c r="AM181" s="98"/>
      <c r="AN181" s="98"/>
      <c r="AO181" s="98"/>
      <c r="AP181" s="98"/>
      <c r="AQ181" s="98"/>
      <c r="AR181" s="98"/>
      <c r="AS181" s="98"/>
    </row>
    <row r="182" spans="1:45" s="4" customFormat="1">
      <c r="A182" s="93" t="s">
        <v>919</v>
      </c>
      <c r="B182" s="94">
        <v>680487135046</v>
      </c>
      <c r="C182" s="95" t="s">
        <v>920</v>
      </c>
      <c r="D182">
        <v>0</v>
      </c>
      <c r="E182" s="96"/>
      <c r="F182" s="97"/>
      <c r="G182" s="98"/>
      <c r="H182" s="99" t="s">
        <v>363</v>
      </c>
      <c r="I182" s="100"/>
      <c r="J182" s="101"/>
      <c r="K182" s="102"/>
      <c r="L182" s="102"/>
      <c r="M182" s="102"/>
      <c r="N182" s="98"/>
      <c r="O182" s="98"/>
      <c r="P182" s="98"/>
      <c r="Q182" s="98"/>
      <c r="R182" s="98"/>
      <c r="S182" s="98"/>
      <c r="T182" s="98"/>
      <c r="U182" s="109"/>
      <c r="V182" s="103"/>
      <c r="W182" s="107"/>
      <c r="X182" s="108" t="s">
        <v>1440</v>
      </c>
      <c r="Y182" s="96"/>
      <c r="Z182" s="98"/>
      <c r="AA182" s="98"/>
      <c r="AB182" s="98"/>
      <c r="AC182" s="98"/>
      <c r="AD182" s="98"/>
      <c r="AE182" s="98"/>
      <c r="AF182" s="98"/>
      <c r="AG182" s="98"/>
      <c r="AH182" s="98"/>
      <c r="AI182" s="98"/>
      <c r="AJ182" s="98"/>
      <c r="AK182" s="98"/>
      <c r="AL182" s="98"/>
      <c r="AM182" s="98"/>
      <c r="AN182" s="98"/>
      <c r="AO182" s="98"/>
      <c r="AP182" s="98"/>
      <c r="AQ182" s="98"/>
      <c r="AR182" s="98"/>
      <c r="AS182" s="98"/>
    </row>
    <row r="183" spans="1:45" s="4" customFormat="1">
      <c r="A183" s="93" t="s">
        <v>919</v>
      </c>
      <c r="B183" s="94">
        <v>680487165890</v>
      </c>
      <c r="C183" s="95" t="s">
        <v>920</v>
      </c>
      <c r="D183">
        <v>0</v>
      </c>
      <c r="E183" s="96"/>
      <c r="F183" s="97"/>
      <c r="G183" s="98"/>
      <c r="H183" s="99" t="s">
        <v>364</v>
      </c>
      <c r="I183" s="100"/>
      <c r="J183" s="101"/>
      <c r="K183" s="102"/>
      <c r="L183" s="102"/>
      <c r="M183" s="102"/>
      <c r="N183" s="98"/>
      <c r="O183" s="98"/>
      <c r="P183" s="98"/>
      <c r="Q183" s="98"/>
      <c r="R183" s="98"/>
      <c r="S183" s="98"/>
      <c r="T183" s="98"/>
      <c r="U183" s="109"/>
      <c r="V183" s="103"/>
      <c r="W183" s="107"/>
      <c r="X183" s="108" t="s">
        <v>1440</v>
      </c>
      <c r="Y183" s="96"/>
      <c r="Z183" s="98"/>
      <c r="AA183" s="98"/>
      <c r="AB183" s="98"/>
      <c r="AC183" s="98"/>
      <c r="AD183" s="98"/>
      <c r="AE183" s="98"/>
      <c r="AF183" s="98"/>
      <c r="AG183" s="98"/>
      <c r="AH183" s="98"/>
      <c r="AI183" s="98"/>
      <c r="AJ183" s="98"/>
      <c r="AK183" s="98"/>
      <c r="AL183" s="98"/>
      <c r="AM183" s="98"/>
      <c r="AN183" s="98"/>
      <c r="AO183" s="98"/>
      <c r="AP183" s="98"/>
      <c r="AQ183" s="98"/>
      <c r="AR183" s="98"/>
      <c r="AS183" s="98"/>
    </row>
    <row r="184" spans="1:45" s="4" customFormat="1">
      <c r="A184" s="93" t="s">
        <v>919</v>
      </c>
      <c r="B184" s="94">
        <v>680487043877</v>
      </c>
      <c r="C184" s="95" t="s">
        <v>920</v>
      </c>
      <c r="D184">
        <v>0</v>
      </c>
      <c r="E184" s="96"/>
      <c r="F184" s="97"/>
      <c r="G184" s="98"/>
      <c r="H184" s="99" t="s">
        <v>365</v>
      </c>
      <c r="I184" s="100"/>
      <c r="J184" s="101"/>
      <c r="K184" s="102"/>
      <c r="L184" s="102"/>
      <c r="M184" s="102"/>
      <c r="N184" s="98"/>
      <c r="O184" s="98"/>
      <c r="P184" s="98"/>
      <c r="Q184" s="98"/>
      <c r="R184" s="98"/>
      <c r="S184" s="98"/>
      <c r="T184" s="98"/>
      <c r="U184" s="109"/>
      <c r="V184" s="103"/>
      <c r="W184" s="107"/>
      <c r="X184" s="108" t="s">
        <v>1440</v>
      </c>
      <c r="Y184" s="96"/>
      <c r="Z184" s="98"/>
      <c r="AA184" s="98"/>
      <c r="AB184" s="98"/>
      <c r="AC184" s="98"/>
      <c r="AD184" s="98"/>
      <c r="AE184" s="98"/>
      <c r="AF184" s="98"/>
      <c r="AG184" s="98"/>
      <c r="AH184" s="98"/>
      <c r="AI184" s="98"/>
      <c r="AJ184" s="98"/>
      <c r="AK184" s="98"/>
      <c r="AL184" s="98"/>
      <c r="AM184" s="98"/>
      <c r="AN184" s="98"/>
      <c r="AO184" s="98"/>
      <c r="AP184" s="98"/>
      <c r="AQ184" s="98"/>
      <c r="AR184" s="98"/>
      <c r="AS184" s="98"/>
    </row>
    <row r="185" spans="1:45" s="4" customFormat="1">
      <c r="A185" s="93" t="s">
        <v>919</v>
      </c>
      <c r="B185" s="94">
        <v>680487045024</v>
      </c>
      <c r="C185" s="95" t="s">
        <v>920</v>
      </c>
      <c r="D185">
        <v>0</v>
      </c>
      <c r="E185" s="96"/>
      <c r="F185" s="97"/>
      <c r="G185" s="98"/>
      <c r="H185" s="99" t="s">
        <v>366</v>
      </c>
      <c r="I185" s="100"/>
      <c r="J185" s="101"/>
      <c r="K185" s="102"/>
      <c r="L185" s="102"/>
      <c r="M185" s="102"/>
      <c r="N185" s="98"/>
      <c r="O185" s="98"/>
      <c r="P185" s="98"/>
      <c r="Q185" s="98"/>
      <c r="R185" s="98"/>
      <c r="S185" s="98"/>
      <c r="T185" s="98"/>
      <c r="U185" s="109"/>
      <c r="V185" s="103"/>
      <c r="W185" s="107"/>
      <c r="X185" s="108" t="s">
        <v>1440</v>
      </c>
      <c r="Y185" s="96"/>
      <c r="Z185" s="98"/>
      <c r="AA185" s="98"/>
      <c r="AB185" s="98"/>
      <c r="AC185" s="98"/>
      <c r="AD185" s="98"/>
      <c r="AE185" s="98"/>
      <c r="AF185" s="98"/>
      <c r="AG185" s="98"/>
      <c r="AH185" s="98"/>
      <c r="AI185" s="98"/>
      <c r="AJ185" s="98"/>
      <c r="AK185" s="98"/>
      <c r="AL185" s="98"/>
      <c r="AM185" s="98"/>
      <c r="AN185" s="98"/>
      <c r="AO185" s="98"/>
      <c r="AP185" s="98"/>
      <c r="AQ185" s="98"/>
      <c r="AR185" s="98"/>
      <c r="AS185" s="98"/>
    </row>
    <row r="186" spans="1:45" s="4" customFormat="1">
      <c r="A186" s="93" t="s">
        <v>919</v>
      </c>
      <c r="B186" s="94">
        <v>680487165777</v>
      </c>
      <c r="C186" s="95" t="s">
        <v>920</v>
      </c>
      <c r="D186">
        <v>0</v>
      </c>
      <c r="E186" s="96"/>
      <c r="F186" s="97"/>
      <c r="G186" s="98"/>
      <c r="H186" s="99" t="s">
        <v>660</v>
      </c>
      <c r="I186" s="100"/>
      <c r="J186" s="101"/>
      <c r="K186" s="102"/>
      <c r="L186" s="102"/>
      <c r="M186" s="102"/>
      <c r="N186" s="98"/>
      <c r="O186" s="98"/>
      <c r="P186" s="98"/>
      <c r="Q186" s="98"/>
      <c r="R186" s="98"/>
      <c r="S186" s="98"/>
      <c r="T186" s="98"/>
      <c r="U186" s="109"/>
      <c r="V186" s="103"/>
      <c r="W186" s="107"/>
      <c r="X186" s="108" t="s">
        <v>1440</v>
      </c>
      <c r="Y186" s="96"/>
      <c r="Z186" s="98"/>
      <c r="AA186" s="98"/>
      <c r="AB186" s="98"/>
      <c r="AC186" s="98"/>
      <c r="AD186" s="98"/>
      <c r="AE186" s="98"/>
      <c r="AF186" s="98"/>
      <c r="AG186" s="98"/>
      <c r="AH186" s="98"/>
      <c r="AI186" s="98"/>
      <c r="AJ186" s="98"/>
      <c r="AK186" s="98"/>
      <c r="AL186" s="98"/>
      <c r="AM186" s="98"/>
      <c r="AN186" s="98"/>
      <c r="AO186" s="98"/>
      <c r="AP186" s="98"/>
      <c r="AQ186" s="98"/>
      <c r="AR186" s="98"/>
      <c r="AS186" s="98"/>
    </row>
    <row r="187" spans="1:45" s="4" customFormat="1">
      <c r="A187" s="93" t="s">
        <v>919</v>
      </c>
      <c r="B187" s="94">
        <v>680487045208</v>
      </c>
      <c r="C187" s="95" t="s">
        <v>920</v>
      </c>
      <c r="D187">
        <v>0</v>
      </c>
      <c r="E187" s="96"/>
      <c r="F187" s="97"/>
      <c r="G187" s="98"/>
      <c r="H187" s="99" t="s">
        <v>367</v>
      </c>
      <c r="I187" s="100"/>
      <c r="J187" s="101"/>
      <c r="K187" s="102"/>
      <c r="L187" s="102"/>
      <c r="M187" s="102"/>
      <c r="N187" s="98"/>
      <c r="O187" s="98"/>
      <c r="P187" s="98"/>
      <c r="Q187" s="98"/>
      <c r="R187" s="98"/>
      <c r="S187" s="98"/>
      <c r="T187" s="98"/>
      <c r="U187" s="109"/>
      <c r="V187" s="103"/>
      <c r="W187" s="107"/>
      <c r="X187" s="108" t="s">
        <v>1440</v>
      </c>
      <c r="Y187" s="96"/>
      <c r="Z187" s="98"/>
      <c r="AA187" s="98"/>
      <c r="AB187" s="98"/>
      <c r="AC187" s="98"/>
      <c r="AD187" s="98"/>
      <c r="AE187" s="98"/>
      <c r="AF187" s="98"/>
      <c r="AG187" s="98"/>
      <c r="AH187" s="98"/>
      <c r="AI187" s="98"/>
      <c r="AJ187" s="98"/>
      <c r="AK187" s="98"/>
      <c r="AL187" s="98"/>
      <c r="AM187" s="98"/>
      <c r="AN187" s="98"/>
      <c r="AO187" s="98"/>
      <c r="AP187" s="98"/>
      <c r="AQ187" s="98"/>
      <c r="AR187" s="98"/>
      <c r="AS187" s="98"/>
    </row>
    <row r="188" spans="1:45" s="4" customFormat="1">
      <c r="A188" s="93" t="s">
        <v>919</v>
      </c>
      <c r="B188" s="94">
        <v>680487045222</v>
      </c>
      <c r="C188" s="95" t="s">
        <v>920</v>
      </c>
      <c r="D188">
        <v>0</v>
      </c>
      <c r="E188" s="96"/>
      <c r="F188" s="97"/>
      <c r="G188" s="98"/>
      <c r="H188" s="99" t="s">
        <v>368</v>
      </c>
      <c r="I188" s="100"/>
      <c r="J188" s="101"/>
      <c r="K188" s="102"/>
      <c r="L188" s="102"/>
      <c r="M188" s="102"/>
      <c r="N188" s="98"/>
      <c r="O188" s="98"/>
      <c r="P188" s="98"/>
      <c r="Q188" s="98"/>
      <c r="R188" s="98"/>
      <c r="S188" s="98"/>
      <c r="T188" s="98"/>
      <c r="U188" s="109"/>
      <c r="V188" s="103"/>
      <c r="W188" s="107"/>
      <c r="X188" s="108" t="s">
        <v>1440</v>
      </c>
      <c r="Y188" s="96"/>
      <c r="Z188" s="98"/>
      <c r="AA188" s="98"/>
      <c r="AB188" s="98"/>
      <c r="AC188" s="98"/>
      <c r="AD188" s="98"/>
      <c r="AE188" s="98"/>
      <c r="AF188" s="98"/>
      <c r="AG188" s="98"/>
      <c r="AH188" s="98"/>
      <c r="AI188" s="98"/>
      <c r="AJ188" s="98"/>
      <c r="AK188" s="98"/>
      <c r="AL188" s="98"/>
      <c r="AM188" s="98"/>
      <c r="AN188" s="98"/>
      <c r="AO188" s="98"/>
      <c r="AP188" s="98"/>
      <c r="AQ188" s="98"/>
      <c r="AR188" s="98"/>
      <c r="AS188" s="98"/>
    </row>
    <row r="189" spans="1:45" s="4" customFormat="1">
      <c r="A189" s="93" t="s">
        <v>919</v>
      </c>
      <c r="B189" s="94">
        <v>680487044171</v>
      </c>
      <c r="C189" s="95" t="s">
        <v>920</v>
      </c>
      <c r="D189">
        <v>0</v>
      </c>
      <c r="E189" s="96"/>
      <c r="F189" s="97"/>
      <c r="G189" s="98"/>
      <c r="H189" s="99" t="s">
        <v>661</v>
      </c>
      <c r="I189" s="100"/>
      <c r="J189" s="101"/>
      <c r="K189" s="102"/>
      <c r="L189" s="102"/>
      <c r="M189" s="102"/>
      <c r="N189" s="98"/>
      <c r="O189" s="98"/>
      <c r="P189" s="98"/>
      <c r="Q189" s="98"/>
      <c r="R189" s="98"/>
      <c r="S189" s="98"/>
      <c r="T189" s="98"/>
      <c r="U189" s="109"/>
      <c r="V189" s="103"/>
      <c r="W189" s="107"/>
      <c r="X189" s="108" t="s">
        <v>1440</v>
      </c>
      <c r="Y189" s="96"/>
      <c r="Z189" s="98"/>
      <c r="AA189" s="98"/>
      <c r="AB189" s="98"/>
      <c r="AC189" s="98"/>
      <c r="AD189" s="98"/>
      <c r="AE189" s="98"/>
      <c r="AF189" s="98"/>
      <c r="AG189" s="98"/>
      <c r="AH189" s="98"/>
      <c r="AI189" s="98"/>
      <c r="AJ189" s="98"/>
      <c r="AK189" s="98"/>
      <c r="AL189" s="98"/>
      <c r="AM189" s="98"/>
      <c r="AN189" s="98"/>
      <c r="AO189" s="98"/>
      <c r="AP189" s="98"/>
      <c r="AQ189" s="98"/>
      <c r="AR189" s="98"/>
      <c r="AS189" s="98"/>
    </row>
    <row r="190" spans="1:45" s="4" customFormat="1">
      <c r="A190" s="93" t="s">
        <v>919</v>
      </c>
      <c r="B190" s="94">
        <v>680487135169</v>
      </c>
      <c r="C190" s="95" t="s">
        <v>920</v>
      </c>
      <c r="D190">
        <v>0</v>
      </c>
      <c r="E190" s="96"/>
      <c r="F190" s="97"/>
      <c r="G190" s="98"/>
      <c r="H190" s="99" t="s">
        <v>369</v>
      </c>
      <c r="I190" s="100"/>
      <c r="J190" s="101"/>
      <c r="K190" s="102"/>
      <c r="L190" s="102"/>
      <c r="M190" s="102"/>
      <c r="N190" s="98"/>
      <c r="O190" s="98"/>
      <c r="P190" s="98"/>
      <c r="Q190" s="98"/>
      <c r="R190" s="98"/>
      <c r="S190" s="98"/>
      <c r="T190" s="98"/>
      <c r="U190" s="109"/>
      <c r="V190" s="103"/>
      <c r="W190" s="107"/>
      <c r="X190" s="108" t="s">
        <v>1440</v>
      </c>
      <c r="Y190" s="96"/>
      <c r="Z190" s="98"/>
      <c r="AA190" s="98"/>
      <c r="AB190" s="98"/>
      <c r="AC190" s="98"/>
      <c r="AD190" s="98"/>
      <c r="AE190" s="98"/>
      <c r="AF190" s="98"/>
      <c r="AG190" s="98"/>
      <c r="AH190" s="98"/>
      <c r="AI190" s="98"/>
      <c r="AJ190" s="98"/>
      <c r="AK190" s="98"/>
      <c r="AL190" s="98"/>
      <c r="AM190" s="98"/>
      <c r="AN190" s="98"/>
      <c r="AO190" s="98"/>
      <c r="AP190" s="98"/>
      <c r="AQ190" s="98"/>
      <c r="AR190" s="98"/>
      <c r="AS190" s="98"/>
    </row>
    <row r="191" spans="1:45" s="4" customFormat="1">
      <c r="A191" s="93" t="s">
        <v>919</v>
      </c>
      <c r="B191" s="94">
        <v>680487045147</v>
      </c>
      <c r="C191" s="95" t="s">
        <v>920</v>
      </c>
      <c r="D191">
        <v>0</v>
      </c>
      <c r="E191" s="96"/>
      <c r="F191" s="97"/>
      <c r="G191" s="98"/>
      <c r="H191" s="99" t="s">
        <v>370</v>
      </c>
      <c r="I191" s="100"/>
      <c r="J191" s="101"/>
      <c r="K191" s="102"/>
      <c r="L191" s="102"/>
      <c r="M191" s="102"/>
      <c r="N191" s="98"/>
      <c r="O191" s="98"/>
      <c r="P191" s="98"/>
      <c r="Q191" s="98"/>
      <c r="R191" s="98"/>
      <c r="S191" s="98"/>
      <c r="T191" s="98"/>
      <c r="U191" s="109"/>
      <c r="V191" s="103"/>
      <c r="W191" s="107"/>
      <c r="X191" s="108" t="s">
        <v>1440</v>
      </c>
      <c r="Y191" s="96"/>
      <c r="Z191" s="98"/>
      <c r="AA191" s="98"/>
      <c r="AB191" s="98"/>
      <c r="AC191" s="98"/>
      <c r="AD191" s="98"/>
      <c r="AE191" s="98"/>
      <c r="AF191" s="98"/>
      <c r="AG191" s="98"/>
      <c r="AH191" s="98"/>
      <c r="AI191" s="98"/>
      <c r="AJ191" s="98"/>
      <c r="AK191" s="98"/>
      <c r="AL191" s="98"/>
      <c r="AM191" s="98"/>
      <c r="AN191" s="98"/>
      <c r="AO191" s="98"/>
      <c r="AP191" s="98"/>
      <c r="AQ191" s="98"/>
      <c r="AR191" s="98"/>
      <c r="AS191" s="98"/>
    </row>
    <row r="192" spans="1:45" s="4" customFormat="1">
      <c r="A192" s="93" t="s">
        <v>919</v>
      </c>
      <c r="B192" s="94">
        <v>680487044775</v>
      </c>
      <c r="C192" s="95" t="s">
        <v>920</v>
      </c>
      <c r="D192">
        <v>0</v>
      </c>
      <c r="E192" s="96"/>
      <c r="F192" s="97"/>
      <c r="G192" s="98"/>
      <c r="H192" s="99" t="s">
        <v>371</v>
      </c>
      <c r="I192" s="100"/>
      <c r="J192" s="101"/>
      <c r="K192" s="102"/>
      <c r="L192" s="102"/>
      <c r="M192" s="102"/>
      <c r="N192" s="98"/>
      <c r="O192" s="98"/>
      <c r="P192" s="98"/>
      <c r="Q192" s="98"/>
      <c r="R192" s="98"/>
      <c r="S192" s="98"/>
      <c r="T192" s="98"/>
      <c r="U192" s="109"/>
      <c r="V192" s="103"/>
      <c r="W192" s="107"/>
      <c r="X192" s="108" t="s">
        <v>1440</v>
      </c>
      <c r="Y192" s="96"/>
      <c r="Z192" s="98"/>
      <c r="AA192" s="98"/>
      <c r="AB192" s="98"/>
      <c r="AC192" s="98"/>
      <c r="AD192" s="98"/>
      <c r="AE192" s="98"/>
      <c r="AF192" s="98"/>
      <c r="AG192" s="98"/>
      <c r="AH192" s="98"/>
      <c r="AI192" s="98"/>
      <c r="AJ192" s="98"/>
      <c r="AK192" s="98"/>
      <c r="AL192" s="98"/>
      <c r="AM192" s="98"/>
      <c r="AN192" s="98"/>
      <c r="AO192" s="98"/>
      <c r="AP192" s="98"/>
      <c r="AQ192" s="98"/>
      <c r="AR192" s="98"/>
      <c r="AS192" s="98"/>
    </row>
    <row r="193" spans="1:45" s="4" customFormat="1">
      <c r="A193" s="93" t="s">
        <v>919</v>
      </c>
      <c r="B193" s="94">
        <v>680487044799</v>
      </c>
      <c r="C193" s="95" t="s">
        <v>920</v>
      </c>
      <c r="D193">
        <v>0</v>
      </c>
      <c r="E193" s="96"/>
      <c r="F193" s="97"/>
      <c r="G193" s="98"/>
      <c r="H193" s="99" t="s">
        <v>1294</v>
      </c>
      <c r="I193" s="100"/>
      <c r="J193" s="101"/>
      <c r="K193" s="102"/>
      <c r="L193" s="102"/>
      <c r="M193" s="102"/>
      <c r="N193" s="98"/>
      <c r="O193" s="98"/>
      <c r="P193" s="98"/>
      <c r="Q193" s="98"/>
      <c r="R193" s="98"/>
      <c r="S193" s="98"/>
      <c r="T193" s="98"/>
      <c r="U193" s="109"/>
      <c r="V193" s="103"/>
      <c r="W193" s="107"/>
      <c r="X193" s="108" t="s">
        <v>1440</v>
      </c>
      <c r="Y193" s="96"/>
      <c r="Z193" s="98"/>
      <c r="AA193" s="98"/>
      <c r="AB193" s="98"/>
      <c r="AC193" s="98"/>
      <c r="AD193" s="98"/>
      <c r="AE193" s="98"/>
      <c r="AF193" s="98"/>
      <c r="AG193" s="98"/>
      <c r="AH193" s="98"/>
      <c r="AI193" s="98"/>
      <c r="AJ193" s="98"/>
      <c r="AK193" s="98"/>
      <c r="AL193" s="98"/>
      <c r="AM193" s="98"/>
      <c r="AN193" s="98"/>
      <c r="AO193" s="98"/>
      <c r="AP193" s="98"/>
      <c r="AQ193" s="98"/>
      <c r="AR193" s="98"/>
      <c r="AS193" s="98"/>
    </row>
    <row r="194" spans="1:45" s="4" customFormat="1">
      <c r="A194" s="93" t="s">
        <v>919</v>
      </c>
      <c r="B194" s="94">
        <v>680487044478</v>
      </c>
      <c r="C194" s="95" t="s">
        <v>920</v>
      </c>
      <c r="D194">
        <v>0</v>
      </c>
      <c r="E194" s="96"/>
      <c r="F194" s="97"/>
      <c r="G194" s="98"/>
      <c r="H194" s="99" t="s">
        <v>372</v>
      </c>
      <c r="I194" s="100"/>
      <c r="J194" s="101"/>
      <c r="K194" s="102"/>
      <c r="L194" s="102"/>
      <c r="M194" s="102"/>
      <c r="N194" s="98"/>
      <c r="O194" s="98"/>
      <c r="P194" s="98"/>
      <c r="Q194" s="98"/>
      <c r="R194" s="98"/>
      <c r="S194" s="98"/>
      <c r="T194" s="98"/>
      <c r="U194" s="109"/>
      <c r="V194" s="103"/>
      <c r="W194" s="107"/>
      <c r="X194" s="108" t="s">
        <v>1440</v>
      </c>
      <c r="Y194" s="96"/>
      <c r="Z194" s="98"/>
      <c r="AA194" s="98"/>
      <c r="AB194" s="98"/>
      <c r="AC194" s="98"/>
      <c r="AD194" s="98"/>
      <c r="AE194" s="98"/>
      <c r="AF194" s="98"/>
      <c r="AG194" s="98"/>
      <c r="AH194" s="98"/>
      <c r="AI194" s="98"/>
      <c r="AJ194" s="98"/>
      <c r="AK194" s="98"/>
      <c r="AL194" s="98"/>
      <c r="AM194" s="98"/>
      <c r="AN194" s="98"/>
      <c r="AO194" s="98"/>
      <c r="AP194" s="98"/>
      <c r="AQ194" s="98"/>
      <c r="AR194" s="98"/>
      <c r="AS194" s="98"/>
    </row>
    <row r="195" spans="1:45" s="4" customFormat="1">
      <c r="A195" s="93" t="s">
        <v>919</v>
      </c>
      <c r="B195" s="94">
        <v>680487045482</v>
      </c>
      <c r="C195" s="95" t="s">
        <v>920</v>
      </c>
      <c r="D195">
        <v>0</v>
      </c>
      <c r="E195" s="96"/>
      <c r="F195" s="97"/>
      <c r="G195" s="98"/>
      <c r="H195" s="99" t="s">
        <v>373</v>
      </c>
      <c r="I195" s="107"/>
      <c r="J195" s="101"/>
      <c r="K195" s="102"/>
      <c r="L195" s="102"/>
      <c r="M195" s="102"/>
      <c r="N195" s="98"/>
      <c r="O195" s="98"/>
      <c r="P195" s="98"/>
      <c r="Q195" s="98"/>
      <c r="R195" s="98"/>
      <c r="S195" s="98"/>
      <c r="T195" s="98"/>
      <c r="U195" s="109"/>
      <c r="V195" s="103"/>
      <c r="W195" s="107"/>
      <c r="X195" s="108" t="s">
        <v>1440</v>
      </c>
      <c r="Y195" s="96"/>
      <c r="Z195" s="98"/>
      <c r="AA195" s="98"/>
      <c r="AB195" s="98"/>
      <c r="AC195" s="98"/>
      <c r="AD195" s="98"/>
      <c r="AE195" s="98"/>
      <c r="AF195" s="98"/>
      <c r="AG195" s="98"/>
      <c r="AH195" s="98"/>
      <c r="AI195" s="98"/>
      <c r="AJ195" s="98"/>
      <c r="AK195" s="98"/>
      <c r="AL195" s="98"/>
      <c r="AM195" s="98"/>
      <c r="AN195" s="98"/>
      <c r="AO195" s="98"/>
      <c r="AP195" s="98"/>
      <c r="AQ195" s="98"/>
      <c r="AR195" s="98"/>
      <c r="AS195" s="98"/>
    </row>
    <row r="196" spans="1:45" s="4" customFormat="1">
      <c r="A196" s="93" t="s">
        <v>919</v>
      </c>
      <c r="B196" s="94">
        <v>680487135213</v>
      </c>
      <c r="C196" s="95" t="s">
        <v>920</v>
      </c>
      <c r="D196">
        <v>0</v>
      </c>
      <c r="E196" s="96"/>
      <c r="F196" s="97"/>
      <c r="G196" s="98"/>
      <c r="H196" s="99" t="s">
        <v>374</v>
      </c>
      <c r="I196" s="107"/>
      <c r="J196" s="101"/>
      <c r="K196" s="102"/>
      <c r="L196" s="102"/>
      <c r="M196" s="102"/>
      <c r="N196" s="98"/>
      <c r="O196" s="98"/>
      <c r="P196" s="98"/>
      <c r="Q196" s="98"/>
      <c r="R196" s="98"/>
      <c r="S196" s="98"/>
      <c r="T196" s="98"/>
      <c r="U196" s="109"/>
      <c r="V196" s="103"/>
      <c r="W196" s="107"/>
      <c r="X196" s="108" t="s">
        <v>1440</v>
      </c>
      <c r="Y196" s="96"/>
      <c r="Z196" s="98"/>
      <c r="AA196" s="98"/>
      <c r="AB196" s="98"/>
      <c r="AC196" s="98"/>
      <c r="AD196" s="98"/>
      <c r="AE196" s="98"/>
      <c r="AF196" s="98"/>
      <c r="AG196" s="98"/>
      <c r="AH196" s="98"/>
      <c r="AI196" s="98"/>
      <c r="AJ196" s="98"/>
      <c r="AK196" s="98"/>
      <c r="AL196" s="98"/>
      <c r="AM196" s="98"/>
      <c r="AN196" s="98"/>
      <c r="AO196" s="98"/>
      <c r="AP196" s="98"/>
      <c r="AQ196" s="98"/>
      <c r="AR196" s="98"/>
      <c r="AS196" s="98"/>
    </row>
    <row r="197" spans="1:45" s="4" customFormat="1">
      <c r="A197" s="93" t="s">
        <v>919</v>
      </c>
      <c r="B197" s="94">
        <v>680487043891</v>
      </c>
      <c r="C197" s="95" t="s">
        <v>920</v>
      </c>
      <c r="D197">
        <v>0</v>
      </c>
      <c r="E197" s="96"/>
      <c r="F197" s="97"/>
      <c r="G197" s="98"/>
      <c r="H197" s="99" t="s">
        <v>375</v>
      </c>
      <c r="I197" s="107"/>
      <c r="J197" s="101"/>
      <c r="K197" s="102"/>
      <c r="L197" s="102"/>
      <c r="M197" s="102"/>
      <c r="N197" s="98"/>
      <c r="O197" s="98"/>
      <c r="P197" s="98"/>
      <c r="Q197" s="98"/>
      <c r="R197" s="98"/>
      <c r="S197" s="98"/>
      <c r="T197" s="98"/>
      <c r="U197" s="109"/>
      <c r="V197" s="103"/>
      <c r="W197" s="107"/>
      <c r="X197" s="108" t="s">
        <v>1440</v>
      </c>
      <c r="Y197" s="96"/>
      <c r="Z197" s="98"/>
      <c r="AA197" s="98"/>
      <c r="AB197" s="98"/>
      <c r="AC197" s="98"/>
      <c r="AD197" s="98"/>
      <c r="AE197" s="98"/>
      <c r="AF197" s="98"/>
      <c r="AG197" s="98"/>
      <c r="AH197" s="98"/>
      <c r="AI197" s="98"/>
      <c r="AJ197" s="98"/>
      <c r="AK197" s="98"/>
      <c r="AL197" s="98"/>
      <c r="AM197" s="98"/>
      <c r="AN197" s="98"/>
      <c r="AO197" s="98"/>
      <c r="AP197" s="98"/>
      <c r="AQ197" s="98"/>
      <c r="AR197" s="98"/>
      <c r="AS197" s="98"/>
    </row>
    <row r="198" spans="1:45" s="4" customFormat="1">
      <c r="A198" s="93" t="s">
        <v>919</v>
      </c>
      <c r="B198" s="94">
        <v>680487045444</v>
      </c>
      <c r="C198" s="95" t="s">
        <v>920</v>
      </c>
      <c r="D198">
        <v>0</v>
      </c>
      <c r="E198" s="96"/>
      <c r="F198" s="97"/>
      <c r="G198" s="98"/>
      <c r="H198" s="99" t="s">
        <v>376</v>
      </c>
      <c r="I198" s="107"/>
      <c r="J198" s="101"/>
      <c r="K198" s="102"/>
      <c r="L198" s="102"/>
      <c r="M198" s="102"/>
      <c r="N198" s="98"/>
      <c r="O198" s="98"/>
      <c r="P198" s="98"/>
      <c r="Q198" s="98"/>
      <c r="R198" s="98"/>
      <c r="S198" s="98"/>
      <c r="T198" s="98"/>
      <c r="U198" s="109"/>
      <c r="V198" s="103"/>
      <c r="W198" s="107"/>
      <c r="X198" s="108" t="s">
        <v>1440</v>
      </c>
      <c r="Y198" s="96"/>
      <c r="Z198" s="98"/>
      <c r="AA198" s="98"/>
      <c r="AB198" s="98"/>
      <c r="AC198" s="98"/>
      <c r="AD198" s="98"/>
      <c r="AE198" s="98"/>
      <c r="AF198" s="98"/>
      <c r="AG198" s="98"/>
      <c r="AH198" s="98"/>
      <c r="AI198" s="98"/>
      <c r="AJ198" s="98"/>
      <c r="AK198" s="98"/>
      <c r="AL198" s="98"/>
      <c r="AM198" s="98"/>
      <c r="AN198" s="98"/>
      <c r="AO198" s="98"/>
      <c r="AP198" s="98"/>
      <c r="AQ198" s="98"/>
      <c r="AR198" s="98"/>
      <c r="AS198" s="98"/>
    </row>
    <row r="199" spans="1:45" s="4" customFormat="1">
      <c r="A199" s="93" t="s">
        <v>919</v>
      </c>
      <c r="B199" s="94">
        <v>680487045901</v>
      </c>
      <c r="C199" s="95" t="s">
        <v>920</v>
      </c>
      <c r="D199">
        <v>0</v>
      </c>
      <c r="E199" s="96"/>
      <c r="F199" s="97"/>
      <c r="G199" s="98"/>
      <c r="H199" s="99" t="s">
        <v>377</v>
      </c>
      <c r="I199" s="107"/>
      <c r="J199" s="101"/>
      <c r="K199" s="102"/>
      <c r="L199" s="102"/>
      <c r="M199" s="102"/>
      <c r="N199" s="98"/>
      <c r="O199" s="98"/>
      <c r="P199" s="98"/>
      <c r="Q199" s="98"/>
      <c r="R199" s="98"/>
      <c r="S199" s="98"/>
      <c r="T199" s="98"/>
      <c r="U199" s="109"/>
      <c r="V199" s="103"/>
      <c r="W199" s="107"/>
      <c r="X199" s="108" t="s">
        <v>1440</v>
      </c>
      <c r="Y199" s="96"/>
      <c r="Z199" s="98"/>
      <c r="AA199" s="98"/>
      <c r="AB199" s="98"/>
      <c r="AC199" s="98"/>
      <c r="AD199" s="98"/>
      <c r="AE199" s="98"/>
      <c r="AF199" s="98"/>
      <c r="AG199" s="98"/>
      <c r="AH199" s="98"/>
      <c r="AI199" s="98"/>
      <c r="AJ199" s="98"/>
      <c r="AK199" s="98"/>
      <c r="AL199" s="98"/>
      <c r="AM199" s="98"/>
      <c r="AN199" s="98"/>
      <c r="AO199" s="98"/>
      <c r="AP199" s="98"/>
      <c r="AQ199" s="98"/>
      <c r="AR199" s="98"/>
      <c r="AS199" s="98"/>
    </row>
    <row r="200" spans="1:45" s="4" customFormat="1">
      <c r="A200" s="93" t="s">
        <v>919</v>
      </c>
      <c r="B200" s="94">
        <v>680487044072</v>
      </c>
      <c r="C200" s="95" t="s">
        <v>920</v>
      </c>
      <c r="D200">
        <v>0</v>
      </c>
      <c r="E200" s="96"/>
      <c r="F200" s="97"/>
      <c r="G200" s="98"/>
      <c r="H200" s="99" t="s">
        <v>378</v>
      </c>
      <c r="I200" s="107"/>
      <c r="J200" s="101"/>
      <c r="K200" s="102"/>
      <c r="L200" s="102"/>
      <c r="M200" s="102"/>
      <c r="N200" s="98"/>
      <c r="O200" s="98"/>
      <c r="P200" s="98"/>
      <c r="Q200" s="98"/>
      <c r="R200" s="98"/>
      <c r="S200" s="98"/>
      <c r="T200" s="98"/>
      <c r="U200" s="109"/>
      <c r="V200" s="103"/>
      <c r="W200" s="107"/>
      <c r="X200" s="108" t="s">
        <v>1440</v>
      </c>
      <c r="Y200" s="96"/>
      <c r="Z200" s="98"/>
      <c r="AA200" s="98"/>
      <c r="AB200" s="98"/>
      <c r="AC200" s="98"/>
      <c r="AD200" s="98"/>
      <c r="AE200" s="98"/>
      <c r="AF200" s="98"/>
      <c r="AG200" s="98"/>
      <c r="AH200" s="98"/>
      <c r="AI200" s="98"/>
      <c r="AJ200" s="98"/>
      <c r="AK200" s="98"/>
      <c r="AL200" s="98"/>
      <c r="AM200" s="98"/>
      <c r="AN200" s="98"/>
      <c r="AO200" s="98"/>
      <c r="AP200" s="98"/>
      <c r="AQ200" s="98"/>
      <c r="AR200" s="98"/>
      <c r="AS200" s="98"/>
    </row>
    <row r="201" spans="1:45" s="4" customFormat="1">
      <c r="A201" s="93" t="s">
        <v>919</v>
      </c>
      <c r="B201" s="94">
        <v>680487045468</v>
      </c>
      <c r="C201" s="95" t="s">
        <v>920</v>
      </c>
      <c r="D201">
        <v>0</v>
      </c>
      <c r="E201" s="96"/>
      <c r="F201" s="97"/>
      <c r="G201" s="98"/>
      <c r="H201" s="99" t="s">
        <v>379</v>
      </c>
      <c r="I201" s="107"/>
      <c r="J201" s="101"/>
      <c r="K201" s="102"/>
      <c r="L201" s="102"/>
      <c r="M201" s="102"/>
      <c r="N201" s="98"/>
      <c r="O201" s="98"/>
      <c r="P201" s="98"/>
      <c r="Q201" s="98"/>
      <c r="R201" s="98"/>
      <c r="S201" s="98"/>
      <c r="T201" s="98"/>
      <c r="U201" s="109"/>
      <c r="V201" s="103"/>
      <c r="W201" s="107"/>
      <c r="X201" s="108" t="s">
        <v>1440</v>
      </c>
      <c r="Y201" s="96"/>
      <c r="Z201" s="98"/>
      <c r="AA201" s="98"/>
      <c r="AB201" s="98"/>
      <c r="AC201" s="98"/>
      <c r="AD201" s="98"/>
      <c r="AE201" s="98"/>
      <c r="AF201" s="98"/>
      <c r="AG201" s="98"/>
      <c r="AH201" s="98"/>
      <c r="AI201" s="98"/>
      <c r="AJ201" s="98"/>
      <c r="AK201" s="98"/>
      <c r="AL201" s="98"/>
      <c r="AM201" s="98"/>
      <c r="AN201" s="98"/>
      <c r="AO201" s="98"/>
      <c r="AP201" s="98"/>
      <c r="AQ201" s="98"/>
      <c r="AR201" s="98"/>
      <c r="AS201" s="98"/>
    </row>
    <row r="202" spans="1:45" s="4" customFormat="1">
      <c r="A202" s="93" t="s">
        <v>919</v>
      </c>
      <c r="B202" s="94">
        <v>680487045949</v>
      </c>
      <c r="C202" s="95" t="s">
        <v>920</v>
      </c>
      <c r="D202">
        <v>0</v>
      </c>
      <c r="E202" s="96"/>
      <c r="F202" s="97"/>
      <c r="G202" s="98"/>
      <c r="H202" s="99" t="s">
        <v>662</v>
      </c>
      <c r="I202" s="107"/>
      <c r="J202" s="101"/>
      <c r="K202" s="102"/>
      <c r="L202" s="102"/>
      <c r="M202" s="102"/>
      <c r="N202" s="98"/>
      <c r="O202" s="98"/>
      <c r="P202" s="98"/>
      <c r="Q202" s="98"/>
      <c r="R202" s="98"/>
      <c r="S202" s="98"/>
      <c r="T202" s="98"/>
      <c r="U202" s="109"/>
      <c r="V202" s="103"/>
      <c r="W202" s="107"/>
      <c r="X202" s="108" t="s">
        <v>1440</v>
      </c>
      <c r="Y202" s="96"/>
      <c r="Z202" s="98"/>
      <c r="AA202" s="98"/>
      <c r="AB202" s="98"/>
      <c r="AC202" s="98"/>
      <c r="AD202" s="98"/>
      <c r="AE202" s="98"/>
      <c r="AF202" s="98"/>
      <c r="AG202" s="98"/>
      <c r="AH202" s="98"/>
      <c r="AI202" s="98"/>
      <c r="AJ202" s="98"/>
      <c r="AK202" s="98"/>
      <c r="AL202" s="98"/>
      <c r="AM202" s="98"/>
      <c r="AN202" s="98"/>
      <c r="AO202" s="98"/>
      <c r="AP202" s="98"/>
      <c r="AQ202" s="98"/>
      <c r="AR202" s="98"/>
      <c r="AS202" s="98"/>
    </row>
    <row r="203" spans="1:45" s="4" customFormat="1">
      <c r="A203" s="93" t="s">
        <v>919</v>
      </c>
      <c r="B203" s="94">
        <v>680487045086</v>
      </c>
      <c r="C203" s="95" t="s">
        <v>920</v>
      </c>
      <c r="D203">
        <v>0</v>
      </c>
      <c r="E203" s="96"/>
      <c r="F203" s="97"/>
      <c r="G203" s="98"/>
      <c r="H203" s="99" t="s">
        <v>380</v>
      </c>
      <c r="I203" s="107"/>
      <c r="J203" s="101"/>
      <c r="K203" s="102"/>
      <c r="L203" s="102"/>
      <c r="M203" s="102"/>
      <c r="N203" s="98"/>
      <c r="O203" s="98"/>
      <c r="P203" s="98"/>
      <c r="Q203" s="98"/>
      <c r="R203" s="98"/>
      <c r="S203" s="98"/>
      <c r="T203" s="98"/>
      <c r="U203" s="109"/>
      <c r="V203" s="103"/>
      <c r="W203" s="107"/>
      <c r="X203" s="108" t="s">
        <v>1440</v>
      </c>
      <c r="Y203" s="96"/>
      <c r="Z203" s="98"/>
      <c r="AA203" s="98"/>
      <c r="AB203" s="98"/>
      <c r="AC203" s="98"/>
      <c r="AD203" s="98"/>
      <c r="AE203" s="98"/>
      <c r="AF203" s="98"/>
      <c r="AG203" s="98"/>
      <c r="AH203" s="98"/>
      <c r="AI203" s="98"/>
      <c r="AJ203" s="98"/>
      <c r="AK203" s="98"/>
      <c r="AL203" s="98"/>
      <c r="AM203" s="98"/>
      <c r="AN203" s="98"/>
      <c r="AO203" s="98"/>
      <c r="AP203" s="98"/>
      <c r="AQ203" s="98"/>
      <c r="AR203" s="98"/>
      <c r="AS203" s="98"/>
    </row>
    <row r="204" spans="1:45" s="4" customFormat="1">
      <c r="A204" s="93" t="s">
        <v>919</v>
      </c>
      <c r="B204" s="94">
        <v>680487045307</v>
      </c>
      <c r="C204" s="95" t="s">
        <v>920</v>
      </c>
      <c r="D204">
        <v>0</v>
      </c>
      <c r="E204" s="96"/>
      <c r="F204" s="97"/>
      <c r="G204" s="98"/>
      <c r="H204" s="99" t="s">
        <v>381</v>
      </c>
      <c r="I204" s="107"/>
      <c r="J204" s="101"/>
      <c r="K204" s="102"/>
      <c r="L204" s="102"/>
      <c r="M204" s="102"/>
      <c r="N204" s="98"/>
      <c r="O204" s="98"/>
      <c r="P204" s="98"/>
      <c r="Q204" s="98"/>
      <c r="R204" s="98"/>
      <c r="S204" s="98"/>
      <c r="T204" s="98"/>
      <c r="U204" s="109"/>
      <c r="V204" s="103"/>
      <c r="W204" s="107"/>
      <c r="X204" s="108" t="s">
        <v>1440</v>
      </c>
      <c r="Y204" s="96"/>
      <c r="Z204" s="98"/>
      <c r="AA204" s="98"/>
      <c r="AB204" s="98"/>
      <c r="AC204" s="98"/>
      <c r="AD204" s="98"/>
      <c r="AE204" s="98"/>
      <c r="AF204" s="98"/>
      <c r="AG204" s="98"/>
      <c r="AH204" s="98"/>
      <c r="AI204" s="98"/>
      <c r="AJ204" s="98"/>
      <c r="AK204" s="98"/>
      <c r="AL204" s="98"/>
      <c r="AM204" s="98"/>
      <c r="AN204" s="98"/>
      <c r="AO204" s="98"/>
      <c r="AP204" s="98"/>
      <c r="AQ204" s="98"/>
      <c r="AR204" s="98"/>
      <c r="AS204" s="98"/>
    </row>
    <row r="205" spans="1:45" s="4" customFormat="1">
      <c r="A205" s="93" t="s">
        <v>919</v>
      </c>
      <c r="B205" s="94">
        <v>680487045604</v>
      </c>
      <c r="C205" s="95" t="s">
        <v>920</v>
      </c>
      <c r="D205">
        <v>0</v>
      </c>
      <c r="E205" s="96"/>
      <c r="F205" s="97"/>
      <c r="G205" s="98"/>
      <c r="H205" s="99" t="s">
        <v>382</v>
      </c>
      <c r="I205" s="107"/>
      <c r="J205" s="101"/>
      <c r="K205" s="102"/>
      <c r="L205" s="102"/>
      <c r="M205" s="102"/>
      <c r="N205" s="98"/>
      <c r="O205" s="98"/>
      <c r="P205" s="98"/>
      <c r="Q205" s="98"/>
      <c r="R205" s="98"/>
      <c r="S205" s="98"/>
      <c r="T205" s="98"/>
      <c r="U205" s="109"/>
      <c r="V205" s="103"/>
      <c r="W205" s="107"/>
      <c r="X205" s="108" t="s">
        <v>1440</v>
      </c>
      <c r="Y205" s="96"/>
      <c r="Z205" s="98"/>
      <c r="AA205" s="98"/>
      <c r="AB205" s="98"/>
      <c r="AC205" s="98"/>
      <c r="AD205" s="98"/>
      <c r="AE205" s="98"/>
      <c r="AF205" s="98"/>
      <c r="AG205" s="98"/>
      <c r="AH205" s="98"/>
      <c r="AI205" s="98"/>
      <c r="AJ205" s="98"/>
      <c r="AK205" s="98"/>
      <c r="AL205" s="98"/>
      <c r="AM205" s="98"/>
      <c r="AN205" s="98"/>
      <c r="AO205" s="98"/>
      <c r="AP205" s="98"/>
      <c r="AQ205" s="98"/>
      <c r="AR205" s="98"/>
      <c r="AS205" s="98"/>
    </row>
    <row r="206" spans="1:45" s="4" customFormat="1">
      <c r="A206" s="93" t="s">
        <v>919</v>
      </c>
      <c r="B206" s="94">
        <v>680487045109</v>
      </c>
      <c r="C206" s="95" t="s">
        <v>920</v>
      </c>
      <c r="D206">
        <v>0</v>
      </c>
      <c r="E206" s="96"/>
      <c r="F206" s="97"/>
      <c r="G206" s="98"/>
      <c r="H206" s="99" t="s">
        <v>383</v>
      </c>
      <c r="I206" s="107"/>
      <c r="J206" s="101"/>
      <c r="K206" s="102"/>
      <c r="L206" s="102"/>
      <c r="M206" s="102"/>
      <c r="N206" s="98"/>
      <c r="O206" s="98"/>
      <c r="P206" s="98"/>
      <c r="Q206" s="98"/>
      <c r="R206" s="98"/>
      <c r="S206" s="98"/>
      <c r="T206" s="98"/>
      <c r="U206" s="109"/>
      <c r="V206" s="103"/>
      <c r="W206" s="107"/>
      <c r="X206" s="108" t="s">
        <v>1440</v>
      </c>
      <c r="Y206" s="96"/>
      <c r="Z206" s="98"/>
      <c r="AA206" s="98"/>
      <c r="AB206" s="98"/>
      <c r="AC206" s="98"/>
      <c r="AD206" s="98"/>
      <c r="AE206" s="98"/>
      <c r="AF206" s="98"/>
      <c r="AG206" s="98"/>
      <c r="AH206" s="98"/>
      <c r="AI206" s="98"/>
      <c r="AJ206" s="98"/>
      <c r="AK206" s="98"/>
      <c r="AL206" s="98"/>
      <c r="AM206" s="98"/>
      <c r="AN206" s="98"/>
      <c r="AO206" s="98"/>
      <c r="AP206" s="98"/>
      <c r="AQ206" s="98"/>
      <c r="AR206" s="98"/>
      <c r="AS206" s="98"/>
    </row>
    <row r="207" spans="1:45" s="4" customFormat="1">
      <c r="A207" s="93" t="s">
        <v>919</v>
      </c>
      <c r="B207" s="94">
        <v>680487045369</v>
      </c>
      <c r="C207" s="95" t="s">
        <v>920</v>
      </c>
      <c r="D207">
        <v>0</v>
      </c>
      <c r="E207" s="96"/>
      <c r="F207" s="97"/>
      <c r="G207" s="98"/>
      <c r="H207" s="99" t="s">
        <v>384</v>
      </c>
      <c r="I207" s="107"/>
      <c r="J207" s="101"/>
      <c r="K207" s="102"/>
      <c r="L207" s="102"/>
      <c r="M207" s="102"/>
      <c r="N207" s="98"/>
      <c r="O207" s="98"/>
      <c r="P207" s="98"/>
      <c r="Q207" s="98"/>
      <c r="R207" s="98"/>
      <c r="S207" s="98"/>
      <c r="T207" s="98"/>
      <c r="U207" s="109"/>
      <c r="V207" s="103"/>
      <c r="W207" s="107"/>
      <c r="X207" s="108" t="s">
        <v>1440</v>
      </c>
      <c r="Y207" s="96"/>
      <c r="Z207" s="98"/>
      <c r="AA207" s="98"/>
      <c r="AB207" s="98"/>
      <c r="AC207" s="98"/>
      <c r="AD207" s="98"/>
      <c r="AE207" s="98"/>
      <c r="AF207" s="98"/>
      <c r="AG207" s="98"/>
      <c r="AH207" s="98"/>
      <c r="AI207" s="98"/>
      <c r="AJ207" s="98"/>
      <c r="AK207" s="98"/>
      <c r="AL207" s="98"/>
      <c r="AM207" s="98"/>
      <c r="AN207" s="98"/>
      <c r="AO207" s="98"/>
      <c r="AP207" s="98"/>
      <c r="AQ207" s="98"/>
      <c r="AR207" s="98"/>
      <c r="AS207" s="98"/>
    </row>
    <row r="208" spans="1:45" s="4" customFormat="1">
      <c r="A208" s="93" t="s">
        <v>919</v>
      </c>
      <c r="B208" s="94">
        <v>680487044539</v>
      </c>
      <c r="C208" s="95" t="s">
        <v>920</v>
      </c>
      <c r="D208">
        <v>0</v>
      </c>
      <c r="E208" s="96"/>
      <c r="F208" s="97"/>
      <c r="G208" s="98"/>
      <c r="H208" s="99" t="s">
        <v>385</v>
      </c>
      <c r="I208" s="107"/>
      <c r="J208" s="101"/>
      <c r="K208" s="102"/>
      <c r="L208" s="102"/>
      <c r="M208" s="102"/>
      <c r="N208" s="98"/>
      <c r="O208" s="98"/>
      <c r="P208" s="98"/>
      <c r="Q208" s="98"/>
      <c r="R208" s="98"/>
      <c r="S208" s="98"/>
      <c r="T208" s="98"/>
      <c r="U208" s="109"/>
      <c r="V208" s="103"/>
      <c r="W208" s="107"/>
      <c r="X208" s="108" t="s">
        <v>1440</v>
      </c>
      <c r="Y208" s="96"/>
      <c r="Z208" s="98"/>
      <c r="AA208" s="98"/>
      <c r="AB208" s="98"/>
      <c r="AC208" s="98"/>
      <c r="AD208" s="98"/>
      <c r="AE208" s="98"/>
      <c r="AF208" s="98"/>
      <c r="AG208" s="98"/>
      <c r="AH208" s="98"/>
      <c r="AI208" s="98"/>
      <c r="AJ208" s="98"/>
      <c r="AK208" s="98"/>
      <c r="AL208" s="98"/>
      <c r="AM208" s="98"/>
      <c r="AN208" s="98"/>
      <c r="AO208" s="98"/>
      <c r="AP208" s="98"/>
      <c r="AQ208" s="98"/>
      <c r="AR208" s="98"/>
      <c r="AS208" s="98"/>
    </row>
    <row r="209" spans="1:45" s="4" customFormat="1">
      <c r="A209" s="93" t="s">
        <v>919</v>
      </c>
      <c r="B209" s="94">
        <v>680487045888</v>
      </c>
      <c r="C209" s="95" t="s">
        <v>920</v>
      </c>
      <c r="D209">
        <v>0</v>
      </c>
      <c r="E209" s="96"/>
      <c r="F209" s="97"/>
      <c r="G209" s="98"/>
      <c r="H209" s="99" t="s">
        <v>663</v>
      </c>
      <c r="I209" s="107"/>
      <c r="J209" s="101"/>
      <c r="K209" s="102"/>
      <c r="L209" s="102"/>
      <c r="M209" s="102"/>
      <c r="N209" s="98"/>
      <c r="O209" s="98"/>
      <c r="P209" s="98"/>
      <c r="Q209" s="98"/>
      <c r="R209" s="98"/>
      <c r="S209" s="98"/>
      <c r="T209" s="98"/>
      <c r="U209" s="109"/>
      <c r="V209" s="103"/>
      <c r="W209" s="107"/>
      <c r="X209" s="108" t="s">
        <v>1440</v>
      </c>
      <c r="Y209" s="96"/>
      <c r="Z209" s="98"/>
      <c r="AA209" s="98"/>
      <c r="AB209" s="98"/>
      <c r="AC209" s="98"/>
      <c r="AD209" s="98"/>
      <c r="AE209" s="98"/>
      <c r="AF209" s="98"/>
      <c r="AG209" s="98"/>
      <c r="AH209" s="98"/>
      <c r="AI209" s="98"/>
      <c r="AJ209" s="98"/>
      <c r="AK209" s="98"/>
      <c r="AL209" s="98"/>
      <c r="AM209" s="98"/>
      <c r="AN209" s="98"/>
      <c r="AO209" s="98"/>
      <c r="AP209" s="98"/>
      <c r="AQ209" s="98"/>
      <c r="AR209" s="98"/>
      <c r="AS209" s="98"/>
    </row>
    <row r="210" spans="1:45" s="4" customFormat="1">
      <c r="A210" s="93" t="s">
        <v>919</v>
      </c>
      <c r="B210" s="94">
        <v>680487044676</v>
      </c>
      <c r="C210" s="95" t="s">
        <v>920</v>
      </c>
      <c r="D210">
        <v>0</v>
      </c>
      <c r="E210" s="96"/>
      <c r="F210" s="97"/>
      <c r="G210" s="98"/>
      <c r="H210" s="99" t="s">
        <v>386</v>
      </c>
      <c r="I210" s="107"/>
      <c r="J210" s="101"/>
      <c r="K210" s="102"/>
      <c r="L210" s="102"/>
      <c r="M210" s="102"/>
      <c r="N210" s="98"/>
      <c r="O210" s="98"/>
      <c r="P210" s="98"/>
      <c r="Q210" s="98"/>
      <c r="R210" s="98"/>
      <c r="S210" s="98"/>
      <c r="T210" s="98"/>
      <c r="U210" s="109"/>
      <c r="V210" s="103"/>
      <c r="W210" s="107"/>
      <c r="X210" s="108" t="s">
        <v>1440</v>
      </c>
      <c r="Y210" s="96"/>
      <c r="Z210" s="98"/>
      <c r="AA210" s="98"/>
      <c r="AB210" s="98"/>
      <c r="AC210" s="98"/>
      <c r="AD210" s="98"/>
      <c r="AE210" s="98"/>
      <c r="AF210" s="98"/>
      <c r="AG210" s="98"/>
      <c r="AH210" s="98"/>
      <c r="AI210" s="98"/>
      <c r="AJ210" s="98"/>
      <c r="AK210" s="98"/>
      <c r="AL210" s="98"/>
      <c r="AM210" s="98"/>
      <c r="AN210" s="98"/>
      <c r="AO210" s="98"/>
      <c r="AP210" s="98"/>
      <c r="AQ210" s="98"/>
      <c r="AR210" s="98"/>
      <c r="AS210" s="98"/>
    </row>
    <row r="211" spans="1:45" s="4" customFormat="1">
      <c r="A211" s="93" t="s">
        <v>919</v>
      </c>
      <c r="B211" s="94">
        <v>680487167085</v>
      </c>
      <c r="C211" s="95" t="s">
        <v>920</v>
      </c>
      <c r="D211">
        <v>0</v>
      </c>
      <c r="E211" s="96"/>
      <c r="F211" s="97"/>
      <c r="G211" s="98"/>
      <c r="H211" s="99" t="s">
        <v>387</v>
      </c>
      <c r="I211" s="107"/>
      <c r="J211" s="101"/>
      <c r="K211" s="102"/>
      <c r="L211" s="102"/>
      <c r="M211" s="102"/>
      <c r="N211" s="98"/>
      <c r="O211" s="98"/>
      <c r="P211" s="98"/>
      <c r="Q211" s="98"/>
      <c r="R211" s="98"/>
      <c r="S211" s="98"/>
      <c r="T211" s="98"/>
      <c r="U211" s="109"/>
      <c r="V211" s="103"/>
      <c r="W211" s="107"/>
      <c r="X211" s="108" t="s">
        <v>1440</v>
      </c>
      <c r="Y211" s="96"/>
      <c r="Z211" s="98"/>
      <c r="AA211" s="98"/>
      <c r="AB211" s="98"/>
      <c r="AC211" s="98"/>
      <c r="AD211" s="98"/>
      <c r="AE211" s="98"/>
      <c r="AF211" s="98"/>
      <c r="AG211" s="98"/>
      <c r="AH211" s="98"/>
      <c r="AI211" s="98"/>
      <c r="AJ211" s="98"/>
      <c r="AK211" s="98"/>
      <c r="AL211" s="98"/>
      <c r="AM211" s="98"/>
      <c r="AN211" s="98"/>
      <c r="AO211" s="98"/>
      <c r="AP211" s="98"/>
      <c r="AQ211" s="98"/>
      <c r="AR211" s="98"/>
      <c r="AS211" s="98"/>
    </row>
    <row r="212" spans="1:45" s="4" customFormat="1">
      <c r="A212" s="93" t="s">
        <v>919</v>
      </c>
      <c r="B212" s="94">
        <v>680487044119</v>
      </c>
      <c r="C212" s="95" t="s">
        <v>920</v>
      </c>
      <c r="D212">
        <v>0</v>
      </c>
      <c r="E212" s="96"/>
      <c r="F212" s="97"/>
      <c r="G212" s="98"/>
      <c r="H212" s="99" t="s">
        <v>388</v>
      </c>
      <c r="I212" s="107"/>
      <c r="J212" s="101"/>
      <c r="K212" s="102"/>
      <c r="L212" s="102"/>
      <c r="M212" s="102"/>
      <c r="N212" s="98"/>
      <c r="O212" s="98"/>
      <c r="P212" s="98"/>
      <c r="Q212" s="98"/>
      <c r="R212" s="98"/>
      <c r="S212" s="98"/>
      <c r="T212" s="98"/>
      <c r="U212" s="109"/>
      <c r="V212" s="103"/>
      <c r="W212" s="107"/>
      <c r="X212" s="108" t="s">
        <v>1440</v>
      </c>
      <c r="Y212" s="96"/>
      <c r="Z212" s="98"/>
      <c r="AA212" s="98"/>
      <c r="AB212" s="98"/>
      <c r="AC212" s="98"/>
      <c r="AD212" s="98"/>
      <c r="AE212" s="98"/>
      <c r="AF212" s="98"/>
      <c r="AG212" s="98"/>
      <c r="AH212" s="98"/>
      <c r="AI212" s="98"/>
      <c r="AJ212" s="98"/>
      <c r="AK212" s="98"/>
      <c r="AL212" s="98"/>
      <c r="AM212" s="98"/>
      <c r="AN212" s="98"/>
      <c r="AO212" s="98"/>
      <c r="AP212" s="98"/>
      <c r="AQ212" s="98"/>
      <c r="AR212" s="98"/>
      <c r="AS212" s="98"/>
    </row>
    <row r="213" spans="1:45" s="4" customFormat="1">
      <c r="A213" s="93" t="s">
        <v>919</v>
      </c>
      <c r="B213" s="94">
        <v>680487044751</v>
      </c>
      <c r="C213" s="95" t="s">
        <v>920</v>
      </c>
      <c r="D213">
        <v>0</v>
      </c>
      <c r="E213" s="96"/>
      <c r="F213" s="97"/>
      <c r="G213" s="98"/>
      <c r="H213" s="99" t="s">
        <v>389</v>
      </c>
      <c r="I213" s="107"/>
      <c r="J213" s="101"/>
      <c r="K213" s="102"/>
      <c r="L213" s="102"/>
      <c r="M213" s="102"/>
      <c r="N213" s="98"/>
      <c r="O213" s="98"/>
      <c r="P213" s="98"/>
      <c r="Q213" s="98"/>
      <c r="R213" s="98"/>
      <c r="S213" s="98"/>
      <c r="T213" s="98"/>
      <c r="U213" s="109"/>
      <c r="V213" s="103"/>
      <c r="W213" s="107"/>
      <c r="X213" s="108" t="s">
        <v>1440</v>
      </c>
      <c r="Y213" s="96"/>
      <c r="Z213" s="98"/>
      <c r="AA213" s="98"/>
      <c r="AB213" s="98"/>
      <c r="AC213" s="98"/>
      <c r="AD213" s="98"/>
      <c r="AE213" s="98"/>
      <c r="AF213" s="98"/>
      <c r="AG213" s="98"/>
      <c r="AH213" s="98"/>
      <c r="AI213" s="98"/>
      <c r="AJ213" s="98"/>
      <c r="AK213" s="98"/>
      <c r="AL213" s="98"/>
      <c r="AM213" s="98"/>
      <c r="AN213" s="98"/>
      <c r="AO213" s="98"/>
      <c r="AP213" s="98"/>
      <c r="AQ213" s="98"/>
      <c r="AR213" s="98"/>
      <c r="AS213" s="98"/>
    </row>
    <row r="214" spans="1:45" s="4" customFormat="1">
      <c r="A214" s="93" t="s">
        <v>919</v>
      </c>
      <c r="B214" s="94">
        <v>680487045840</v>
      </c>
      <c r="C214" s="95" t="s">
        <v>920</v>
      </c>
      <c r="D214">
        <v>0</v>
      </c>
      <c r="E214" s="96"/>
      <c r="F214" s="97"/>
      <c r="G214" s="98"/>
      <c r="H214" s="99" t="s">
        <v>1297</v>
      </c>
      <c r="I214" s="107"/>
      <c r="J214" s="101"/>
      <c r="K214" s="102"/>
      <c r="L214" s="102"/>
      <c r="M214" s="102"/>
      <c r="N214" s="98"/>
      <c r="O214" s="98"/>
      <c r="P214" s="98"/>
      <c r="Q214" s="98"/>
      <c r="R214" s="98"/>
      <c r="S214" s="98"/>
      <c r="T214" s="98"/>
      <c r="U214" s="109"/>
      <c r="V214" s="103"/>
      <c r="W214" s="107"/>
      <c r="X214" s="108" t="s">
        <v>1440</v>
      </c>
      <c r="Y214" s="96"/>
      <c r="Z214" s="98"/>
      <c r="AA214" s="98"/>
      <c r="AB214" s="98"/>
      <c r="AC214" s="98"/>
      <c r="AD214" s="98"/>
      <c r="AE214" s="98"/>
      <c r="AF214" s="98"/>
      <c r="AG214" s="98"/>
      <c r="AH214" s="98"/>
      <c r="AI214" s="98"/>
      <c r="AJ214" s="98"/>
      <c r="AK214" s="98"/>
      <c r="AL214" s="98"/>
      <c r="AM214" s="98"/>
      <c r="AN214" s="98"/>
      <c r="AO214" s="98"/>
      <c r="AP214" s="98"/>
      <c r="AQ214" s="98"/>
      <c r="AR214" s="98"/>
      <c r="AS214" s="98"/>
    </row>
    <row r="215" spans="1:45" s="4" customFormat="1">
      <c r="A215" s="93" t="s">
        <v>919</v>
      </c>
      <c r="B215" s="94">
        <v>680487045048</v>
      </c>
      <c r="C215" s="95" t="s">
        <v>920</v>
      </c>
      <c r="D215">
        <v>0</v>
      </c>
      <c r="E215" s="96"/>
      <c r="F215" s="97"/>
      <c r="G215" s="98"/>
      <c r="H215" s="99" t="s">
        <v>390</v>
      </c>
      <c r="I215" s="107"/>
      <c r="J215" s="101"/>
      <c r="K215" s="102"/>
      <c r="L215" s="102"/>
      <c r="M215" s="102"/>
      <c r="N215" s="98"/>
      <c r="O215" s="98"/>
      <c r="P215" s="98"/>
      <c r="Q215" s="98"/>
      <c r="R215" s="98"/>
      <c r="S215" s="98"/>
      <c r="T215" s="98"/>
      <c r="U215" s="109"/>
      <c r="V215" s="103"/>
      <c r="W215" s="107"/>
      <c r="X215" s="108" t="s">
        <v>1440</v>
      </c>
      <c r="Y215" s="96"/>
      <c r="Z215" s="98"/>
      <c r="AA215" s="98"/>
      <c r="AB215" s="98"/>
      <c r="AC215" s="98"/>
      <c r="AD215" s="98"/>
      <c r="AE215" s="98"/>
      <c r="AF215" s="98"/>
      <c r="AG215" s="98"/>
      <c r="AH215" s="98"/>
      <c r="AI215" s="98"/>
      <c r="AJ215" s="98"/>
      <c r="AK215" s="98"/>
      <c r="AL215" s="98"/>
      <c r="AM215" s="98"/>
      <c r="AN215" s="98"/>
      <c r="AO215" s="98"/>
      <c r="AP215" s="98"/>
      <c r="AQ215" s="98"/>
      <c r="AR215" s="98"/>
      <c r="AS215" s="98"/>
    </row>
    <row r="216" spans="1:45" s="4" customFormat="1">
      <c r="A216" s="93" t="s">
        <v>919</v>
      </c>
      <c r="B216" s="94">
        <v>680034189942</v>
      </c>
      <c r="C216" s="95" t="s">
        <v>920</v>
      </c>
      <c r="D216">
        <v>0</v>
      </c>
      <c r="E216" s="96"/>
      <c r="F216" s="97"/>
      <c r="G216" s="98"/>
      <c r="H216" s="99" t="s">
        <v>391</v>
      </c>
      <c r="I216" s="107"/>
      <c r="J216" s="101"/>
      <c r="K216" s="102"/>
      <c r="L216" s="102"/>
      <c r="M216" s="102"/>
      <c r="N216" s="98"/>
      <c r="O216" s="98"/>
      <c r="P216" s="98"/>
      <c r="Q216" s="98"/>
      <c r="R216" s="98"/>
      <c r="S216" s="98"/>
      <c r="T216" s="98"/>
      <c r="U216" s="109"/>
      <c r="V216" s="103"/>
      <c r="W216" s="107"/>
      <c r="X216" s="108" t="s">
        <v>1440</v>
      </c>
      <c r="Y216" s="96"/>
      <c r="Z216" s="98"/>
      <c r="AA216" s="98"/>
      <c r="AB216" s="98"/>
      <c r="AC216" s="98"/>
      <c r="AD216" s="98"/>
      <c r="AE216" s="98"/>
      <c r="AF216" s="98"/>
      <c r="AG216" s="98"/>
      <c r="AH216" s="98"/>
      <c r="AI216" s="98"/>
      <c r="AJ216" s="98"/>
      <c r="AK216" s="98"/>
      <c r="AL216" s="98"/>
      <c r="AM216" s="98"/>
      <c r="AN216" s="98"/>
      <c r="AO216" s="98"/>
      <c r="AP216" s="98"/>
      <c r="AQ216" s="98"/>
      <c r="AR216" s="98"/>
      <c r="AS216" s="98"/>
    </row>
    <row r="217" spans="1:45" s="4" customFormat="1">
      <c r="A217" s="93" t="s">
        <v>919</v>
      </c>
      <c r="B217" s="94">
        <v>680487135275</v>
      </c>
      <c r="C217" s="95" t="s">
        <v>920</v>
      </c>
      <c r="D217">
        <v>0</v>
      </c>
      <c r="E217" s="96"/>
      <c r="F217" s="97"/>
      <c r="G217" s="98"/>
      <c r="H217" s="99" t="s">
        <v>392</v>
      </c>
      <c r="I217" s="107"/>
      <c r="J217" s="101"/>
      <c r="K217" s="102"/>
      <c r="L217" s="102"/>
      <c r="M217" s="102"/>
      <c r="N217" s="98"/>
      <c r="O217" s="98"/>
      <c r="P217" s="98"/>
      <c r="Q217" s="98"/>
      <c r="R217" s="98"/>
      <c r="S217" s="98"/>
      <c r="T217" s="98"/>
      <c r="U217" s="109"/>
      <c r="V217" s="103"/>
      <c r="W217" s="107"/>
      <c r="X217" s="108" t="s">
        <v>1440</v>
      </c>
      <c r="Y217" s="96"/>
      <c r="Z217" s="98"/>
      <c r="AA217" s="98"/>
      <c r="AB217" s="98"/>
      <c r="AC217" s="98"/>
      <c r="AD217" s="98"/>
      <c r="AE217" s="98"/>
      <c r="AF217" s="98"/>
      <c r="AG217" s="98"/>
      <c r="AH217" s="98"/>
      <c r="AI217" s="98"/>
      <c r="AJ217" s="98"/>
      <c r="AK217" s="98"/>
      <c r="AL217" s="98"/>
      <c r="AM217" s="98"/>
      <c r="AN217" s="98"/>
      <c r="AO217" s="98"/>
      <c r="AP217" s="98"/>
      <c r="AQ217" s="98"/>
      <c r="AR217" s="98"/>
      <c r="AS217" s="98"/>
    </row>
    <row r="218" spans="1:45" s="4" customFormat="1">
      <c r="A218" s="93" t="s">
        <v>919</v>
      </c>
      <c r="B218" s="94">
        <v>680487135305</v>
      </c>
      <c r="C218" s="95" t="s">
        <v>920</v>
      </c>
      <c r="D218">
        <v>0</v>
      </c>
      <c r="E218" s="96"/>
      <c r="F218" s="97"/>
      <c r="G218" s="98"/>
      <c r="H218" s="99" t="s">
        <v>393</v>
      </c>
      <c r="I218" s="107"/>
      <c r="J218" s="101"/>
      <c r="K218" s="102"/>
      <c r="L218" s="102"/>
      <c r="M218" s="102"/>
      <c r="N218" s="98"/>
      <c r="O218" s="98"/>
      <c r="P218" s="98"/>
      <c r="Q218" s="98"/>
      <c r="R218" s="98"/>
      <c r="S218" s="98"/>
      <c r="T218" s="98"/>
      <c r="U218" s="109"/>
      <c r="V218" s="103"/>
      <c r="W218" s="107"/>
      <c r="X218" s="108" t="s">
        <v>1440</v>
      </c>
      <c r="Y218" s="96"/>
      <c r="Z218" s="98"/>
      <c r="AA218" s="98"/>
      <c r="AB218" s="98"/>
      <c r="AC218" s="98"/>
      <c r="AD218" s="98"/>
      <c r="AE218" s="98"/>
      <c r="AF218" s="98"/>
      <c r="AG218" s="98"/>
      <c r="AH218" s="98"/>
      <c r="AI218" s="98"/>
      <c r="AJ218" s="98"/>
      <c r="AK218" s="98"/>
      <c r="AL218" s="98"/>
      <c r="AM218" s="98"/>
      <c r="AN218" s="98"/>
      <c r="AO218" s="98"/>
      <c r="AP218" s="98"/>
      <c r="AQ218" s="98"/>
      <c r="AR218" s="98"/>
      <c r="AS218" s="98"/>
    </row>
    <row r="219" spans="1:45" s="4" customFormat="1">
      <c r="A219" s="93" t="s">
        <v>919</v>
      </c>
      <c r="B219" s="94">
        <v>680487135329</v>
      </c>
      <c r="C219" s="95" t="s">
        <v>920</v>
      </c>
      <c r="D219">
        <v>0</v>
      </c>
      <c r="E219" s="96"/>
      <c r="F219" s="97"/>
      <c r="G219" s="98"/>
      <c r="H219" s="99" t="s">
        <v>394</v>
      </c>
      <c r="I219" s="107"/>
      <c r="J219" s="101"/>
      <c r="K219" s="102"/>
      <c r="L219" s="102"/>
      <c r="M219" s="102"/>
      <c r="N219" s="98"/>
      <c r="O219" s="98"/>
      <c r="P219" s="98"/>
      <c r="Q219" s="98"/>
      <c r="R219" s="98"/>
      <c r="S219" s="98"/>
      <c r="T219" s="98"/>
      <c r="U219" s="109"/>
      <c r="V219" s="103"/>
      <c r="W219" s="107"/>
      <c r="X219" s="108" t="s">
        <v>1440</v>
      </c>
      <c r="Y219" s="96"/>
      <c r="Z219" s="98"/>
      <c r="AA219" s="98"/>
      <c r="AB219" s="98"/>
      <c r="AC219" s="98"/>
      <c r="AD219" s="98"/>
      <c r="AE219" s="98"/>
      <c r="AF219" s="98"/>
      <c r="AG219" s="98"/>
      <c r="AH219" s="98"/>
      <c r="AI219" s="98"/>
      <c r="AJ219" s="98"/>
      <c r="AK219" s="98"/>
      <c r="AL219" s="98"/>
      <c r="AM219" s="98"/>
      <c r="AN219" s="98"/>
      <c r="AO219" s="98"/>
      <c r="AP219" s="98"/>
      <c r="AQ219" s="98"/>
      <c r="AR219" s="98"/>
      <c r="AS219" s="98"/>
    </row>
    <row r="220" spans="1:45" s="4" customFormat="1">
      <c r="A220" s="93" t="s">
        <v>919</v>
      </c>
      <c r="B220" s="94">
        <v>680487135336</v>
      </c>
      <c r="C220" s="95" t="s">
        <v>920</v>
      </c>
      <c r="D220">
        <v>0</v>
      </c>
      <c r="E220" s="96"/>
      <c r="F220" s="97"/>
      <c r="G220" s="98"/>
      <c r="H220" s="99" t="s">
        <v>395</v>
      </c>
      <c r="I220" s="107"/>
      <c r="J220" s="101"/>
      <c r="K220" s="102"/>
      <c r="L220" s="102"/>
      <c r="M220" s="102"/>
      <c r="N220" s="98"/>
      <c r="O220" s="98"/>
      <c r="P220" s="98"/>
      <c r="Q220" s="98"/>
      <c r="R220" s="98"/>
      <c r="S220" s="98"/>
      <c r="T220" s="98"/>
      <c r="U220" s="109"/>
      <c r="V220" s="103"/>
      <c r="W220" s="107"/>
      <c r="X220" s="108" t="s">
        <v>1440</v>
      </c>
      <c r="Y220" s="96"/>
      <c r="Z220" s="98"/>
      <c r="AA220" s="98"/>
      <c r="AB220" s="98"/>
      <c r="AC220" s="98"/>
      <c r="AD220" s="98"/>
      <c r="AE220" s="98"/>
      <c r="AF220" s="98"/>
      <c r="AG220" s="98"/>
      <c r="AH220" s="98"/>
      <c r="AI220" s="98"/>
      <c r="AJ220" s="98"/>
      <c r="AK220" s="98"/>
      <c r="AL220" s="98"/>
      <c r="AM220" s="98"/>
      <c r="AN220" s="98"/>
      <c r="AO220" s="98"/>
      <c r="AP220" s="98"/>
      <c r="AQ220" s="98"/>
      <c r="AR220" s="98"/>
      <c r="AS220" s="98"/>
    </row>
    <row r="221" spans="1:45" s="4" customFormat="1">
      <c r="A221" s="93" t="s">
        <v>919</v>
      </c>
      <c r="B221" s="94">
        <v>680487135350</v>
      </c>
      <c r="C221" s="95" t="s">
        <v>920</v>
      </c>
      <c r="D221">
        <v>0</v>
      </c>
      <c r="E221" s="96"/>
      <c r="F221" s="97"/>
      <c r="G221" s="98"/>
      <c r="H221" s="99" t="s">
        <v>396</v>
      </c>
      <c r="I221" s="107"/>
      <c r="J221" s="101"/>
      <c r="K221" s="102"/>
      <c r="L221" s="102"/>
      <c r="M221" s="102"/>
      <c r="N221" s="98"/>
      <c r="O221" s="98"/>
      <c r="P221" s="98"/>
      <c r="Q221" s="98"/>
      <c r="R221" s="98"/>
      <c r="S221" s="98"/>
      <c r="T221" s="98"/>
      <c r="U221" s="109"/>
      <c r="V221" s="103"/>
      <c r="W221" s="107"/>
      <c r="X221" s="108" t="s">
        <v>1440</v>
      </c>
      <c r="Y221" s="96"/>
      <c r="Z221" s="98"/>
      <c r="AA221" s="98"/>
      <c r="AB221" s="98"/>
      <c r="AC221" s="98"/>
      <c r="AD221" s="98"/>
      <c r="AE221" s="98"/>
      <c r="AF221" s="98"/>
      <c r="AG221" s="98"/>
      <c r="AH221" s="98"/>
      <c r="AI221" s="98"/>
      <c r="AJ221" s="98"/>
      <c r="AK221" s="98"/>
      <c r="AL221" s="98"/>
      <c r="AM221" s="98"/>
      <c r="AN221" s="98"/>
      <c r="AO221" s="98"/>
      <c r="AP221" s="98"/>
      <c r="AQ221" s="98"/>
      <c r="AR221" s="98"/>
      <c r="AS221" s="98"/>
    </row>
    <row r="222" spans="1:45" s="4" customFormat="1">
      <c r="A222" s="93" t="s">
        <v>919</v>
      </c>
      <c r="B222" s="94">
        <v>680487135374</v>
      </c>
      <c r="C222" s="95" t="s">
        <v>920</v>
      </c>
      <c r="D222">
        <v>0</v>
      </c>
      <c r="E222" s="96"/>
      <c r="F222" s="97"/>
      <c r="G222" s="98"/>
      <c r="H222" s="99" t="s">
        <v>397</v>
      </c>
      <c r="I222" s="107"/>
      <c r="J222" s="101"/>
      <c r="K222" s="102"/>
      <c r="L222" s="102"/>
      <c r="M222" s="102"/>
      <c r="N222" s="98"/>
      <c r="O222" s="98"/>
      <c r="P222" s="98"/>
      <c r="Q222" s="98"/>
      <c r="R222" s="98"/>
      <c r="S222" s="98"/>
      <c r="T222" s="98"/>
      <c r="U222" s="109"/>
      <c r="V222" s="103"/>
      <c r="W222" s="107"/>
      <c r="X222" s="108" t="s">
        <v>1440</v>
      </c>
      <c r="Y222" s="96"/>
      <c r="Z222" s="98"/>
      <c r="AA222" s="98"/>
      <c r="AB222" s="98"/>
      <c r="AC222" s="98"/>
      <c r="AD222" s="98"/>
      <c r="AE222" s="98"/>
      <c r="AF222" s="98"/>
      <c r="AG222" s="98"/>
      <c r="AH222" s="98"/>
      <c r="AI222" s="98"/>
      <c r="AJ222" s="98"/>
      <c r="AK222" s="98"/>
      <c r="AL222" s="98"/>
      <c r="AM222" s="98"/>
      <c r="AN222" s="98"/>
      <c r="AO222" s="98"/>
      <c r="AP222" s="98"/>
      <c r="AQ222" s="98"/>
      <c r="AR222" s="98"/>
      <c r="AS222" s="98"/>
    </row>
    <row r="223" spans="1:45" s="4" customFormat="1">
      <c r="A223" s="93" t="s">
        <v>919</v>
      </c>
      <c r="B223" s="94">
        <v>680487135398</v>
      </c>
      <c r="C223" s="95" t="s">
        <v>920</v>
      </c>
      <c r="D223">
        <v>0</v>
      </c>
      <c r="E223" s="96"/>
      <c r="F223" s="97"/>
      <c r="G223" s="98"/>
      <c r="H223" s="99" t="s">
        <v>398</v>
      </c>
      <c r="I223" s="107"/>
      <c r="J223" s="101"/>
      <c r="K223" s="102"/>
      <c r="L223" s="102"/>
      <c r="M223" s="102"/>
      <c r="N223" s="98"/>
      <c r="O223" s="98"/>
      <c r="P223" s="98"/>
      <c r="Q223" s="98"/>
      <c r="R223" s="98"/>
      <c r="S223" s="98"/>
      <c r="T223" s="98"/>
      <c r="U223" s="109"/>
      <c r="V223" s="103"/>
      <c r="W223" s="107"/>
      <c r="X223" s="108" t="s">
        <v>1440</v>
      </c>
      <c r="Y223" s="96"/>
      <c r="Z223" s="98"/>
      <c r="AA223" s="98"/>
      <c r="AB223" s="98"/>
      <c r="AC223" s="98"/>
      <c r="AD223" s="98"/>
      <c r="AE223" s="98"/>
      <c r="AF223" s="98"/>
      <c r="AG223" s="98"/>
      <c r="AH223" s="98"/>
      <c r="AI223" s="98"/>
      <c r="AJ223" s="98"/>
      <c r="AK223" s="98"/>
      <c r="AL223" s="98"/>
      <c r="AM223" s="98"/>
      <c r="AN223" s="98"/>
      <c r="AO223" s="98"/>
      <c r="AP223" s="98"/>
      <c r="AQ223" s="98"/>
      <c r="AR223" s="98"/>
      <c r="AS223" s="98"/>
    </row>
    <row r="224" spans="1:45" s="4" customFormat="1">
      <c r="A224" s="93" t="s">
        <v>919</v>
      </c>
      <c r="B224" s="94">
        <v>680487135411</v>
      </c>
      <c r="C224" s="95" t="s">
        <v>920</v>
      </c>
      <c r="D224">
        <v>0</v>
      </c>
      <c r="E224" s="96"/>
      <c r="F224" s="97"/>
      <c r="G224" s="98"/>
      <c r="H224" s="99" t="s">
        <v>399</v>
      </c>
      <c r="I224" s="107"/>
      <c r="J224" s="101"/>
      <c r="K224" s="102"/>
      <c r="L224" s="102"/>
      <c r="M224" s="102"/>
      <c r="N224" s="98"/>
      <c r="O224" s="98"/>
      <c r="P224" s="98"/>
      <c r="Q224" s="98"/>
      <c r="R224" s="98"/>
      <c r="S224" s="98"/>
      <c r="T224" s="98"/>
      <c r="U224" s="109"/>
      <c r="V224" s="103"/>
      <c r="W224" s="107"/>
      <c r="X224" s="108" t="s">
        <v>1440</v>
      </c>
      <c r="Y224" s="96"/>
      <c r="Z224" s="98"/>
      <c r="AA224" s="98"/>
      <c r="AB224" s="98"/>
      <c r="AC224" s="98"/>
      <c r="AD224" s="98"/>
      <c r="AE224" s="98"/>
      <c r="AF224" s="98"/>
      <c r="AG224" s="98"/>
      <c r="AH224" s="98"/>
      <c r="AI224" s="98"/>
      <c r="AJ224" s="98"/>
      <c r="AK224" s="98"/>
      <c r="AL224" s="98"/>
      <c r="AM224" s="98"/>
      <c r="AN224" s="98"/>
      <c r="AO224" s="98"/>
      <c r="AP224" s="98"/>
      <c r="AQ224" s="98"/>
      <c r="AR224" s="98"/>
      <c r="AS224" s="98"/>
    </row>
    <row r="225" spans="1:45" s="4" customFormat="1">
      <c r="A225" s="93" t="s">
        <v>919</v>
      </c>
      <c r="B225" s="94">
        <v>680487135435</v>
      </c>
      <c r="C225" s="95" t="s">
        <v>920</v>
      </c>
      <c r="D225">
        <v>0</v>
      </c>
      <c r="E225" s="96"/>
      <c r="F225" s="97"/>
      <c r="G225" s="98"/>
      <c r="H225" s="99" t="s">
        <v>400</v>
      </c>
      <c r="I225" s="107"/>
      <c r="J225" s="101"/>
      <c r="K225" s="102"/>
      <c r="L225" s="102"/>
      <c r="M225" s="102"/>
      <c r="N225" s="98"/>
      <c r="O225" s="98"/>
      <c r="P225" s="98"/>
      <c r="Q225" s="98"/>
      <c r="R225" s="98"/>
      <c r="S225" s="98"/>
      <c r="T225" s="98"/>
      <c r="U225" s="109"/>
      <c r="V225" s="103"/>
      <c r="W225" s="107"/>
      <c r="X225" s="108" t="s">
        <v>1440</v>
      </c>
      <c r="Y225" s="96"/>
      <c r="Z225" s="98"/>
      <c r="AA225" s="98"/>
      <c r="AB225" s="98"/>
      <c r="AC225" s="98"/>
      <c r="AD225" s="98"/>
      <c r="AE225" s="98"/>
      <c r="AF225" s="98"/>
      <c r="AG225" s="98"/>
      <c r="AH225" s="98"/>
      <c r="AI225" s="98"/>
      <c r="AJ225" s="98"/>
      <c r="AK225" s="98"/>
      <c r="AL225" s="98"/>
      <c r="AM225" s="98"/>
      <c r="AN225" s="98"/>
      <c r="AO225" s="98"/>
      <c r="AP225" s="98"/>
      <c r="AQ225" s="98"/>
      <c r="AR225" s="98"/>
      <c r="AS225" s="98"/>
    </row>
    <row r="226" spans="1:45" s="4" customFormat="1">
      <c r="A226" s="93" t="s">
        <v>919</v>
      </c>
      <c r="B226" s="94">
        <v>680487165807</v>
      </c>
      <c r="C226" s="95" t="s">
        <v>920</v>
      </c>
      <c r="D226">
        <v>0</v>
      </c>
      <c r="E226" s="96"/>
      <c r="F226" s="97"/>
      <c r="G226" s="98"/>
      <c r="H226" s="99" t="s">
        <v>401</v>
      </c>
      <c r="I226" s="107"/>
      <c r="J226" s="101"/>
      <c r="K226" s="102"/>
      <c r="L226" s="102"/>
      <c r="M226" s="102"/>
      <c r="N226" s="98"/>
      <c r="O226" s="98"/>
      <c r="P226" s="98"/>
      <c r="Q226" s="98"/>
      <c r="R226" s="98"/>
      <c r="S226" s="98"/>
      <c r="T226" s="98"/>
      <c r="U226" s="109"/>
      <c r="V226" s="103"/>
      <c r="W226" s="107"/>
      <c r="X226" s="108" t="s">
        <v>1440</v>
      </c>
      <c r="Y226" s="96"/>
      <c r="Z226" s="98"/>
      <c r="AA226" s="98"/>
      <c r="AB226" s="98"/>
      <c r="AC226" s="98"/>
      <c r="AD226" s="98"/>
      <c r="AE226" s="98"/>
      <c r="AF226" s="98"/>
      <c r="AG226" s="98"/>
      <c r="AH226" s="98"/>
      <c r="AI226" s="98"/>
      <c r="AJ226" s="98"/>
      <c r="AK226" s="98"/>
      <c r="AL226" s="98"/>
      <c r="AM226" s="98"/>
      <c r="AN226" s="98"/>
      <c r="AO226" s="98"/>
      <c r="AP226" s="98"/>
      <c r="AQ226" s="98"/>
      <c r="AR226" s="98"/>
      <c r="AS226" s="98"/>
    </row>
    <row r="227" spans="1:45" s="4" customFormat="1">
      <c r="A227" s="93" t="s">
        <v>919</v>
      </c>
      <c r="B227" s="94">
        <v>680487135459</v>
      </c>
      <c r="C227" s="95" t="s">
        <v>920</v>
      </c>
      <c r="D227">
        <v>0</v>
      </c>
      <c r="E227" s="96"/>
      <c r="F227" s="97"/>
      <c r="G227" s="98"/>
      <c r="H227" s="99" t="s">
        <v>402</v>
      </c>
      <c r="I227" s="107"/>
      <c r="J227" s="101"/>
      <c r="K227" s="102"/>
      <c r="L227" s="102"/>
      <c r="M227" s="102"/>
      <c r="N227" s="98"/>
      <c r="O227" s="98"/>
      <c r="P227" s="98"/>
      <c r="Q227" s="98"/>
      <c r="R227" s="98"/>
      <c r="S227" s="98"/>
      <c r="T227" s="98"/>
      <c r="U227" s="109"/>
      <c r="V227" s="103"/>
      <c r="W227" s="107"/>
      <c r="X227" s="108" t="s">
        <v>1440</v>
      </c>
      <c r="Y227" s="96"/>
      <c r="Z227" s="98"/>
      <c r="AA227" s="98"/>
      <c r="AB227" s="98"/>
      <c r="AC227" s="98"/>
      <c r="AD227" s="98"/>
      <c r="AE227" s="98"/>
      <c r="AF227" s="98"/>
      <c r="AG227" s="98"/>
      <c r="AH227" s="98"/>
      <c r="AI227" s="98"/>
      <c r="AJ227" s="98"/>
      <c r="AK227" s="98"/>
      <c r="AL227" s="98"/>
      <c r="AM227" s="98"/>
      <c r="AN227" s="98"/>
      <c r="AO227" s="98"/>
      <c r="AP227" s="98"/>
      <c r="AQ227" s="98"/>
      <c r="AR227" s="98"/>
      <c r="AS227" s="98"/>
    </row>
    <row r="228" spans="1:45" s="4" customFormat="1">
      <c r="A228" s="93" t="s">
        <v>919</v>
      </c>
      <c r="B228" s="94">
        <v>680487135473</v>
      </c>
      <c r="C228" s="95" t="s">
        <v>920</v>
      </c>
      <c r="D228">
        <v>0</v>
      </c>
      <c r="E228" s="96"/>
      <c r="F228" s="97"/>
      <c r="G228" s="98"/>
      <c r="H228" s="99" t="s">
        <v>403</v>
      </c>
      <c r="I228" s="107"/>
      <c r="J228" s="101"/>
      <c r="K228" s="102"/>
      <c r="L228" s="102"/>
      <c r="M228" s="102"/>
      <c r="N228" s="98"/>
      <c r="O228" s="98"/>
      <c r="P228" s="98"/>
      <c r="Q228" s="98"/>
      <c r="R228" s="98"/>
      <c r="S228" s="98"/>
      <c r="T228" s="98"/>
      <c r="U228" s="109"/>
      <c r="V228" s="103"/>
      <c r="W228" s="107"/>
      <c r="X228" s="108" t="s">
        <v>1440</v>
      </c>
      <c r="Y228" s="96"/>
      <c r="Z228" s="98"/>
      <c r="AA228" s="98"/>
      <c r="AB228" s="98"/>
      <c r="AC228" s="98"/>
      <c r="AD228" s="98"/>
      <c r="AE228" s="98"/>
      <c r="AF228" s="98"/>
      <c r="AG228" s="98"/>
      <c r="AH228" s="98"/>
      <c r="AI228" s="98"/>
      <c r="AJ228" s="98"/>
      <c r="AK228" s="98"/>
      <c r="AL228" s="98"/>
      <c r="AM228" s="98"/>
      <c r="AN228" s="98"/>
      <c r="AO228" s="98"/>
      <c r="AP228" s="98"/>
      <c r="AQ228" s="98"/>
      <c r="AR228" s="98"/>
      <c r="AS228" s="98"/>
    </row>
    <row r="229" spans="1:45" s="4" customFormat="1">
      <c r="A229" s="93" t="s">
        <v>919</v>
      </c>
      <c r="B229" s="94">
        <v>680487135497</v>
      </c>
      <c r="C229" s="95" t="s">
        <v>920</v>
      </c>
      <c r="D229">
        <v>0</v>
      </c>
      <c r="E229" s="96"/>
      <c r="F229" s="97"/>
      <c r="G229" s="98"/>
      <c r="H229" s="99" t="s">
        <v>404</v>
      </c>
      <c r="I229" s="107"/>
      <c r="J229" s="101"/>
      <c r="K229" s="102"/>
      <c r="L229" s="102"/>
      <c r="M229" s="102"/>
      <c r="N229" s="98"/>
      <c r="O229" s="98"/>
      <c r="P229" s="98"/>
      <c r="Q229" s="98"/>
      <c r="R229" s="98"/>
      <c r="S229" s="98"/>
      <c r="T229" s="98"/>
      <c r="U229" s="109"/>
      <c r="V229" s="103"/>
      <c r="W229" s="107"/>
      <c r="X229" s="108" t="s">
        <v>1440</v>
      </c>
      <c r="Y229" s="96"/>
      <c r="Z229" s="98"/>
      <c r="AA229" s="98"/>
      <c r="AB229" s="98"/>
      <c r="AC229" s="98"/>
      <c r="AD229" s="98"/>
      <c r="AE229" s="98"/>
      <c r="AF229" s="98"/>
      <c r="AG229" s="98"/>
      <c r="AH229" s="98"/>
      <c r="AI229" s="98"/>
      <c r="AJ229" s="98"/>
      <c r="AK229" s="98"/>
      <c r="AL229" s="98"/>
      <c r="AM229" s="98"/>
      <c r="AN229" s="98"/>
      <c r="AO229" s="98"/>
      <c r="AP229" s="98"/>
      <c r="AQ229" s="98"/>
      <c r="AR229" s="98"/>
      <c r="AS229" s="98"/>
    </row>
    <row r="230" spans="1:45" s="4" customFormat="1">
      <c r="A230" s="93" t="s">
        <v>919</v>
      </c>
      <c r="B230" s="94">
        <v>680487135510</v>
      </c>
      <c r="C230" s="95" t="s">
        <v>920</v>
      </c>
      <c r="D230">
        <v>0</v>
      </c>
      <c r="E230" s="96"/>
      <c r="F230" s="97"/>
      <c r="G230" s="98"/>
      <c r="H230" s="99" t="s">
        <v>405</v>
      </c>
      <c r="I230" s="107"/>
      <c r="J230" s="101"/>
      <c r="K230" s="102"/>
      <c r="L230" s="102"/>
      <c r="M230" s="102"/>
      <c r="N230" s="98"/>
      <c r="O230" s="98"/>
      <c r="P230" s="98"/>
      <c r="Q230" s="98"/>
      <c r="R230" s="98"/>
      <c r="S230" s="98"/>
      <c r="T230" s="98"/>
      <c r="U230" s="109"/>
      <c r="V230" s="103"/>
      <c r="W230" s="107"/>
      <c r="X230" s="108" t="s">
        <v>1440</v>
      </c>
      <c r="Y230" s="96"/>
      <c r="Z230" s="98"/>
      <c r="AA230" s="98"/>
      <c r="AB230" s="98"/>
      <c r="AC230" s="98"/>
      <c r="AD230" s="98"/>
      <c r="AE230" s="98"/>
      <c r="AF230" s="98"/>
      <c r="AG230" s="98"/>
      <c r="AH230" s="98"/>
      <c r="AI230" s="98"/>
      <c r="AJ230" s="98"/>
      <c r="AK230" s="98"/>
      <c r="AL230" s="98"/>
      <c r="AM230" s="98"/>
      <c r="AN230" s="98"/>
      <c r="AO230" s="98"/>
      <c r="AP230" s="98"/>
      <c r="AQ230" s="98"/>
      <c r="AR230" s="98"/>
      <c r="AS230" s="98"/>
    </row>
    <row r="231" spans="1:45" s="4" customFormat="1">
      <c r="A231" s="93" t="s">
        <v>919</v>
      </c>
      <c r="B231" s="94">
        <v>680487135534</v>
      </c>
      <c r="C231" s="95" t="s">
        <v>920</v>
      </c>
      <c r="D231">
        <v>0</v>
      </c>
      <c r="E231" s="96"/>
      <c r="F231" s="97"/>
      <c r="G231" s="98"/>
      <c r="H231" s="99" t="s">
        <v>406</v>
      </c>
      <c r="I231" s="107"/>
      <c r="J231" s="101"/>
      <c r="K231" s="102"/>
      <c r="L231" s="102"/>
      <c r="M231" s="102"/>
      <c r="N231" s="98"/>
      <c r="O231" s="98"/>
      <c r="P231" s="98"/>
      <c r="Q231" s="98"/>
      <c r="R231" s="98"/>
      <c r="S231" s="98"/>
      <c r="T231" s="98"/>
      <c r="U231" s="109"/>
      <c r="V231" s="103"/>
      <c r="W231" s="107"/>
      <c r="X231" s="108" t="s">
        <v>1440</v>
      </c>
      <c r="Y231" s="96"/>
      <c r="Z231" s="98"/>
      <c r="AA231" s="98"/>
      <c r="AB231" s="98"/>
      <c r="AC231" s="98"/>
      <c r="AD231" s="98"/>
      <c r="AE231" s="98"/>
      <c r="AF231" s="98"/>
      <c r="AG231" s="98"/>
      <c r="AH231" s="98"/>
      <c r="AI231" s="98"/>
      <c r="AJ231" s="98"/>
      <c r="AK231" s="98"/>
      <c r="AL231" s="98"/>
      <c r="AM231" s="98"/>
      <c r="AN231" s="98"/>
      <c r="AO231" s="98"/>
      <c r="AP231" s="98"/>
      <c r="AQ231" s="98"/>
      <c r="AR231" s="98"/>
      <c r="AS231" s="98"/>
    </row>
    <row r="232" spans="1:45" s="4" customFormat="1">
      <c r="A232" s="93" t="s">
        <v>919</v>
      </c>
      <c r="B232" s="94">
        <v>680487135558</v>
      </c>
      <c r="C232" s="95" t="s">
        <v>920</v>
      </c>
      <c r="D232">
        <v>0</v>
      </c>
      <c r="E232" s="96"/>
      <c r="F232" s="97"/>
      <c r="G232" s="98"/>
      <c r="H232" s="99" t="s">
        <v>407</v>
      </c>
      <c r="I232" s="107"/>
      <c r="J232" s="101"/>
      <c r="K232" s="102"/>
      <c r="L232" s="102"/>
      <c r="M232" s="102"/>
      <c r="N232" s="98"/>
      <c r="O232" s="98"/>
      <c r="P232" s="98"/>
      <c r="Q232" s="98"/>
      <c r="R232" s="98"/>
      <c r="S232" s="98"/>
      <c r="T232" s="98"/>
      <c r="U232" s="109"/>
      <c r="V232" s="103"/>
      <c r="W232" s="107"/>
      <c r="X232" s="108" t="s">
        <v>1440</v>
      </c>
      <c r="Y232" s="96"/>
      <c r="Z232" s="98"/>
      <c r="AA232" s="98"/>
      <c r="AB232" s="98"/>
      <c r="AC232" s="98"/>
      <c r="AD232" s="98"/>
      <c r="AE232" s="98"/>
      <c r="AF232" s="98"/>
      <c r="AG232" s="98"/>
      <c r="AH232" s="98"/>
      <c r="AI232" s="98"/>
      <c r="AJ232" s="98"/>
      <c r="AK232" s="98"/>
      <c r="AL232" s="98"/>
      <c r="AM232" s="98"/>
      <c r="AN232" s="98"/>
      <c r="AO232" s="98"/>
      <c r="AP232" s="98"/>
      <c r="AQ232" s="98"/>
      <c r="AR232" s="98"/>
      <c r="AS232" s="98"/>
    </row>
    <row r="233" spans="1:45" s="4" customFormat="1">
      <c r="A233" s="93" t="s">
        <v>919</v>
      </c>
      <c r="B233" s="94">
        <v>680487135572</v>
      </c>
      <c r="C233" s="95" t="s">
        <v>920</v>
      </c>
      <c r="D233">
        <v>0</v>
      </c>
      <c r="E233" s="96"/>
      <c r="F233" s="97"/>
      <c r="G233" s="98"/>
      <c r="H233" s="99" t="s">
        <v>408</v>
      </c>
      <c r="I233" s="107"/>
      <c r="J233" s="101"/>
      <c r="K233" s="102"/>
      <c r="L233" s="102"/>
      <c r="M233" s="102"/>
      <c r="N233" s="98"/>
      <c r="O233" s="98"/>
      <c r="P233" s="98"/>
      <c r="Q233" s="98"/>
      <c r="R233" s="98"/>
      <c r="S233" s="98"/>
      <c r="T233" s="98"/>
      <c r="U233" s="109"/>
      <c r="V233" s="103"/>
      <c r="W233" s="107"/>
      <c r="X233" s="108" t="s">
        <v>1440</v>
      </c>
      <c r="Y233" s="96"/>
      <c r="Z233" s="98"/>
      <c r="AA233" s="98"/>
      <c r="AB233" s="98"/>
      <c r="AC233" s="98"/>
      <c r="AD233" s="98"/>
      <c r="AE233" s="98"/>
      <c r="AF233" s="98"/>
      <c r="AG233" s="98"/>
      <c r="AH233" s="98"/>
      <c r="AI233" s="98"/>
      <c r="AJ233" s="98"/>
      <c r="AK233" s="98"/>
      <c r="AL233" s="98"/>
      <c r="AM233" s="98"/>
      <c r="AN233" s="98"/>
      <c r="AO233" s="98"/>
      <c r="AP233" s="98"/>
      <c r="AQ233" s="98"/>
      <c r="AR233" s="98"/>
      <c r="AS233" s="98"/>
    </row>
    <row r="234" spans="1:45" s="4" customFormat="1">
      <c r="A234" s="93" t="s">
        <v>919</v>
      </c>
      <c r="B234" s="94">
        <v>680487135596</v>
      </c>
      <c r="C234" s="95" t="s">
        <v>920</v>
      </c>
      <c r="D234">
        <v>0</v>
      </c>
      <c r="E234" s="96"/>
      <c r="F234" s="97"/>
      <c r="G234" s="98"/>
      <c r="H234" s="99" t="s">
        <v>533</v>
      </c>
      <c r="I234" s="107"/>
      <c r="J234" s="101"/>
      <c r="K234" s="102"/>
      <c r="L234" s="102"/>
      <c r="M234" s="102"/>
      <c r="N234" s="98"/>
      <c r="O234" s="98"/>
      <c r="P234" s="98"/>
      <c r="Q234" s="98"/>
      <c r="R234" s="98"/>
      <c r="S234" s="98"/>
      <c r="T234" s="98"/>
      <c r="U234" s="109"/>
      <c r="V234" s="103"/>
      <c r="W234" s="107"/>
      <c r="X234" s="108" t="s">
        <v>1440</v>
      </c>
      <c r="Y234" s="96"/>
      <c r="Z234" s="98"/>
      <c r="AA234" s="98"/>
      <c r="AB234" s="98"/>
      <c r="AC234" s="98"/>
      <c r="AD234" s="98"/>
      <c r="AE234" s="98"/>
      <c r="AF234" s="98"/>
      <c r="AG234" s="98"/>
      <c r="AH234" s="98"/>
      <c r="AI234" s="98"/>
      <c r="AJ234" s="98"/>
      <c r="AK234" s="98"/>
      <c r="AL234" s="98"/>
      <c r="AM234" s="98"/>
      <c r="AN234" s="98"/>
      <c r="AO234" s="98"/>
      <c r="AP234" s="98"/>
      <c r="AQ234" s="98"/>
      <c r="AR234" s="98"/>
      <c r="AS234" s="98"/>
    </row>
    <row r="235" spans="1:45" s="4" customFormat="1">
      <c r="A235" s="93" t="s">
        <v>919</v>
      </c>
      <c r="B235" s="94">
        <v>680487135619</v>
      </c>
      <c r="C235" s="95" t="s">
        <v>920</v>
      </c>
      <c r="D235">
        <v>0</v>
      </c>
      <c r="E235" s="96"/>
      <c r="F235" s="97"/>
      <c r="G235" s="98"/>
      <c r="H235" s="99" t="s">
        <v>534</v>
      </c>
      <c r="I235" s="107"/>
      <c r="J235" s="101"/>
      <c r="K235" s="102"/>
      <c r="L235" s="102"/>
      <c r="M235" s="102"/>
      <c r="N235" s="98"/>
      <c r="O235" s="98"/>
      <c r="P235" s="98"/>
      <c r="Q235" s="98"/>
      <c r="R235" s="98"/>
      <c r="S235" s="98"/>
      <c r="T235" s="98"/>
      <c r="U235" s="109"/>
      <c r="V235" s="103"/>
      <c r="W235" s="107"/>
      <c r="X235" s="108" t="s">
        <v>1440</v>
      </c>
      <c r="Y235" s="96"/>
      <c r="Z235" s="98"/>
      <c r="AA235" s="98"/>
      <c r="AB235" s="98"/>
      <c r="AC235" s="98"/>
      <c r="AD235" s="98"/>
      <c r="AE235" s="98"/>
      <c r="AF235" s="98"/>
      <c r="AG235" s="98"/>
      <c r="AH235" s="98"/>
      <c r="AI235" s="98"/>
      <c r="AJ235" s="98"/>
      <c r="AK235" s="98"/>
      <c r="AL235" s="98"/>
      <c r="AM235" s="98"/>
      <c r="AN235" s="98"/>
      <c r="AO235" s="98"/>
      <c r="AP235" s="98"/>
      <c r="AQ235" s="98"/>
      <c r="AR235" s="98"/>
      <c r="AS235" s="98"/>
    </row>
    <row r="236" spans="1:45" s="4" customFormat="1">
      <c r="A236" s="93" t="s">
        <v>919</v>
      </c>
      <c r="B236" s="94">
        <v>680487135633</v>
      </c>
      <c r="C236" s="95" t="s">
        <v>920</v>
      </c>
      <c r="D236">
        <v>0</v>
      </c>
      <c r="E236" s="96"/>
      <c r="F236" s="97"/>
      <c r="G236" s="98"/>
      <c r="H236" s="99" t="s">
        <v>409</v>
      </c>
      <c r="I236" s="107"/>
      <c r="J236" s="101"/>
      <c r="K236" s="102"/>
      <c r="L236" s="102"/>
      <c r="M236" s="102"/>
      <c r="N236" s="98"/>
      <c r="O236" s="98"/>
      <c r="P236" s="98"/>
      <c r="Q236" s="98"/>
      <c r="R236" s="98"/>
      <c r="S236" s="98"/>
      <c r="T236" s="98"/>
      <c r="U236" s="109"/>
      <c r="V236" s="103"/>
      <c r="W236" s="107"/>
      <c r="X236" s="108" t="s">
        <v>1440</v>
      </c>
      <c r="Y236" s="96"/>
      <c r="Z236" s="98"/>
      <c r="AA236" s="98"/>
      <c r="AB236" s="98"/>
      <c r="AC236" s="98"/>
      <c r="AD236" s="98"/>
      <c r="AE236" s="98"/>
      <c r="AF236" s="98"/>
      <c r="AG236" s="98"/>
      <c r="AH236" s="98"/>
      <c r="AI236" s="98"/>
      <c r="AJ236" s="98"/>
      <c r="AK236" s="98"/>
      <c r="AL236" s="98"/>
      <c r="AM236" s="98"/>
      <c r="AN236" s="98"/>
      <c r="AO236" s="98"/>
      <c r="AP236" s="98"/>
      <c r="AQ236" s="98"/>
      <c r="AR236" s="98"/>
      <c r="AS236" s="98"/>
    </row>
    <row r="237" spans="1:45" s="4" customFormat="1">
      <c r="A237" s="93" t="s">
        <v>919</v>
      </c>
      <c r="B237" s="94">
        <v>680487135657</v>
      </c>
      <c r="C237" s="95" t="s">
        <v>920</v>
      </c>
      <c r="D237">
        <v>0</v>
      </c>
      <c r="E237" s="96"/>
      <c r="F237" s="97"/>
      <c r="G237" s="98"/>
      <c r="H237" s="99" t="s">
        <v>410</v>
      </c>
      <c r="I237" s="107"/>
      <c r="J237" s="101"/>
      <c r="K237" s="102"/>
      <c r="L237" s="102"/>
      <c r="M237" s="102"/>
      <c r="N237" s="98"/>
      <c r="O237" s="98"/>
      <c r="P237" s="98"/>
      <c r="Q237" s="98"/>
      <c r="R237" s="98"/>
      <c r="S237" s="98"/>
      <c r="T237" s="98"/>
      <c r="U237" s="109"/>
      <c r="V237" s="103"/>
      <c r="W237" s="107"/>
      <c r="X237" s="108" t="s">
        <v>1440</v>
      </c>
      <c r="Y237" s="96"/>
      <c r="Z237" s="98"/>
      <c r="AA237" s="98"/>
      <c r="AB237" s="98"/>
      <c r="AC237" s="98"/>
      <c r="AD237" s="98"/>
      <c r="AE237" s="98"/>
      <c r="AF237" s="98"/>
      <c r="AG237" s="98"/>
      <c r="AH237" s="98"/>
      <c r="AI237" s="98"/>
      <c r="AJ237" s="98"/>
      <c r="AK237" s="98"/>
      <c r="AL237" s="98"/>
      <c r="AM237" s="98"/>
      <c r="AN237" s="98"/>
      <c r="AO237" s="98"/>
      <c r="AP237" s="98"/>
      <c r="AQ237" s="98"/>
      <c r="AR237" s="98"/>
      <c r="AS237" s="98"/>
    </row>
    <row r="238" spans="1:45" s="4" customFormat="1">
      <c r="A238" s="93" t="s">
        <v>919</v>
      </c>
      <c r="B238" s="94">
        <v>680487135671</v>
      </c>
      <c r="C238" s="95" t="s">
        <v>920</v>
      </c>
      <c r="D238">
        <v>0</v>
      </c>
      <c r="E238" s="96"/>
      <c r="F238" s="97"/>
      <c r="G238" s="98"/>
      <c r="H238" s="99" t="s">
        <v>411</v>
      </c>
      <c r="I238" s="107"/>
      <c r="J238" s="101"/>
      <c r="K238" s="102"/>
      <c r="L238" s="102"/>
      <c r="M238" s="102"/>
      <c r="N238" s="98"/>
      <c r="O238" s="98"/>
      <c r="P238" s="98"/>
      <c r="Q238" s="98"/>
      <c r="R238" s="98"/>
      <c r="S238" s="98"/>
      <c r="T238" s="98"/>
      <c r="U238" s="109"/>
      <c r="V238" s="103"/>
      <c r="W238" s="107"/>
      <c r="X238" s="108" t="s">
        <v>1440</v>
      </c>
      <c r="Y238" s="96"/>
      <c r="Z238" s="98"/>
      <c r="AA238" s="98"/>
      <c r="AB238" s="98"/>
      <c r="AC238" s="98"/>
      <c r="AD238" s="98"/>
      <c r="AE238" s="98"/>
      <c r="AF238" s="98"/>
      <c r="AG238" s="98"/>
      <c r="AH238" s="98"/>
      <c r="AI238" s="98"/>
      <c r="AJ238" s="98"/>
      <c r="AK238" s="98"/>
      <c r="AL238" s="98"/>
      <c r="AM238" s="98"/>
      <c r="AN238" s="98"/>
      <c r="AO238" s="98"/>
      <c r="AP238" s="98"/>
      <c r="AQ238" s="98"/>
      <c r="AR238" s="98"/>
      <c r="AS238" s="98"/>
    </row>
    <row r="239" spans="1:45" s="4" customFormat="1">
      <c r="A239" s="93" t="s">
        <v>919</v>
      </c>
      <c r="B239" s="94">
        <v>680487165821</v>
      </c>
      <c r="C239" s="95" t="s">
        <v>920</v>
      </c>
      <c r="D239">
        <v>0</v>
      </c>
      <c r="E239" s="96"/>
      <c r="F239" s="97"/>
      <c r="G239" s="98"/>
      <c r="H239" s="99" t="s">
        <v>412</v>
      </c>
      <c r="I239" s="107"/>
      <c r="J239" s="101"/>
      <c r="K239" s="102"/>
      <c r="L239" s="102"/>
      <c r="M239" s="102"/>
      <c r="N239" s="98"/>
      <c r="O239" s="98"/>
      <c r="P239" s="98"/>
      <c r="Q239" s="98"/>
      <c r="R239" s="98"/>
      <c r="S239" s="98"/>
      <c r="T239" s="98"/>
      <c r="U239" s="109"/>
      <c r="V239" s="103"/>
      <c r="W239" s="107"/>
      <c r="X239" s="108" t="s">
        <v>1440</v>
      </c>
      <c r="Y239" s="96"/>
      <c r="Z239" s="98"/>
      <c r="AA239" s="98"/>
      <c r="AB239" s="98"/>
      <c r="AC239" s="98"/>
      <c r="AD239" s="98"/>
      <c r="AE239" s="98"/>
      <c r="AF239" s="98"/>
      <c r="AG239" s="98"/>
      <c r="AH239" s="98"/>
      <c r="AI239" s="98"/>
      <c r="AJ239" s="98"/>
      <c r="AK239" s="98"/>
      <c r="AL239" s="98"/>
      <c r="AM239" s="98"/>
      <c r="AN239" s="98"/>
      <c r="AO239" s="98"/>
      <c r="AP239" s="98"/>
      <c r="AQ239" s="98"/>
      <c r="AR239" s="98"/>
      <c r="AS239" s="98"/>
    </row>
    <row r="240" spans="1:45" s="4" customFormat="1">
      <c r="A240" s="93" t="s">
        <v>919</v>
      </c>
      <c r="B240" s="94">
        <v>680487135695</v>
      </c>
      <c r="C240" s="95" t="s">
        <v>920</v>
      </c>
      <c r="D240">
        <v>0</v>
      </c>
      <c r="E240" s="96"/>
      <c r="F240" s="97"/>
      <c r="G240" s="98"/>
      <c r="H240" s="99" t="s">
        <v>413</v>
      </c>
      <c r="I240" s="107"/>
      <c r="J240" s="101"/>
      <c r="K240" s="102"/>
      <c r="L240" s="102"/>
      <c r="M240" s="102"/>
      <c r="N240" s="98"/>
      <c r="O240" s="98"/>
      <c r="P240" s="98"/>
      <c r="Q240" s="98"/>
      <c r="R240" s="98"/>
      <c r="S240" s="98"/>
      <c r="T240" s="98"/>
      <c r="U240" s="109"/>
      <c r="V240" s="103"/>
      <c r="W240" s="107"/>
      <c r="X240" s="108" t="s">
        <v>1440</v>
      </c>
      <c r="Y240" s="96"/>
      <c r="Z240" s="98"/>
      <c r="AA240" s="98"/>
      <c r="AB240" s="98"/>
      <c r="AC240" s="98"/>
      <c r="AD240" s="98"/>
      <c r="AE240" s="98"/>
      <c r="AF240" s="98"/>
      <c r="AG240" s="98"/>
      <c r="AH240" s="98"/>
      <c r="AI240" s="98"/>
      <c r="AJ240" s="98"/>
      <c r="AK240" s="98"/>
      <c r="AL240" s="98"/>
      <c r="AM240" s="98"/>
      <c r="AN240" s="98"/>
      <c r="AO240" s="98"/>
      <c r="AP240" s="98"/>
      <c r="AQ240" s="98"/>
      <c r="AR240" s="98"/>
      <c r="AS240" s="98"/>
    </row>
    <row r="241" spans="1:45" s="4" customFormat="1">
      <c r="A241" s="93" t="s">
        <v>919</v>
      </c>
      <c r="B241" s="94">
        <v>680487135718</v>
      </c>
      <c r="C241" s="95" t="s">
        <v>920</v>
      </c>
      <c r="D241">
        <v>0</v>
      </c>
      <c r="E241" s="96"/>
      <c r="F241" s="97"/>
      <c r="G241" s="98"/>
      <c r="H241" s="99" t="s">
        <v>414</v>
      </c>
      <c r="I241" s="107"/>
      <c r="J241" s="101"/>
      <c r="K241" s="102"/>
      <c r="L241" s="102"/>
      <c r="M241" s="102"/>
      <c r="N241" s="98"/>
      <c r="O241" s="98"/>
      <c r="P241" s="98"/>
      <c r="Q241" s="98"/>
      <c r="R241" s="98"/>
      <c r="S241" s="98"/>
      <c r="T241" s="98"/>
      <c r="U241" s="109"/>
      <c r="V241" s="103"/>
      <c r="W241" s="107"/>
      <c r="X241" s="108" t="s">
        <v>1440</v>
      </c>
      <c r="Y241" s="96"/>
      <c r="Z241" s="98"/>
      <c r="AA241" s="98"/>
      <c r="AB241" s="98"/>
      <c r="AC241" s="98"/>
      <c r="AD241" s="98"/>
      <c r="AE241" s="98"/>
      <c r="AF241" s="98"/>
      <c r="AG241" s="98"/>
      <c r="AH241" s="98"/>
      <c r="AI241" s="98"/>
      <c r="AJ241" s="98"/>
      <c r="AK241" s="98"/>
      <c r="AL241" s="98"/>
      <c r="AM241" s="98"/>
      <c r="AN241" s="98"/>
      <c r="AO241" s="98"/>
      <c r="AP241" s="98"/>
      <c r="AQ241" s="98"/>
      <c r="AR241" s="98"/>
      <c r="AS241" s="98"/>
    </row>
    <row r="242" spans="1:45" s="4" customFormat="1">
      <c r="A242" s="93" t="s">
        <v>919</v>
      </c>
      <c r="B242" s="94">
        <v>680487135732</v>
      </c>
      <c r="C242" s="95" t="s">
        <v>920</v>
      </c>
      <c r="D242">
        <v>0</v>
      </c>
      <c r="E242" s="96"/>
      <c r="F242" s="97"/>
      <c r="G242" s="98"/>
      <c r="H242" s="99" t="s">
        <v>415</v>
      </c>
      <c r="I242" s="107"/>
      <c r="J242" s="101"/>
      <c r="K242" s="102"/>
      <c r="L242" s="102"/>
      <c r="M242" s="102"/>
      <c r="N242" s="98"/>
      <c r="O242" s="98"/>
      <c r="P242" s="98"/>
      <c r="Q242" s="98"/>
      <c r="R242" s="98"/>
      <c r="S242" s="98"/>
      <c r="T242" s="98"/>
      <c r="U242" s="109"/>
      <c r="V242" s="103"/>
      <c r="W242" s="107"/>
      <c r="X242" s="108" t="s">
        <v>1440</v>
      </c>
      <c r="Y242" s="96"/>
      <c r="Z242" s="98"/>
      <c r="AA242" s="98"/>
      <c r="AB242" s="98"/>
      <c r="AC242" s="98"/>
      <c r="AD242" s="98"/>
      <c r="AE242" s="98"/>
      <c r="AF242" s="98"/>
      <c r="AG242" s="98"/>
      <c r="AH242" s="98"/>
      <c r="AI242" s="98"/>
      <c r="AJ242" s="98"/>
      <c r="AK242" s="98"/>
      <c r="AL242" s="98"/>
      <c r="AM242" s="98"/>
      <c r="AN242" s="98"/>
      <c r="AO242" s="98"/>
      <c r="AP242" s="98"/>
      <c r="AQ242" s="98"/>
      <c r="AR242" s="98"/>
      <c r="AS242" s="98"/>
    </row>
    <row r="243" spans="1:45" s="4" customFormat="1">
      <c r="A243" s="93" t="s">
        <v>919</v>
      </c>
      <c r="B243" s="94">
        <v>680487135756</v>
      </c>
      <c r="C243" s="95" t="s">
        <v>920</v>
      </c>
      <c r="D243">
        <v>0</v>
      </c>
      <c r="E243" s="96"/>
      <c r="F243" s="97"/>
      <c r="G243" s="98"/>
      <c r="H243" s="99" t="s">
        <v>416</v>
      </c>
      <c r="I243" s="107"/>
      <c r="J243" s="101"/>
      <c r="K243" s="102"/>
      <c r="L243" s="102"/>
      <c r="M243" s="102"/>
      <c r="N243" s="98"/>
      <c r="O243" s="98"/>
      <c r="P243" s="98"/>
      <c r="Q243" s="98"/>
      <c r="R243" s="98"/>
      <c r="S243" s="98"/>
      <c r="T243" s="98"/>
      <c r="U243" s="109"/>
      <c r="V243" s="103"/>
      <c r="W243" s="107"/>
      <c r="X243" s="108" t="s">
        <v>1440</v>
      </c>
      <c r="Y243" s="96"/>
      <c r="Z243" s="98"/>
      <c r="AA243" s="98"/>
      <c r="AB243" s="98"/>
      <c r="AC243" s="98"/>
      <c r="AD243" s="98"/>
      <c r="AE243" s="98"/>
      <c r="AF243" s="98"/>
      <c r="AG243" s="98"/>
      <c r="AH243" s="98"/>
      <c r="AI243" s="98"/>
      <c r="AJ243" s="98"/>
      <c r="AK243" s="98"/>
      <c r="AL243" s="98"/>
      <c r="AM243" s="98"/>
      <c r="AN243" s="98"/>
      <c r="AO243" s="98"/>
      <c r="AP243" s="98"/>
      <c r="AQ243" s="98"/>
      <c r="AR243" s="98"/>
      <c r="AS243" s="98"/>
    </row>
    <row r="244" spans="1:45" s="4" customFormat="1">
      <c r="A244" s="93" t="s">
        <v>919</v>
      </c>
      <c r="B244" s="94">
        <v>680487135770</v>
      </c>
      <c r="C244" s="95" t="s">
        <v>920</v>
      </c>
      <c r="D244">
        <v>0</v>
      </c>
      <c r="E244" s="96"/>
      <c r="F244" s="97"/>
      <c r="G244" s="98"/>
      <c r="H244" s="99" t="s">
        <v>417</v>
      </c>
      <c r="I244" s="107"/>
      <c r="J244" s="101"/>
      <c r="K244" s="102"/>
      <c r="L244" s="102"/>
      <c r="M244" s="102"/>
      <c r="N244" s="98"/>
      <c r="O244" s="98"/>
      <c r="P244" s="98"/>
      <c r="Q244" s="98"/>
      <c r="R244" s="98"/>
      <c r="S244" s="98"/>
      <c r="T244" s="98"/>
      <c r="U244" s="109"/>
      <c r="V244" s="103"/>
      <c r="W244" s="107"/>
      <c r="X244" s="108" t="s">
        <v>1440</v>
      </c>
      <c r="Y244" s="96"/>
      <c r="Z244" s="98"/>
      <c r="AA244" s="98"/>
      <c r="AB244" s="98"/>
      <c r="AC244" s="98"/>
      <c r="AD244" s="98"/>
      <c r="AE244" s="98"/>
      <c r="AF244" s="98"/>
      <c r="AG244" s="98"/>
      <c r="AH244" s="98"/>
      <c r="AI244" s="98"/>
      <c r="AJ244" s="98"/>
      <c r="AK244" s="98"/>
      <c r="AL244" s="98"/>
      <c r="AM244" s="98"/>
      <c r="AN244" s="98"/>
      <c r="AO244" s="98"/>
      <c r="AP244" s="98"/>
      <c r="AQ244" s="98"/>
      <c r="AR244" s="98"/>
      <c r="AS244" s="98"/>
    </row>
    <row r="245" spans="1:45" s="4" customFormat="1">
      <c r="A245" s="93" t="s">
        <v>919</v>
      </c>
      <c r="B245" s="94">
        <v>680487135794</v>
      </c>
      <c r="C245" s="95" t="s">
        <v>920</v>
      </c>
      <c r="D245">
        <v>0</v>
      </c>
      <c r="E245" s="96"/>
      <c r="F245" s="97"/>
      <c r="G245" s="98"/>
      <c r="H245" s="99" t="s">
        <v>418</v>
      </c>
      <c r="I245" s="107"/>
      <c r="J245" s="101"/>
      <c r="K245" s="102"/>
      <c r="L245" s="102"/>
      <c r="M245" s="102"/>
      <c r="N245" s="98"/>
      <c r="O245" s="98"/>
      <c r="P245" s="98"/>
      <c r="Q245" s="98"/>
      <c r="R245" s="98"/>
      <c r="S245" s="98"/>
      <c r="T245" s="98"/>
      <c r="U245" s="109"/>
      <c r="V245" s="103"/>
      <c r="W245" s="107"/>
      <c r="X245" s="108" t="s">
        <v>1440</v>
      </c>
      <c r="Y245" s="96"/>
      <c r="Z245" s="98"/>
      <c r="AA245" s="98"/>
      <c r="AB245" s="98"/>
      <c r="AC245" s="98"/>
      <c r="AD245" s="98"/>
      <c r="AE245" s="98"/>
      <c r="AF245" s="98"/>
      <c r="AG245" s="98"/>
      <c r="AH245" s="98"/>
      <c r="AI245" s="98"/>
      <c r="AJ245" s="98"/>
      <c r="AK245" s="98"/>
      <c r="AL245" s="98"/>
      <c r="AM245" s="98"/>
      <c r="AN245" s="98"/>
      <c r="AO245" s="98"/>
      <c r="AP245" s="98"/>
      <c r="AQ245" s="98"/>
      <c r="AR245" s="98"/>
      <c r="AS245" s="98"/>
    </row>
    <row r="246" spans="1:45" s="4" customFormat="1">
      <c r="A246" s="93" t="s">
        <v>919</v>
      </c>
      <c r="B246" s="94">
        <v>680487135817</v>
      </c>
      <c r="C246" s="95" t="s">
        <v>920</v>
      </c>
      <c r="D246">
        <v>0</v>
      </c>
      <c r="E246" s="96"/>
      <c r="F246" s="97"/>
      <c r="G246" s="98"/>
      <c r="H246" s="99" t="s">
        <v>419</v>
      </c>
      <c r="I246" s="107"/>
      <c r="J246" s="101"/>
      <c r="K246" s="102"/>
      <c r="L246" s="102"/>
      <c r="M246" s="102"/>
      <c r="N246" s="98"/>
      <c r="O246" s="98"/>
      <c r="P246" s="98"/>
      <c r="Q246" s="98"/>
      <c r="R246" s="98"/>
      <c r="S246" s="98"/>
      <c r="T246" s="98"/>
      <c r="U246" s="109"/>
      <c r="V246" s="103"/>
      <c r="W246" s="107"/>
      <c r="X246" s="108" t="s">
        <v>1440</v>
      </c>
      <c r="Y246" s="96"/>
      <c r="Z246" s="98"/>
      <c r="AA246" s="98"/>
      <c r="AB246" s="98"/>
      <c r="AC246" s="98"/>
      <c r="AD246" s="98"/>
      <c r="AE246" s="98"/>
      <c r="AF246" s="98"/>
      <c r="AG246" s="98"/>
      <c r="AH246" s="98"/>
      <c r="AI246" s="98"/>
      <c r="AJ246" s="98"/>
      <c r="AK246" s="98"/>
      <c r="AL246" s="98"/>
      <c r="AM246" s="98"/>
      <c r="AN246" s="98"/>
      <c r="AO246" s="98"/>
      <c r="AP246" s="98"/>
      <c r="AQ246" s="98"/>
      <c r="AR246" s="98"/>
      <c r="AS246" s="98"/>
    </row>
    <row r="247" spans="1:45" s="4" customFormat="1">
      <c r="A247" s="93" t="s">
        <v>919</v>
      </c>
      <c r="B247" s="94">
        <v>680487135831</v>
      </c>
      <c r="C247" s="95" t="s">
        <v>920</v>
      </c>
      <c r="D247">
        <v>0</v>
      </c>
      <c r="E247" s="96"/>
      <c r="F247" s="97"/>
      <c r="G247" s="98"/>
      <c r="H247" s="99" t="s">
        <v>420</v>
      </c>
      <c r="I247" s="107"/>
      <c r="J247" s="101"/>
      <c r="K247" s="102"/>
      <c r="L247" s="102"/>
      <c r="M247" s="102"/>
      <c r="N247" s="98"/>
      <c r="O247" s="98"/>
      <c r="P247" s="98"/>
      <c r="Q247" s="98"/>
      <c r="R247" s="98"/>
      <c r="S247" s="98"/>
      <c r="T247" s="98"/>
      <c r="U247" s="109"/>
      <c r="V247" s="103"/>
      <c r="W247" s="107"/>
      <c r="X247" s="108" t="s">
        <v>1440</v>
      </c>
      <c r="Y247" s="96"/>
      <c r="Z247" s="98"/>
      <c r="AA247" s="98"/>
      <c r="AB247" s="98"/>
      <c r="AC247" s="98"/>
      <c r="AD247" s="98"/>
      <c r="AE247" s="98"/>
      <c r="AF247" s="98"/>
      <c r="AG247" s="98"/>
      <c r="AH247" s="98"/>
      <c r="AI247" s="98"/>
      <c r="AJ247" s="98"/>
      <c r="AK247" s="98"/>
      <c r="AL247" s="98"/>
      <c r="AM247" s="98"/>
      <c r="AN247" s="98"/>
      <c r="AO247" s="98"/>
      <c r="AP247" s="98"/>
      <c r="AQ247" s="98"/>
      <c r="AR247" s="98"/>
      <c r="AS247" s="98"/>
    </row>
    <row r="248" spans="1:45" s="4" customFormat="1">
      <c r="A248" s="93" t="s">
        <v>919</v>
      </c>
      <c r="B248" s="94">
        <v>680487135855</v>
      </c>
      <c r="C248" s="95" t="s">
        <v>920</v>
      </c>
      <c r="D248">
        <v>0</v>
      </c>
      <c r="E248" s="96"/>
      <c r="F248" s="97"/>
      <c r="G248" s="98"/>
      <c r="H248" s="99" t="s">
        <v>535</v>
      </c>
      <c r="I248" s="107"/>
      <c r="J248" s="101"/>
      <c r="K248" s="102"/>
      <c r="L248" s="102"/>
      <c r="M248" s="102"/>
      <c r="N248" s="98"/>
      <c r="O248" s="98"/>
      <c r="P248" s="98"/>
      <c r="Q248" s="98"/>
      <c r="R248" s="98"/>
      <c r="S248" s="98"/>
      <c r="T248" s="98"/>
      <c r="U248" s="109"/>
      <c r="V248" s="103"/>
      <c r="W248" s="107"/>
      <c r="X248" s="108" t="s">
        <v>1440</v>
      </c>
      <c r="Y248" s="96"/>
      <c r="Z248" s="98"/>
      <c r="AA248" s="98"/>
      <c r="AB248" s="98"/>
      <c r="AC248" s="98"/>
      <c r="AD248" s="98"/>
      <c r="AE248" s="98"/>
      <c r="AF248" s="98"/>
      <c r="AG248" s="98"/>
      <c r="AH248" s="98"/>
      <c r="AI248" s="98"/>
      <c r="AJ248" s="98"/>
      <c r="AK248" s="98"/>
      <c r="AL248" s="98"/>
      <c r="AM248" s="98"/>
      <c r="AN248" s="98"/>
      <c r="AO248" s="98"/>
      <c r="AP248" s="98"/>
      <c r="AQ248" s="98"/>
      <c r="AR248" s="98"/>
      <c r="AS248" s="98"/>
    </row>
    <row r="249" spans="1:45" s="4" customFormat="1">
      <c r="A249" s="93" t="s">
        <v>919</v>
      </c>
      <c r="B249" s="94">
        <v>680487135879</v>
      </c>
      <c r="C249" s="95" t="s">
        <v>920</v>
      </c>
      <c r="D249">
        <v>0</v>
      </c>
      <c r="E249" s="96"/>
      <c r="F249" s="97"/>
      <c r="G249" s="98"/>
      <c r="H249" s="99" t="s">
        <v>421</v>
      </c>
      <c r="I249" s="107"/>
      <c r="J249" s="101"/>
      <c r="K249" s="102"/>
      <c r="L249" s="102"/>
      <c r="M249" s="102"/>
      <c r="N249" s="98"/>
      <c r="O249" s="98"/>
      <c r="P249" s="98"/>
      <c r="Q249" s="98"/>
      <c r="R249" s="98"/>
      <c r="S249" s="98"/>
      <c r="T249" s="98"/>
      <c r="U249" s="109"/>
      <c r="V249" s="103"/>
      <c r="W249" s="107"/>
      <c r="X249" s="108" t="s">
        <v>1440</v>
      </c>
      <c r="Y249" s="96"/>
      <c r="Z249" s="98"/>
      <c r="AA249" s="98"/>
      <c r="AB249" s="98"/>
      <c r="AC249" s="98"/>
      <c r="AD249" s="98"/>
      <c r="AE249" s="98"/>
      <c r="AF249" s="98"/>
      <c r="AG249" s="98"/>
      <c r="AH249" s="98"/>
      <c r="AI249" s="98"/>
      <c r="AJ249" s="98"/>
      <c r="AK249" s="98"/>
      <c r="AL249" s="98"/>
      <c r="AM249" s="98"/>
      <c r="AN249" s="98"/>
      <c r="AO249" s="98"/>
      <c r="AP249" s="98"/>
      <c r="AQ249" s="98"/>
      <c r="AR249" s="98"/>
      <c r="AS249" s="98"/>
    </row>
    <row r="250" spans="1:45" s="4" customFormat="1">
      <c r="A250" s="93" t="s">
        <v>919</v>
      </c>
      <c r="B250" s="94">
        <v>680487135893</v>
      </c>
      <c r="C250" s="95" t="s">
        <v>920</v>
      </c>
      <c r="D250">
        <v>0</v>
      </c>
      <c r="E250" s="96"/>
      <c r="F250" s="97"/>
      <c r="G250" s="98"/>
      <c r="H250" s="99" t="s">
        <v>422</v>
      </c>
      <c r="I250" s="107"/>
      <c r="J250" s="101"/>
      <c r="K250" s="102"/>
      <c r="L250" s="102"/>
      <c r="M250" s="102"/>
      <c r="N250" s="98"/>
      <c r="O250" s="98"/>
      <c r="P250" s="98"/>
      <c r="Q250" s="98"/>
      <c r="R250" s="98"/>
      <c r="S250" s="98"/>
      <c r="T250" s="98"/>
      <c r="U250" s="109"/>
      <c r="V250" s="103"/>
      <c r="W250" s="107"/>
      <c r="X250" s="108" t="s">
        <v>1440</v>
      </c>
      <c r="Y250" s="96"/>
      <c r="Z250" s="98"/>
      <c r="AA250" s="98"/>
      <c r="AB250" s="98"/>
      <c r="AC250" s="98"/>
      <c r="AD250" s="98"/>
      <c r="AE250" s="98"/>
      <c r="AF250" s="98"/>
      <c r="AG250" s="98"/>
      <c r="AH250" s="98"/>
      <c r="AI250" s="98"/>
      <c r="AJ250" s="98"/>
      <c r="AK250" s="98"/>
      <c r="AL250" s="98"/>
      <c r="AM250" s="98"/>
      <c r="AN250" s="98"/>
      <c r="AO250" s="98"/>
      <c r="AP250" s="98"/>
      <c r="AQ250" s="98"/>
      <c r="AR250" s="98"/>
      <c r="AS250" s="98"/>
    </row>
    <row r="251" spans="1:45" s="4" customFormat="1">
      <c r="A251" s="93" t="s">
        <v>919</v>
      </c>
      <c r="B251" s="94">
        <v>680487135282</v>
      </c>
      <c r="C251" s="95" t="s">
        <v>920</v>
      </c>
      <c r="D251">
        <v>0</v>
      </c>
      <c r="E251" s="96"/>
      <c r="F251" s="97"/>
      <c r="G251" s="98"/>
      <c r="H251" s="99" t="s">
        <v>423</v>
      </c>
      <c r="I251" s="107"/>
      <c r="J251" s="101"/>
      <c r="K251" s="102"/>
      <c r="L251" s="102"/>
      <c r="M251" s="102"/>
      <c r="N251" s="98"/>
      <c r="O251" s="98"/>
      <c r="P251" s="98"/>
      <c r="Q251" s="98"/>
      <c r="R251" s="98"/>
      <c r="S251" s="98"/>
      <c r="T251" s="98"/>
      <c r="U251" s="109"/>
      <c r="V251" s="103"/>
      <c r="W251" s="107"/>
      <c r="X251" s="108" t="s">
        <v>1440</v>
      </c>
      <c r="Y251" s="96"/>
      <c r="Z251" s="98"/>
      <c r="AA251" s="98"/>
      <c r="AB251" s="98"/>
      <c r="AC251" s="98"/>
      <c r="AD251" s="98"/>
      <c r="AE251" s="98"/>
      <c r="AF251" s="98"/>
      <c r="AG251" s="98"/>
      <c r="AH251" s="98"/>
      <c r="AI251" s="98"/>
      <c r="AJ251" s="98"/>
      <c r="AK251" s="98"/>
      <c r="AL251" s="98"/>
      <c r="AM251" s="98"/>
      <c r="AN251" s="98"/>
      <c r="AO251" s="98"/>
      <c r="AP251" s="98"/>
      <c r="AQ251" s="98"/>
      <c r="AR251" s="98"/>
      <c r="AS251" s="98"/>
    </row>
    <row r="252" spans="1:45" s="4" customFormat="1">
      <c r="A252" s="93" t="s">
        <v>919</v>
      </c>
      <c r="B252" s="94">
        <v>680487135299</v>
      </c>
      <c r="C252" s="95" t="s">
        <v>920</v>
      </c>
      <c r="D252">
        <v>0</v>
      </c>
      <c r="E252" s="96"/>
      <c r="F252" s="97"/>
      <c r="G252" s="98"/>
      <c r="H252" s="99" t="s">
        <v>424</v>
      </c>
      <c r="I252" s="107"/>
      <c r="J252" s="101"/>
      <c r="K252" s="102"/>
      <c r="L252" s="102"/>
      <c r="M252" s="102"/>
      <c r="N252" s="98"/>
      <c r="O252" s="98"/>
      <c r="P252" s="98"/>
      <c r="Q252" s="98"/>
      <c r="R252" s="98"/>
      <c r="S252" s="98"/>
      <c r="T252" s="98"/>
      <c r="U252" s="109"/>
      <c r="V252" s="103"/>
      <c r="W252" s="107"/>
      <c r="X252" s="108" t="s">
        <v>1440</v>
      </c>
      <c r="Y252" s="96"/>
      <c r="Z252" s="98"/>
      <c r="AA252" s="98"/>
      <c r="AB252" s="98"/>
      <c r="AC252" s="98"/>
      <c r="AD252" s="98"/>
      <c r="AE252" s="98"/>
      <c r="AF252" s="98"/>
      <c r="AG252" s="98"/>
      <c r="AH252" s="98"/>
      <c r="AI252" s="98"/>
      <c r="AJ252" s="98"/>
      <c r="AK252" s="98"/>
      <c r="AL252" s="98"/>
      <c r="AM252" s="98"/>
      <c r="AN252" s="98"/>
      <c r="AO252" s="98"/>
      <c r="AP252" s="98"/>
      <c r="AQ252" s="98"/>
      <c r="AR252" s="98"/>
      <c r="AS252" s="98"/>
    </row>
    <row r="253" spans="1:45" s="4" customFormat="1">
      <c r="A253" s="93" t="s">
        <v>919</v>
      </c>
      <c r="B253" s="94">
        <v>680487135312</v>
      </c>
      <c r="C253" s="95" t="s">
        <v>920</v>
      </c>
      <c r="D253">
        <v>0</v>
      </c>
      <c r="E253" s="96"/>
      <c r="F253" s="97"/>
      <c r="G253" s="98"/>
      <c r="H253" s="99" t="s">
        <v>425</v>
      </c>
      <c r="I253" s="107"/>
      <c r="J253" s="101"/>
      <c r="K253" s="102"/>
      <c r="L253" s="102"/>
      <c r="M253" s="102"/>
      <c r="N253" s="98"/>
      <c r="O253" s="98"/>
      <c r="P253" s="98"/>
      <c r="Q253" s="98"/>
      <c r="R253" s="98"/>
      <c r="S253" s="98"/>
      <c r="T253" s="98"/>
      <c r="U253" s="109"/>
      <c r="V253" s="103"/>
      <c r="W253" s="107"/>
      <c r="X253" s="108" t="s">
        <v>1440</v>
      </c>
      <c r="Y253" s="96"/>
      <c r="Z253" s="98"/>
      <c r="AA253" s="98"/>
      <c r="AB253" s="98"/>
      <c r="AC253" s="98"/>
      <c r="AD253" s="98"/>
      <c r="AE253" s="98"/>
      <c r="AF253" s="98"/>
      <c r="AG253" s="98"/>
      <c r="AH253" s="98"/>
      <c r="AI253" s="98"/>
      <c r="AJ253" s="98"/>
      <c r="AK253" s="98"/>
      <c r="AL253" s="98"/>
      <c r="AM253" s="98"/>
      <c r="AN253" s="98"/>
      <c r="AO253" s="98"/>
      <c r="AP253" s="98"/>
      <c r="AQ253" s="98"/>
      <c r="AR253" s="98"/>
      <c r="AS253" s="98"/>
    </row>
    <row r="254" spans="1:45" s="4" customFormat="1">
      <c r="A254" s="93" t="s">
        <v>919</v>
      </c>
      <c r="B254" s="94">
        <v>680487135343</v>
      </c>
      <c r="C254" s="95" t="s">
        <v>920</v>
      </c>
      <c r="D254">
        <v>0</v>
      </c>
      <c r="E254" s="96"/>
      <c r="F254" s="97"/>
      <c r="G254" s="98"/>
      <c r="H254" s="99" t="s">
        <v>426</v>
      </c>
      <c r="I254" s="107"/>
      <c r="J254" s="101"/>
      <c r="K254" s="102"/>
      <c r="L254" s="102"/>
      <c r="M254" s="102"/>
      <c r="N254" s="98"/>
      <c r="O254" s="98"/>
      <c r="P254" s="98"/>
      <c r="Q254" s="98"/>
      <c r="R254" s="98"/>
      <c r="S254" s="98"/>
      <c r="T254" s="98"/>
      <c r="U254" s="109"/>
      <c r="V254" s="103"/>
      <c r="W254" s="107"/>
      <c r="X254" s="108" t="s">
        <v>1440</v>
      </c>
      <c r="Y254" s="96"/>
      <c r="Z254" s="98"/>
      <c r="AA254" s="98"/>
      <c r="AB254" s="98"/>
      <c r="AC254" s="98"/>
      <c r="AD254" s="98"/>
      <c r="AE254" s="98"/>
      <c r="AF254" s="98"/>
      <c r="AG254" s="98"/>
      <c r="AH254" s="98"/>
      <c r="AI254" s="98"/>
      <c r="AJ254" s="98"/>
      <c r="AK254" s="98"/>
      <c r="AL254" s="98"/>
      <c r="AM254" s="98"/>
      <c r="AN254" s="98"/>
      <c r="AO254" s="98"/>
      <c r="AP254" s="98"/>
      <c r="AQ254" s="98"/>
      <c r="AR254" s="98"/>
      <c r="AS254" s="98"/>
    </row>
    <row r="255" spans="1:45" s="4" customFormat="1">
      <c r="A255" s="93" t="s">
        <v>919</v>
      </c>
      <c r="B255" s="94">
        <v>680487135367</v>
      </c>
      <c r="C255" s="95" t="s">
        <v>920</v>
      </c>
      <c r="D255">
        <v>0</v>
      </c>
      <c r="E255" s="96"/>
      <c r="F255" s="97"/>
      <c r="G255" s="98"/>
      <c r="H255" s="99" t="s">
        <v>427</v>
      </c>
      <c r="I255" s="107"/>
      <c r="J255" s="101"/>
      <c r="K255" s="102"/>
      <c r="L255" s="102"/>
      <c r="M255" s="102"/>
      <c r="N255" s="98"/>
      <c r="O255" s="98"/>
      <c r="P255" s="98"/>
      <c r="Q255" s="98"/>
      <c r="R255" s="98"/>
      <c r="S255" s="98"/>
      <c r="T255" s="98"/>
      <c r="U255" s="109"/>
      <c r="V255" s="103"/>
      <c r="W255" s="107"/>
      <c r="X255" s="108" t="s">
        <v>1440</v>
      </c>
      <c r="Y255" s="96"/>
      <c r="Z255" s="98"/>
      <c r="AA255" s="98"/>
      <c r="AB255" s="98"/>
      <c r="AC255" s="98"/>
      <c r="AD255" s="98"/>
      <c r="AE255" s="98"/>
      <c r="AF255" s="98"/>
      <c r="AG255" s="98"/>
      <c r="AH255" s="98"/>
      <c r="AI255" s="98"/>
      <c r="AJ255" s="98"/>
      <c r="AK255" s="98"/>
      <c r="AL255" s="98"/>
      <c r="AM255" s="98"/>
      <c r="AN255" s="98"/>
      <c r="AO255" s="98"/>
      <c r="AP255" s="98"/>
      <c r="AQ255" s="98"/>
      <c r="AR255" s="98"/>
      <c r="AS255" s="98"/>
    </row>
    <row r="256" spans="1:45" s="4" customFormat="1">
      <c r="A256" s="93" t="s">
        <v>919</v>
      </c>
      <c r="B256" s="94">
        <v>680487135381</v>
      </c>
      <c r="C256" s="95" t="s">
        <v>920</v>
      </c>
      <c r="D256">
        <v>0</v>
      </c>
      <c r="E256" s="96"/>
      <c r="F256" s="97"/>
      <c r="G256" s="98"/>
      <c r="H256" s="99" t="s">
        <v>428</v>
      </c>
      <c r="I256" s="107"/>
      <c r="J256" s="101"/>
      <c r="K256" s="102"/>
      <c r="L256" s="102"/>
      <c r="M256" s="102"/>
      <c r="N256" s="98"/>
      <c r="O256" s="98"/>
      <c r="P256" s="98"/>
      <c r="Q256" s="98"/>
      <c r="R256" s="98"/>
      <c r="S256" s="98"/>
      <c r="T256" s="98"/>
      <c r="U256" s="109"/>
      <c r="V256" s="103"/>
      <c r="W256" s="107"/>
      <c r="X256" s="108" t="s">
        <v>1440</v>
      </c>
      <c r="Y256" s="96"/>
      <c r="Z256" s="98"/>
      <c r="AA256" s="98"/>
      <c r="AB256" s="98"/>
      <c r="AC256" s="98"/>
      <c r="AD256" s="98"/>
      <c r="AE256" s="98"/>
      <c r="AF256" s="98"/>
      <c r="AG256" s="98"/>
      <c r="AH256" s="98"/>
      <c r="AI256" s="98"/>
      <c r="AJ256" s="98"/>
      <c r="AK256" s="98"/>
      <c r="AL256" s="98"/>
      <c r="AM256" s="98"/>
      <c r="AN256" s="98"/>
      <c r="AO256" s="98"/>
      <c r="AP256" s="98"/>
      <c r="AQ256" s="98"/>
      <c r="AR256" s="98"/>
      <c r="AS256" s="98"/>
    </row>
    <row r="257" spans="1:45" s="4" customFormat="1">
      <c r="A257" s="93" t="s">
        <v>919</v>
      </c>
      <c r="B257" s="94">
        <v>680487135404</v>
      </c>
      <c r="C257" s="95" t="s">
        <v>920</v>
      </c>
      <c r="D257">
        <v>0</v>
      </c>
      <c r="E257" s="96"/>
      <c r="F257" s="97"/>
      <c r="G257" s="98"/>
      <c r="H257" s="99" t="s">
        <v>429</v>
      </c>
      <c r="I257" s="107"/>
      <c r="J257" s="101"/>
      <c r="K257" s="102"/>
      <c r="L257" s="102"/>
      <c r="M257" s="102"/>
      <c r="N257" s="98"/>
      <c r="O257" s="98"/>
      <c r="P257" s="98"/>
      <c r="Q257" s="98"/>
      <c r="R257" s="98"/>
      <c r="S257" s="98"/>
      <c r="T257" s="98"/>
      <c r="U257" s="109"/>
      <c r="V257" s="103"/>
      <c r="W257" s="107"/>
      <c r="X257" s="108" t="s">
        <v>1440</v>
      </c>
      <c r="Y257" s="96"/>
      <c r="Z257" s="98"/>
      <c r="AA257" s="98"/>
      <c r="AB257" s="98"/>
      <c r="AC257" s="98"/>
      <c r="AD257" s="98"/>
      <c r="AE257" s="98"/>
      <c r="AF257" s="98"/>
      <c r="AG257" s="98"/>
      <c r="AH257" s="98"/>
      <c r="AI257" s="98"/>
      <c r="AJ257" s="98"/>
      <c r="AK257" s="98"/>
      <c r="AL257" s="98"/>
      <c r="AM257" s="98"/>
      <c r="AN257" s="98"/>
      <c r="AO257" s="98"/>
      <c r="AP257" s="98"/>
      <c r="AQ257" s="98"/>
      <c r="AR257" s="98"/>
      <c r="AS257" s="98"/>
    </row>
    <row r="258" spans="1:45" s="4" customFormat="1">
      <c r="A258" s="93" t="s">
        <v>919</v>
      </c>
      <c r="B258" s="94">
        <v>680487135428</v>
      </c>
      <c r="C258" s="95" t="s">
        <v>920</v>
      </c>
      <c r="D258">
        <v>0</v>
      </c>
      <c r="E258" s="96"/>
      <c r="F258" s="97"/>
      <c r="G258" s="98"/>
      <c r="H258" s="99" t="s">
        <v>430</v>
      </c>
      <c r="I258" s="107"/>
      <c r="J258" s="101"/>
      <c r="K258" s="102"/>
      <c r="L258" s="102"/>
      <c r="M258" s="102"/>
      <c r="N258" s="98"/>
      <c r="O258" s="98"/>
      <c r="P258" s="98"/>
      <c r="Q258" s="98"/>
      <c r="R258" s="98"/>
      <c r="S258" s="98"/>
      <c r="T258" s="98"/>
      <c r="U258" s="109"/>
      <c r="V258" s="103"/>
      <c r="W258" s="107"/>
      <c r="X258" s="108" t="s">
        <v>1440</v>
      </c>
      <c r="Y258" s="96"/>
      <c r="Z258" s="98"/>
      <c r="AA258" s="98"/>
      <c r="AB258" s="98"/>
      <c r="AC258" s="98"/>
      <c r="AD258" s="98"/>
      <c r="AE258" s="98"/>
      <c r="AF258" s="98"/>
      <c r="AG258" s="98"/>
      <c r="AH258" s="98"/>
      <c r="AI258" s="98"/>
      <c r="AJ258" s="98"/>
      <c r="AK258" s="98"/>
      <c r="AL258" s="98"/>
      <c r="AM258" s="98"/>
      <c r="AN258" s="98"/>
      <c r="AO258" s="98"/>
      <c r="AP258" s="98"/>
      <c r="AQ258" s="98"/>
      <c r="AR258" s="98"/>
      <c r="AS258" s="98"/>
    </row>
    <row r="259" spans="1:45" s="4" customFormat="1">
      <c r="A259" s="93" t="s">
        <v>919</v>
      </c>
      <c r="B259" s="94">
        <v>680487135442</v>
      </c>
      <c r="C259" s="95" t="s">
        <v>920</v>
      </c>
      <c r="D259">
        <v>0</v>
      </c>
      <c r="E259" s="96"/>
      <c r="F259" s="97"/>
      <c r="G259" s="98"/>
      <c r="H259" s="99" t="s">
        <v>431</v>
      </c>
      <c r="I259" s="107"/>
      <c r="J259" s="101"/>
      <c r="K259" s="102"/>
      <c r="L259" s="102"/>
      <c r="M259" s="102"/>
      <c r="N259" s="98"/>
      <c r="O259" s="98"/>
      <c r="P259" s="98"/>
      <c r="Q259" s="98"/>
      <c r="R259" s="98"/>
      <c r="S259" s="98"/>
      <c r="T259" s="98"/>
      <c r="U259" s="109"/>
      <c r="V259" s="103"/>
      <c r="W259" s="107"/>
      <c r="X259" s="108" t="s">
        <v>1440</v>
      </c>
      <c r="Y259" s="96"/>
      <c r="Z259" s="98"/>
      <c r="AA259" s="98"/>
      <c r="AB259" s="98"/>
      <c r="AC259" s="98"/>
      <c r="AD259" s="98"/>
      <c r="AE259" s="98"/>
      <c r="AF259" s="98"/>
      <c r="AG259" s="98"/>
      <c r="AH259" s="98"/>
      <c r="AI259" s="98"/>
      <c r="AJ259" s="98"/>
      <c r="AK259" s="98"/>
      <c r="AL259" s="98"/>
      <c r="AM259" s="98"/>
      <c r="AN259" s="98"/>
      <c r="AO259" s="98"/>
      <c r="AP259" s="98"/>
      <c r="AQ259" s="98"/>
      <c r="AR259" s="98"/>
      <c r="AS259" s="98"/>
    </row>
    <row r="260" spans="1:45" s="4" customFormat="1">
      <c r="A260" s="93" t="s">
        <v>919</v>
      </c>
      <c r="B260" s="94">
        <v>680487165814</v>
      </c>
      <c r="C260" s="95" t="s">
        <v>920</v>
      </c>
      <c r="D260">
        <v>0</v>
      </c>
      <c r="E260" s="96"/>
      <c r="F260" s="97"/>
      <c r="G260" s="98"/>
      <c r="H260" s="99" t="s">
        <v>432</v>
      </c>
      <c r="I260" s="107"/>
      <c r="J260" s="101"/>
      <c r="K260" s="102"/>
      <c r="L260" s="102"/>
      <c r="M260" s="102"/>
      <c r="N260" s="98"/>
      <c r="O260" s="98"/>
      <c r="P260" s="98"/>
      <c r="Q260" s="98"/>
      <c r="R260" s="98"/>
      <c r="S260" s="98"/>
      <c r="T260" s="98"/>
      <c r="U260" s="109"/>
      <c r="V260" s="103"/>
      <c r="W260" s="107"/>
      <c r="X260" s="108" t="s">
        <v>1440</v>
      </c>
      <c r="Y260" s="96"/>
      <c r="Z260" s="98"/>
      <c r="AA260" s="98"/>
      <c r="AB260" s="98"/>
      <c r="AC260" s="98"/>
      <c r="AD260" s="98"/>
      <c r="AE260" s="98"/>
      <c r="AF260" s="98"/>
      <c r="AG260" s="98"/>
      <c r="AH260" s="98"/>
      <c r="AI260" s="98"/>
      <c r="AJ260" s="98"/>
      <c r="AK260" s="98"/>
      <c r="AL260" s="98"/>
      <c r="AM260" s="98"/>
      <c r="AN260" s="98"/>
      <c r="AO260" s="98"/>
      <c r="AP260" s="98"/>
      <c r="AQ260" s="98"/>
      <c r="AR260" s="98"/>
      <c r="AS260" s="98"/>
    </row>
    <row r="261" spans="1:45" s="4" customFormat="1">
      <c r="A261" s="93" t="s">
        <v>919</v>
      </c>
      <c r="B261" s="94">
        <v>680487135466</v>
      </c>
      <c r="C261" s="95" t="s">
        <v>920</v>
      </c>
      <c r="D261">
        <v>0</v>
      </c>
      <c r="E261" s="96"/>
      <c r="F261" s="97"/>
      <c r="G261" s="98"/>
      <c r="H261" s="99" t="s">
        <v>433</v>
      </c>
      <c r="I261" s="107"/>
      <c r="J261" s="101"/>
      <c r="K261" s="102"/>
      <c r="L261" s="102"/>
      <c r="M261" s="102"/>
      <c r="N261" s="98"/>
      <c r="O261" s="98"/>
      <c r="P261" s="98"/>
      <c r="Q261" s="98"/>
      <c r="R261" s="98"/>
      <c r="S261" s="98"/>
      <c r="T261" s="98"/>
      <c r="U261" s="109"/>
      <c r="V261" s="103"/>
      <c r="W261" s="107"/>
      <c r="X261" s="108" t="s">
        <v>1440</v>
      </c>
      <c r="Y261" s="96"/>
      <c r="Z261" s="98"/>
      <c r="AA261" s="98"/>
      <c r="AB261" s="98"/>
      <c r="AC261" s="98"/>
      <c r="AD261" s="98"/>
      <c r="AE261" s="98"/>
      <c r="AF261" s="98"/>
      <c r="AG261" s="98"/>
      <c r="AH261" s="98"/>
      <c r="AI261" s="98"/>
      <c r="AJ261" s="98"/>
      <c r="AK261" s="98"/>
      <c r="AL261" s="98"/>
      <c r="AM261" s="98"/>
      <c r="AN261" s="98"/>
      <c r="AO261" s="98"/>
      <c r="AP261" s="98"/>
      <c r="AQ261" s="98"/>
      <c r="AR261" s="98"/>
      <c r="AS261" s="98"/>
    </row>
    <row r="262" spans="1:45" s="4" customFormat="1">
      <c r="A262" s="93" t="s">
        <v>919</v>
      </c>
      <c r="B262" s="94">
        <v>680487135480</v>
      </c>
      <c r="C262" s="95" t="s">
        <v>920</v>
      </c>
      <c r="D262">
        <v>0</v>
      </c>
      <c r="E262" s="96"/>
      <c r="F262" s="97"/>
      <c r="G262" s="98"/>
      <c r="H262" s="99" t="s">
        <v>675</v>
      </c>
      <c r="I262" s="107"/>
      <c r="J262" s="101"/>
      <c r="K262" s="102"/>
      <c r="L262" s="102"/>
      <c r="M262" s="102"/>
      <c r="N262" s="98"/>
      <c r="O262" s="98"/>
      <c r="P262" s="98"/>
      <c r="Q262" s="98"/>
      <c r="R262" s="98"/>
      <c r="S262" s="98"/>
      <c r="T262" s="98"/>
      <c r="U262" s="109"/>
      <c r="V262" s="103"/>
      <c r="W262" s="107"/>
      <c r="X262" s="108" t="s">
        <v>1440</v>
      </c>
      <c r="Y262" s="96"/>
      <c r="Z262" s="98"/>
      <c r="AA262" s="98"/>
      <c r="AB262" s="98"/>
      <c r="AC262" s="98"/>
      <c r="AD262" s="98"/>
      <c r="AE262" s="98"/>
      <c r="AF262" s="98"/>
      <c r="AG262" s="98"/>
      <c r="AH262" s="98"/>
      <c r="AI262" s="98"/>
      <c r="AJ262" s="98"/>
      <c r="AK262" s="98"/>
      <c r="AL262" s="98"/>
      <c r="AM262" s="98"/>
      <c r="AN262" s="98"/>
      <c r="AO262" s="98"/>
      <c r="AP262" s="98"/>
      <c r="AQ262" s="98"/>
      <c r="AR262" s="98"/>
      <c r="AS262" s="98"/>
    </row>
    <row r="263" spans="1:45" s="4" customFormat="1">
      <c r="A263" s="93" t="s">
        <v>919</v>
      </c>
      <c r="B263" s="94">
        <v>680487135503</v>
      </c>
      <c r="C263" s="95" t="s">
        <v>920</v>
      </c>
      <c r="D263">
        <v>0</v>
      </c>
      <c r="E263" s="96"/>
      <c r="F263" s="97"/>
      <c r="G263" s="98"/>
      <c r="H263" s="99" t="s">
        <v>434</v>
      </c>
      <c r="I263" s="107"/>
      <c r="J263" s="101"/>
      <c r="K263" s="102"/>
      <c r="L263" s="102"/>
      <c r="M263" s="102"/>
      <c r="N263" s="98"/>
      <c r="O263" s="98"/>
      <c r="P263" s="98"/>
      <c r="Q263" s="98"/>
      <c r="R263" s="98"/>
      <c r="S263" s="98"/>
      <c r="T263" s="98"/>
      <c r="U263" s="109"/>
      <c r="V263" s="103"/>
      <c r="W263" s="107"/>
      <c r="X263" s="108" t="s">
        <v>1440</v>
      </c>
      <c r="Y263" s="96"/>
      <c r="Z263" s="98"/>
      <c r="AA263" s="98"/>
      <c r="AB263" s="98"/>
      <c r="AC263" s="98"/>
      <c r="AD263" s="98"/>
      <c r="AE263" s="98"/>
      <c r="AF263" s="98"/>
      <c r="AG263" s="98"/>
      <c r="AH263" s="98"/>
      <c r="AI263" s="98"/>
      <c r="AJ263" s="98"/>
      <c r="AK263" s="98"/>
      <c r="AL263" s="98"/>
      <c r="AM263" s="98"/>
      <c r="AN263" s="98"/>
      <c r="AO263" s="98"/>
      <c r="AP263" s="98"/>
      <c r="AQ263" s="98"/>
      <c r="AR263" s="98"/>
      <c r="AS263" s="98"/>
    </row>
    <row r="264" spans="1:45" s="4" customFormat="1">
      <c r="A264" s="93" t="s">
        <v>919</v>
      </c>
      <c r="B264" s="94">
        <v>680487135527</v>
      </c>
      <c r="C264" s="95" t="s">
        <v>920</v>
      </c>
      <c r="D264">
        <v>0</v>
      </c>
      <c r="E264" s="96"/>
      <c r="F264" s="97"/>
      <c r="G264" s="98"/>
      <c r="H264" s="99" t="s">
        <v>435</v>
      </c>
      <c r="I264" s="107"/>
      <c r="J264" s="101"/>
      <c r="K264" s="102"/>
      <c r="L264" s="102"/>
      <c r="M264" s="102"/>
      <c r="N264" s="98"/>
      <c r="O264" s="98"/>
      <c r="P264" s="98"/>
      <c r="Q264" s="98"/>
      <c r="R264" s="98"/>
      <c r="S264" s="98"/>
      <c r="T264" s="98"/>
      <c r="U264" s="109"/>
      <c r="V264" s="103"/>
      <c r="W264" s="107"/>
      <c r="X264" s="108" t="s">
        <v>1440</v>
      </c>
      <c r="Y264" s="96"/>
      <c r="Z264" s="98"/>
      <c r="AA264" s="98"/>
      <c r="AB264" s="98"/>
      <c r="AC264" s="98"/>
      <c r="AD264" s="98"/>
      <c r="AE264" s="98"/>
      <c r="AF264" s="98"/>
      <c r="AG264" s="98"/>
      <c r="AH264" s="98"/>
      <c r="AI264" s="98"/>
      <c r="AJ264" s="98"/>
      <c r="AK264" s="98"/>
      <c r="AL264" s="98"/>
      <c r="AM264" s="98"/>
      <c r="AN264" s="98"/>
      <c r="AO264" s="98"/>
      <c r="AP264" s="98"/>
      <c r="AQ264" s="98"/>
      <c r="AR264" s="98"/>
      <c r="AS264" s="98"/>
    </row>
    <row r="265" spans="1:45" s="4" customFormat="1">
      <c r="A265" s="93" t="s">
        <v>919</v>
      </c>
      <c r="B265" s="94">
        <v>680487135541</v>
      </c>
      <c r="C265" s="95" t="s">
        <v>920</v>
      </c>
      <c r="D265">
        <v>0</v>
      </c>
      <c r="E265" s="96"/>
      <c r="F265" s="97"/>
      <c r="G265" s="98"/>
      <c r="H265" s="99" t="s">
        <v>436</v>
      </c>
      <c r="I265" s="107"/>
      <c r="J265" s="101"/>
      <c r="K265" s="102"/>
      <c r="L265" s="102"/>
      <c r="M265" s="102"/>
      <c r="N265" s="98"/>
      <c r="O265" s="98"/>
      <c r="P265" s="98"/>
      <c r="Q265" s="98"/>
      <c r="R265" s="98"/>
      <c r="S265" s="98"/>
      <c r="T265" s="98"/>
      <c r="U265" s="109"/>
      <c r="V265" s="103"/>
      <c r="W265" s="107"/>
      <c r="X265" s="108" t="s">
        <v>1440</v>
      </c>
      <c r="Y265" s="96"/>
      <c r="Z265" s="98"/>
      <c r="AA265" s="98"/>
      <c r="AB265" s="98"/>
      <c r="AC265" s="98"/>
      <c r="AD265" s="98"/>
      <c r="AE265" s="98"/>
      <c r="AF265" s="98"/>
      <c r="AG265" s="98"/>
      <c r="AH265" s="98"/>
      <c r="AI265" s="98"/>
      <c r="AJ265" s="98"/>
      <c r="AK265" s="98"/>
      <c r="AL265" s="98"/>
      <c r="AM265" s="98"/>
      <c r="AN265" s="98"/>
      <c r="AO265" s="98"/>
      <c r="AP265" s="98"/>
      <c r="AQ265" s="98"/>
      <c r="AR265" s="98"/>
      <c r="AS265" s="98"/>
    </row>
    <row r="266" spans="1:45" s="4" customFormat="1">
      <c r="A266" s="93" t="s">
        <v>919</v>
      </c>
      <c r="B266" s="94">
        <v>680487135565</v>
      </c>
      <c r="C266" s="95" t="s">
        <v>920</v>
      </c>
      <c r="D266">
        <v>0</v>
      </c>
      <c r="E266" s="96"/>
      <c r="F266" s="97"/>
      <c r="G266" s="98"/>
      <c r="H266" s="99" t="s">
        <v>437</v>
      </c>
      <c r="I266" s="107"/>
      <c r="J266" s="101"/>
      <c r="K266" s="102"/>
      <c r="L266" s="102"/>
      <c r="M266" s="102"/>
      <c r="N266" s="98"/>
      <c r="O266" s="98"/>
      <c r="P266" s="98"/>
      <c r="Q266" s="98"/>
      <c r="R266" s="98"/>
      <c r="S266" s="98"/>
      <c r="T266" s="98"/>
      <c r="U266" s="109"/>
      <c r="V266" s="103"/>
      <c r="W266" s="107"/>
      <c r="X266" s="108" t="s">
        <v>1440</v>
      </c>
      <c r="Y266" s="96"/>
      <c r="Z266" s="98"/>
      <c r="AA266" s="98"/>
      <c r="AB266" s="98"/>
      <c r="AC266" s="98"/>
      <c r="AD266" s="98"/>
      <c r="AE266" s="98"/>
      <c r="AF266" s="98"/>
      <c r="AG266" s="98"/>
      <c r="AH266" s="98"/>
      <c r="AI266" s="98"/>
      <c r="AJ266" s="98"/>
      <c r="AK266" s="98"/>
      <c r="AL266" s="98"/>
      <c r="AM266" s="98"/>
      <c r="AN266" s="98"/>
      <c r="AO266" s="98"/>
      <c r="AP266" s="98"/>
      <c r="AQ266" s="98"/>
      <c r="AR266" s="98"/>
      <c r="AS266" s="98"/>
    </row>
    <row r="267" spans="1:45" s="4" customFormat="1">
      <c r="A267" s="93" t="s">
        <v>919</v>
      </c>
      <c r="B267" s="94">
        <v>680487135589</v>
      </c>
      <c r="C267" s="95" t="s">
        <v>920</v>
      </c>
      <c r="D267">
        <v>0</v>
      </c>
      <c r="E267" s="96"/>
      <c r="F267" s="97"/>
      <c r="G267" s="98"/>
      <c r="H267" s="99" t="s">
        <v>438</v>
      </c>
      <c r="I267" s="107"/>
      <c r="J267" s="101"/>
      <c r="K267" s="102"/>
      <c r="L267" s="102"/>
      <c r="M267" s="102"/>
      <c r="N267" s="98"/>
      <c r="O267" s="98"/>
      <c r="P267" s="98"/>
      <c r="Q267" s="98"/>
      <c r="R267" s="98"/>
      <c r="S267" s="98"/>
      <c r="T267" s="98"/>
      <c r="U267" s="109"/>
      <c r="V267" s="103"/>
      <c r="W267" s="107"/>
      <c r="X267" s="108" t="s">
        <v>1440</v>
      </c>
      <c r="Y267" s="96"/>
      <c r="Z267" s="98"/>
      <c r="AA267" s="98"/>
      <c r="AB267" s="98"/>
      <c r="AC267" s="98"/>
      <c r="AD267" s="98"/>
      <c r="AE267" s="98"/>
      <c r="AF267" s="98"/>
      <c r="AG267" s="98"/>
      <c r="AH267" s="98"/>
      <c r="AI267" s="98"/>
      <c r="AJ267" s="98"/>
      <c r="AK267" s="98"/>
      <c r="AL267" s="98"/>
      <c r="AM267" s="98"/>
      <c r="AN267" s="98"/>
      <c r="AO267" s="98"/>
      <c r="AP267" s="98"/>
      <c r="AQ267" s="98"/>
      <c r="AR267" s="98"/>
      <c r="AS267" s="98"/>
    </row>
    <row r="268" spans="1:45" s="4" customFormat="1">
      <c r="A268" s="93" t="s">
        <v>919</v>
      </c>
      <c r="B268" s="94">
        <v>680487135602</v>
      </c>
      <c r="C268" s="95" t="s">
        <v>920</v>
      </c>
      <c r="D268">
        <v>0</v>
      </c>
      <c r="E268" s="96"/>
      <c r="F268" s="97"/>
      <c r="G268" s="98"/>
      <c r="H268" s="99" t="s">
        <v>439</v>
      </c>
      <c r="I268" s="107"/>
      <c r="J268" s="101"/>
      <c r="K268" s="102"/>
      <c r="L268" s="102"/>
      <c r="M268" s="102"/>
      <c r="N268" s="98"/>
      <c r="O268" s="98"/>
      <c r="P268" s="98"/>
      <c r="Q268" s="98"/>
      <c r="R268" s="98"/>
      <c r="S268" s="98"/>
      <c r="T268" s="98"/>
      <c r="U268" s="109"/>
      <c r="V268" s="103"/>
      <c r="W268" s="107"/>
      <c r="X268" s="108" t="s">
        <v>1440</v>
      </c>
      <c r="Y268" s="96"/>
      <c r="Z268" s="98"/>
      <c r="AA268" s="98"/>
      <c r="AB268" s="98"/>
      <c r="AC268" s="98"/>
      <c r="AD268" s="98"/>
      <c r="AE268" s="98"/>
      <c r="AF268" s="98"/>
      <c r="AG268" s="98"/>
      <c r="AH268" s="98"/>
      <c r="AI268" s="98"/>
      <c r="AJ268" s="98"/>
      <c r="AK268" s="98"/>
      <c r="AL268" s="98"/>
      <c r="AM268" s="98"/>
      <c r="AN268" s="98"/>
      <c r="AO268" s="98"/>
      <c r="AP268" s="98"/>
      <c r="AQ268" s="98"/>
      <c r="AR268" s="98"/>
      <c r="AS268" s="98"/>
    </row>
    <row r="269" spans="1:45" s="4" customFormat="1">
      <c r="A269" s="93" t="s">
        <v>919</v>
      </c>
      <c r="B269" s="94">
        <v>680487135626</v>
      </c>
      <c r="C269" s="95" t="s">
        <v>920</v>
      </c>
      <c r="D269">
        <v>0</v>
      </c>
      <c r="E269" s="96"/>
      <c r="F269" s="97"/>
      <c r="G269" s="98"/>
      <c r="H269" s="99" t="s">
        <v>440</v>
      </c>
      <c r="I269" s="107"/>
      <c r="J269" s="101"/>
      <c r="K269" s="102"/>
      <c r="L269" s="102"/>
      <c r="M269" s="102"/>
      <c r="N269" s="98"/>
      <c r="O269" s="98"/>
      <c r="P269" s="98"/>
      <c r="Q269" s="98"/>
      <c r="R269" s="98"/>
      <c r="S269" s="98"/>
      <c r="T269" s="98"/>
      <c r="U269" s="109"/>
      <c r="V269" s="103"/>
      <c r="W269" s="107"/>
      <c r="X269" s="108" t="s">
        <v>1440</v>
      </c>
      <c r="Y269" s="96"/>
      <c r="Z269" s="98"/>
      <c r="AA269" s="98"/>
      <c r="AB269" s="98"/>
      <c r="AC269" s="98"/>
      <c r="AD269" s="98"/>
      <c r="AE269" s="98"/>
      <c r="AF269" s="98"/>
      <c r="AG269" s="98"/>
      <c r="AH269" s="98"/>
      <c r="AI269" s="98"/>
      <c r="AJ269" s="98"/>
      <c r="AK269" s="98"/>
      <c r="AL269" s="98"/>
      <c r="AM269" s="98"/>
      <c r="AN269" s="98"/>
      <c r="AO269" s="98"/>
      <c r="AP269" s="98"/>
      <c r="AQ269" s="98"/>
      <c r="AR269" s="98"/>
      <c r="AS269" s="98"/>
    </row>
    <row r="270" spans="1:45" s="4" customFormat="1">
      <c r="A270" s="93" t="s">
        <v>919</v>
      </c>
      <c r="B270" s="94">
        <v>680487135640</v>
      </c>
      <c r="C270" s="95" t="s">
        <v>920</v>
      </c>
      <c r="D270">
        <v>0</v>
      </c>
      <c r="E270" s="96"/>
      <c r="F270" s="97"/>
      <c r="G270" s="98"/>
      <c r="H270" s="99" t="s">
        <v>441</v>
      </c>
      <c r="I270" s="107"/>
      <c r="J270" s="101"/>
      <c r="K270" s="102"/>
      <c r="L270" s="102"/>
      <c r="M270" s="102"/>
      <c r="N270" s="98"/>
      <c r="O270" s="98"/>
      <c r="P270" s="98"/>
      <c r="Q270" s="98"/>
      <c r="R270" s="98"/>
      <c r="S270" s="98"/>
      <c r="T270" s="98"/>
      <c r="U270" s="109"/>
      <c r="V270" s="103"/>
      <c r="W270" s="107"/>
      <c r="X270" s="108" t="s">
        <v>1440</v>
      </c>
      <c r="Y270" s="96"/>
      <c r="Z270" s="98"/>
      <c r="AA270" s="98"/>
      <c r="AB270" s="98"/>
      <c r="AC270" s="98"/>
      <c r="AD270" s="98"/>
      <c r="AE270" s="98"/>
      <c r="AF270" s="98"/>
      <c r="AG270" s="98"/>
      <c r="AH270" s="98"/>
      <c r="AI270" s="98"/>
      <c r="AJ270" s="98"/>
      <c r="AK270" s="98"/>
      <c r="AL270" s="98"/>
      <c r="AM270" s="98"/>
      <c r="AN270" s="98"/>
      <c r="AO270" s="98"/>
      <c r="AP270" s="98"/>
      <c r="AQ270" s="98"/>
      <c r="AR270" s="98"/>
      <c r="AS270" s="98"/>
    </row>
    <row r="271" spans="1:45" s="4" customFormat="1">
      <c r="A271" s="93" t="s">
        <v>919</v>
      </c>
      <c r="B271" s="94">
        <v>680487135664</v>
      </c>
      <c r="C271" s="95" t="s">
        <v>920</v>
      </c>
      <c r="D271">
        <v>0</v>
      </c>
      <c r="E271" s="96"/>
      <c r="F271" s="97"/>
      <c r="G271" s="98"/>
      <c r="H271" s="99" t="s">
        <v>442</v>
      </c>
      <c r="I271" s="107"/>
      <c r="J271" s="101"/>
      <c r="K271" s="102"/>
      <c r="L271" s="102"/>
      <c r="M271" s="102"/>
      <c r="N271" s="98"/>
      <c r="O271" s="98"/>
      <c r="P271" s="98"/>
      <c r="Q271" s="98"/>
      <c r="R271" s="98"/>
      <c r="S271" s="98"/>
      <c r="T271" s="98"/>
      <c r="U271" s="109"/>
      <c r="V271" s="103"/>
      <c r="W271" s="107"/>
      <c r="X271" s="108" t="s">
        <v>1440</v>
      </c>
      <c r="Y271" s="96"/>
      <c r="Z271" s="98"/>
      <c r="AA271" s="98"/>
      <c r="AB271" s="98"/>
      <c r="AC271" s="98"/>
      <c r="AD271" s="98"/>
      <c r="AE271" s="98"/>
      <c r="AF271" s="98"/>
      <c r="AG271" s="98"/>
      <c r="AH271" s="98"/>
      <c r="AI271" s="98"/>
      <c r="AJ271" s="98"/>
      <c r="AK271" s="98"/>
      <c r="AL271" s="98"/>
      <c r="AM271" s="98"/>
      <c r="AN271" s="98"/>
      <c r="AO271" s="98"/>
      <c r="AP271" s="98"/>
      <c r="AQ271" s="98"/>
      <c r="AR271" s="98"/>
      <c r="AS271" s="98"/>
    </row>
    <row r="272" spans="1:45" s="4" customFormat="1">
      <c r="A272" s="93" t="s">
        <v>919</v>
      </c>
      <c r="B272" s="94">
        <v>680487135688</v>
      </c>
      <c r="C272" s="95" t="s">
        <v>920</v>
      </c>
      <c r="D272">
        <v>0</v>
      </c>
      <c r="E272" s="96"/>
      <c r="F272" s="97"/>
      <c r="G272" s="98"/>
      <c r="H272" s="99" t="s">
        <v>443</v>
      </c>
      <c r="I272" s="107"/>
      <c r="J272" s="101"/>
      <c r="K272" s="102"/>
      <c r="L272" s="102"/>
      <c r="M272" s="102"/>
      <c r="N272" s="98"/>
      <c r="O272" s="98"/>
      <c r="P272" s="98"/>
      <c r="Q272" s="98"/>
      <c r="R272" s="98"/>
      <c r="S272" s="98"/>
      <c r="T272" s="98"/>
      <c r="U272" s="109"/>
      <c r="V272" s="103"/>
      <c r="W272" s="107"/>
      <c r="X272" s="108" t="s">
        <v>1440</v>
      </c>
      <c r="Y272" s="96"/>
      <c r="Z272" s="98"/>
      <c r="AA272" s="98"/>
      <c r="AB272" s="98"/>
      <c r="AC272" s="98"/>
      <c r="AD272" s="98"/>
      <c r="AE272" s="98"/>
      <c r="AF272" s="98"/>
      <c r="AG272" s="98"/>
      <c r="AH272" s="98"/>
      <c r="AI272" s="98"/>
      <c r="AJ272" s="98"/>
      <c r="AK272" s="98"/>
      <c r="AL272" s="98"/>
      <c r="AM272" s="98"/>
      <c r="AN272" s="98"/>
      <c r="AO272" s="98"/>
      <c r="AP272" s="98"/>
      <c r="AQ272" s="98"/>
      <c r="AR272" s="98"/>
      <c r="AS272" s="98"/>
    </row>
    <row r="273" spans="1:45" s="4" customFormat="1">
      <c r="A273" s="93" t="s">
        <v>919</v>
      </c>
      <c r="B273" s="94">
        <v>680487165838</v>
      </c>
      <c r="C273" s="95" t="s">
        <v>920</v>
      </c>
      <c r="D273">
        <v>0</v>
      </c>
      <c r="E273" s="96"/>
      <c r="F273" s="97"/>
      <c r="G273" s="98"/>
      <c r="H273" s="99" t="s">
        <v>444</v>
      </c>
      <c r="I273" s="107"/>
      <c r="J273" s="101"/>
      <c r="K273" s="102"/>
      <c r="L273" s="102"/>
      <c r="M273" s="102"/>
      <c r="N273" s="98"/>
      <c r="O273" s="98"/>
      <c r="P273" s="98"/>
      <c r="Q273" s="98"/>
      <c r="R273" s="98"/>
      <c r="S273" s="98"/>
      <c r="T273" s="98"/>
      <c r="U273" s="109"/>
      <c r="V273" s="103"/>
      <c r="W273" s="107"/>
      <c r="X273" s="108" t="s">
        <v>1440</v>
      </c>
      <c r="Y273" s="96"/>
      <c r="Z273" s="98"/>
      <c r="AA273" s="98"/>
      <c r="AB273" s="98"/>
      <c r="AC273" s="98"/>
      <c r="AD273" s="98"/>
      <c r="AE273" s="98"/>
      <c r="AF273" s="98"/>
      <c r="AG273" s="98"/>
      <c r="AH273" s="98"/>
      <c r="AI273" s="98"/>
      <c r="AJ273" s="98"/>
      <c r="AK273" s="98"/>
      <c r="AL273" s="98"/>
      <c r="AM273" s="98"/>
      <c r="AN273" s="98"/>
      <c r="AO273" s="98"/>
      <c r="AP273" s="98"/>
      <c r="AQ273" s="98"/>
      <c r="AR273" s="98"/>
      <c r="AS273" s="98"/>
    </row>
    <row r="274" spans="1:45" s="4" customFormat="1">
      <c r="A274" s="93" t="s">
        <v>919</v>
      </c>
      <c r="B274" s="94">
        <v>680487135701</v>
      </c>
      <c r="C274" s="95" t="s">
        <v>920</v>
      </c>
      <c r="D274">
        <v>0</v>
      </c>
      <c r="E274" s="96"/>
      <c r="F274" s="97"/>
      <c r="G274" s="98"/>
      <c r="H274" s="99" t="s">
        <v>445</v>
      </c>
      <c r="I274" s="107"/>
      <c r="J274" s="101"/>
      <c r="K274" s="102"/>
      <c r="L274" s="102"/>
      <c r="M274" s="102"/>
      <c r="N274" s="98"/>
      <c r="O274" s="98"/>
      <c r="P274" s="98"/>
      <c r="Q274" s="98"/>
      <c r="R274" s="98"/>
      <c r="S274" s="98"/>
      <c r="T274" s="98"/>
      <c r="U274" s="109"/>
      <c r="V274" s="103"/>
      <c r="W274" s="107"/>
      <c r="X274" s="108" t="s">
        <v>1440</v>
      </c>
      <c r="Y274" s="96"/>
      <c r="Z274" s="98"/>
      <c r="AA274" s="98"/>
      <c r="AB274" s="98"/>
      <c r="AC274" s="98"/>
      <c r="AD274" s="98"/>
      <c r="AE274" s="98"/>
      <c r="AF274" s="98"/>
      <c r="AG274" s="98"/>
      <c r="AH274" s="98"/>
      <c r="AI274" s="98"/>
      <c r="AJ274" s="98"/>
      <c r="AK274" s="98"/>
      <c r="AL274" s="98"/>
      <c r="AM274" s="98"/>
      <c r="AN274" s="98"/>
      <c r="AO274" s="98"/>
      <c r="AP274" s="98"/>
      <c r="AQ274" s="98"/>
      <c r="AR274" s="98"/>
      <c r="AS274" s="98"/>
    </row>
    <row r="275" spans="1:45" s="4" customFormat="1">
      <c r="A275" s="93" t="s">
        <v>919</v>
      </c>
      <c r="B275" s="94">
        <v>680487135725</v>
      </c>
      <c r="C275" s="95" t="s">
        <v>920</v>
      </c>
      <c r="D275">
        <v>0</v>
      </c>
      <c r="E275" s="96"/>
      <c r="F275" s="97"/>
      <c r="G275" s="98"/>
      <c r="H275" s="99" t="s">
        <v>446</v>
      </c>
      <c r="I275" s="107"/>
      <c r="J275" s="101"/>
      <c r="K275" s="102"/>
      <c r="L275" s="102"/>
      <c r="M275" s="102"/>
      <c r="N275" s="98"/>
      <c r="O275" s="98"/>
      <c r="P275" s="98"/>
      <c r="Q275" s="98"/>
      <c r="R275" s="98"/>
      <c r="S275" s="98"/>
      <c r="T275" s="98"/>
      <c r="U275" s="109"/>
      <c r="V275" s="103"/>
      <c r="W275" s="107"/>
      <c r="X275" s="108" t="s">
        <v>1440</v>
      </c>
      <c r="Y275" s="96"/>
      <c r="Z275" s="98"/>
      <c r="AA275" s="98"/>
      <c r="AB275" s="98"/>
      <c r="AC275" s="98"/>
      <c r="AD275" s="98"/>
      <c r="AE275" s="98"/>
      <c r="AF275" s="98"/>
      <c r="AG275" s="98"/>
      <c r="AH275" s="98"/>
      <c r="AI275" s="98"/>
      <c r="AJ275" s="98"/>
      <c r="AK275" s="98"/>
      <c r="AL275" s="98"/>
      <c r="AM275" s="98"/>
      <c r="AN275" s="98"/>
      <c r="AO275" s="98"/>
      <c r="AP275" s="98"/>
      <c r="AQ275" s="98"/>
      <c r="AR275" s="98"/>
      <c r="AS275" s="98"/>
    </row>
    <row r="276" spans="1:45" s="4" customFormat="1">
      <c r="A276" s="93" t="s">
        <v>919</v>
      </c>
      <c r="B276" s="94">
        <v>680487135749</v>
      </c>
      <c r="C276" s="95" t="s">
        <v>920</v>
      </c>
      <c r="D276">
        <v>0</v>
      </c>
      <c r="E276" s="96"/>
      <c r="F276" s="97"/>
      <c r="G276" s="98"/>
      <c r="H276" s="99" t="s">
        <v>447</v>
      </c>
      <c r="I276" s="107"/>
      <c r="J276" s="101"/>
      <c r="K276" s="102"/>
      <c r="L276" s="102"/>
      <c r="M276" s="102"/>
      <c r="N276" s="98"/>
      <c r="O276" s="98"/>
      <c r="P276" s="98"/>
      <c r="Q276" s="98"/>
      <c r="R276" s="98"/>
      <c r="S276" s="98"/>
      <c r="T276" s="98"/>
      <c r="U276" s="109"/>
      <c r="V276" s="103"/>
      <c r="W276" s="107"/>
      <c r="X276" s="108" t="s">
        <v>1440</v>
      </c>
      <c r="Y276" s="96"/>
      <c r="Z276" s="98"/>
      <c r="AA276" s="98"/>
      <c r="AB276" s="98"/>
      <c r="AC276" s="98"/>
      <c r="AD276" s="98"/>
      <c r="AE276" s="98"/>
      <c r="AF276" s="98"/>
      <c r="AG276" s="98"/>
      <c r="AH276" s="98"/>
      <c r="AI276" s="98"/>
      <c r="AJ276" s="98"/>
      <c r="AK276" s="98"/>
      <c r="AL276" s="98"/>
      <c r="AM276" s="98"/>
      <c r="AN276" s="98"/>
      <c r="AO276" s="98"/>
      <c r="AP276" s="98"/>
      <c r="AQ276" s="98"/>
      <c r="AR276" s="98"/>
      <c r="AS276" s="98"/>
    </row>
    <row r="277" spans="1:45" s="4" customFormat="1">
      <c r="A277" s="93" t="s">
        <v>919</v>
      </c>
      <c r="B277" s="94">
        <v>680487135763</v>
      </c>
      <c r="C277" s="95" t="s">
        <v>920</v>
      </c>
      <c r="D277">
        <v>0</v>
      </c>
      <c r="E277" s="96"/>
      <c r="F277" s="97"/>
      <c r="G277" s="98"/>
      <c r="H277" s="99" t="s">
        <v>448</v>
      </c>
      <c r="I277" s="107"/>
      <c r="J277" s="101"/>
      <c r="K277" s="102"/>
      <c r="L277" s="102"/>
      <c r="M277" s="102"/>
      <c r="N277" s="98"/>
      <c r="O277" s="98"/>
      <c r="P277" s="98"/>
      <c r="Q277" s="98"/>
      <c r="R277" s="98"/>
      <c r="S277" s="98"/>
      <c r="T277" s="98"/>
      <c r="U277" s="109"/>
      <c r="V277" s="103"/>
      <c r="W277" s="107"/>
      <c r="X277" s="108" t="s">
        <v>1440</v>
      </c>
      <c r="Y277" s="96"/>
      <c r="Z277" s="98"/>
      <c r="AA277" s="98"/>
      <c r="AB277" s="98"/>
      <c r="AC277" s="98"/>
      <c r="AD277" s="98"/>
      <c r="AE277" s="98"/>
      <c r="AF277" s="98"/>
      <c r="AG277" s="98"/>
      <c r="AH277" s="98"/>
      <c r="AI277" s="98"/>
      <c r="AJ277" s="98"/>
      <c r="AK277" s="98"/>
      <c r="AL277" s="98"/>
      <c r="AM277" s="98"/>
      <c r="AN277" s="98"/>
      <c r="AO277" s="98"/>
      <c r="AP277" s="98"/>
      <c r="AQ277" s="98"/>
      <c r="AR277" s="98"/>
      <c r="AS277" s="98"/>
    </row>
    <row r="278" spans="1:45" s="4" customFormat="1">
      <c r="A278" s="93" t="s">
        <v>919</v>
      </c>
      <c r="B278" s="94">
        <v>680487135787</v>
      </c>
      <c r="C278" s="95" t="s">
        <v>920</v>
      </c>
      <c r="D278">
        <v>0</v>
      </c>
      <c r="E278" s="96"/>
      <c r="F278" s="97"/>
      <c r="G278" s="98"/>
      <c r="H278" s="99" t="s">
        <v>449</v>
      </c>
      <c r="I278" s="107"/>
      <c r="J278" s="101"/>
      <c r="K278" s="102"/>
      <c r="L278" s="102"/>
      <c r="M278" s="102"/>
      <c r="N278" s="98"/>
      <c r="O278" s="98"/>
      <c r="P278" s="98"/>
      <c r="Q278" s="98"/>
      <c r="R278" s="98"/>
      <c r="S278" s="98"/>
      <c r="T278" s="98"/>
      <c r="U278" s="109"/>
      <c r="V278" s="103"/>
      <c r="W278" s="107"/>
      <c r="X278" s="108" t="s">
        <v>1440</v>
      </c>
      <c r="Y278" s="96"/>
      <c r="Z278" s="98"/>
      <c r="AA278" s="98"/>
      <c r="AB278" s="98"/>
      <c r="AC278" s="98"/>
      <c r="AD278" s="98"/>
      <c r="AE278" s="98"/>
      <c r="AF278" s="98"/>
      <c r="AG278" s="98"/>
      <c r="AH278" s="98"/>
      <c r="AI278" s="98"/>
      <c r="AJ278" s="98"/>
      <c r="AK278" s="98"/>
      <c r="AL278" s="98"/>
      <c r="AM278" s="98"/>
      <c r="AN278" s="98"/>
      <c r="AO278" s="98"/>
      <c r="AP278" s="98"/>
      <c r="AQ278" s="98"/>
      <c r="AR278" s="98"/>
      <c r="AS278" s="98"/>
    </row>
    <row r="279" spans="1:45" s="4" customFormat="1">
      <c r="A279" s="93" t="s">
        <v>919</v>
      </c>
      <c r="B279" s="94">
        <v>680487135800</v>
      </c>
      <c r="C279" s="95" t="s">
        <v>920</v>
      </c>
      <c r="D279">
        <v>0</v>
      </c>
      <c r="E279" s="96"/>
      <c r="F279" s="97"/>
      <c r="G279" s="98"/>
      <c r="H279" s="99" t="s">
        <v>450</v>
      </c>
      <c r="I279" s="107"/>
      <c r="J279" s="101"/>
      <c r="K279" s="102"/>
      <c r="L279" s="102"/>
      <c r="M279" s="102"/>
      <c r="N279" s="98"/>
      <c r="O279" s="98"/>
      <c r="P279" s="98"/>
      <c r="Q279" s="98"/>
      <c r="R279" s="98"/>
      <c r="S279" s="98"/>
      <c r="T279" s="98"/>
      <c r="U279" s="109"/>
      <c r="V279" s="103"/>
      <c r="W279" s="107"/>
      <c r="X279" s="108" t="s">
        <v>1440</v>
      </c>
      <c r="Y279" s="96"/>
      <c r="Z279" s="98"/>
      <c r="AA279" s="98"/>
      <c r="AB279" s="98"/>
      <c r="AC279" s="98"/>
      <c r="AD279" s="98"/>
      <c r="AE279" s="98"/>
      <c r="AF279" s="98"/>
      <c r="AG279" s="98"/>
      <c r="AH279" s="98"/>
      <c r="AI279" s="98"/>
      <c r="AJ279" s="98"/>
      <c r="AK279" s="98"/>
      <c r="AL279" s="98"/>
      <c r="AM279" s="98"/>
      <c r="AN279" s="98"/>
      <c r="AO279" s="98"/>
      <c r="AP279" s="98"/>
      <c r="AQ279" s="98"/>
      <c r="AR279" s="98"/>
      <c r="AS279" s="98"/>
    </row>
    <row r="280" spans="1:45" s="4" customFormat="1">
      <c r="A280" s="93" t="s">
        <v>919</v>
      </c>
      <c r="B280" s="94">
        <v>680487135824</v>
      </c>
      <c r="C280" s="95" t="s">
        <v>920</v>
      </c>
      <c r="D280">
        <v>0</v>
      </c>
      <c r="E280" s="96"/>
      <c r="F280" s="97"/>
      <c r="G280" s="98"/>
      <c r="H280" s="99" t="s">
        <v>451</v>
      </c>
      <c r="I280" s="107"/>
      <c r="J280" s="101"/>
      <c r="K280" s="102"/>
      <c r="L280" s="102"/>
      <c r="M280" s="102"/>
      <c r="N280" s="98"/>
      <c r="O280" s="98"/>
      <c r="P280" s="98"/>
      <c r="Q280" s="98"/>
      <c r="R280" s="98"/>
      <c r="S280" s="98"/>
      <c r="T280" s="98"/>
      <c r="U280" s="109"/>
      <c r="V280" s="103"/>
      <c r="W280" s="107"/>
      <c r="X280" s="108" t="s">
        <v>1440</v>
      </c>
      <c r="Y280" s="96"/>
      <c r="Z280" s="98"/>
      <c r="AA280" s="98"/>
      <c r="AB280" s="98"/>
      <c r="AC280" s="98"/>
      <c r="AD280" s="98"/>
      <c r="AE280" s="98"/>
      <c r="AF280" s="98"/>
      <c r="AG280" s="98"/>
      <c r="AH280" s="98"/>
      <c r="AI280" s="98"/>
      <c r="AJ280" s="98"/>
      <c r="AK280" s="98"/>
      <c r="AL280" s="98"/>
      <c r="AM280" s="98"/>
      <c r="AN280" s="98"/>
      <c r="AO280" s="98"/>
      <c r="AP280" s="98"/>
      <c r="AQ280" s="98"/>
      <c r="AR280" s="98"/>
      <c r="AS280" s="98"/>
    </row>
    <row r="281" spans="1:45" s="4" customFormat="1">
      <c r="A281" s="93" t="s">
        <v>919</v>
      </c>
      <c r="B281" s="94">
        <v>680487135848</v>
      </c>
      <c r="C281" s="95" t="s">
        <v>920</v>
      </c>
      <c r="D281">
        <v>0</v>
      </c>
      <c r="E281" s="96"/>
      <c r="F281" s="97"/>
      <c r="G281" s="98"/>
      <c r="H281" s="99" t="s">
        <v>452</v>
      </c>
      <c r="I281" s="107"/>
      <c r="J281" s="101"/>
      <c r="K281" s="102"/>
      <c r="L281" s="102"/>
      <c r="M281" s="102"/>
      <c r="N281" s="98"/>
      <c r="O281" s="98"/>
      <c r="P281" s="98"/>
      <c r="Q281" s="98"/>
      <c r="R281" s="98"/>
      <c r="S281" s="98"/>
      <c r="T281" s="98"/>
      <c r="U281" s="109"/>
      <c r="V281" s="103"/>
      <c r="W281" s="107"/>
      <c r="X281" s="108" t="s">
        <v>1440</v>
      </c>
      <c r="Y281" s="96"/>
      <c r="Z281" s="98"/>
      <c r="AA281" s="98"/>
      <c r="AB281" s="98"/>
      <c r="AC281" s="98"/>
      <c r="AD281" s="98"/>
      <c r="AE281" s="98"/>
      <c r="AF281" s="98"/>
      <c r="AG281" s="98"/>
      <c r="AH281" s="98"/>
      <c r="AI281" s="98"/>
      <c r="AJ281" s="98"/>
      <c r="AK281" s="98"/>
      <c r="AL281" s="98"/>
      <c r="AM281" s="98"/>
      <c r="AN281" s="98"/>
      <c r="AO281" s="98"/>
      <c r="AP281" s="98"/>
      <c r="AQ281" s="98"/>
      <c r="AR281" s="98"/>
      <c r="AS281" s="98"/>
    </row>
    <row r="282" spans="1:45" s="4" customFormat="1">
      <c r="A282" s="93" t="s">
        <v>919</v>
      </c>
      <c r="B282" s="94">
        <v>680487135862</v>
      </c>
      <c r="C282" s="95" t="s">
        <v>920</v>
      </c>
      <c r="D282">
        <v>0</v>
      </c>
      <c r="E282" s="96"/>
      <c r="F282" s="97"/>
      <c r="G282" s="98"/>
      <c r="H282" s="99" t="s">
        <v>453</v>
      </c>
      <c r="I282" s="107"/>
      <c r="J282" s="101"/>
      <c r="K282" s="102"/>
      <c r="L282" s="102"/>
      <c r="M282" s="102"/>
      <c r="N282" s="98"/>
      <c r="O282" s="98"/>
      <c r="P282" s="98"/>
      <c r="Q282" s="98"/>
      <c r="R282" s="98"/>
      <c r="S282" s="98"/>
      <c r="T282" s="98"/>
      <c r="U282" s="109"/>
      <c r="V282" s="103"/>
      <c r="W282" s="107"/>
      <c r="X282" s="108" t="s">
        <v>1440</v>
      </c>
      <c r="Y282" s="96"/>
      <c r="Z282" s="98"/>
      <c r="AA282" s="98"/>
      <c r="AB282" s="98"/>
      <c r="AC282" s="98"/>
      <c r="AD282" s="98"/>
      <c r="AE282" s="98"/>
      <c r="AF282" s="98"/>
      <c r="AG282" s="98"/>
      <c r="AH282" s="98"/>
      <c r="AI282" s="98"/>
      <c r="AJ282" s="98"/>
      <c r="AK282" s="98"/>
      <c r="AL282" s="98"/>
      <c r="AM282" s="98"/>
      <c r="AN282" s="98"/>
      <c r="AO282" s="98"/>
      <c r="AP282" s="98"/>
      <c r="AQ282" s="98"/>
      <c r="AR282" s="98"/>
      <c r="AS282" s="98"/>
    </row>
    <row r="283" spans="1:45" s="4" customFormat="1">
      <c r="A283" s="93" t="s">
        <v>919</v>
      </c>
      <c r="B283" s="94">
        <v>680487135886</v>
      </c>
      <c r="C283" s="95" t="s">
        <v>920</v>
      </c>
      <c r="D283">
        <v>0</v>
      </c>
      <c r="E283" s="96"/>
      <c r="F283" s="97"/>
      <c r="G283" s="98"/>
      <c r="H283" s="99" t="s">
        <v>454</v>
      </c>
      <c r="I283" s="107"/>
      <c r="J283" s="101"/>
      <c r="K283" s="102"/>
      <c r="L283" s="102"/>
      <c r="M283" s="102"/>
      <c r="N283" s="98"/>
      <c r="O283" s="98"/>
      <c r="P283" s="98"/>
      <c r="Q283" s="98"/>
      <c r="R283" s="98"/>
      <c r="S283" s="98"/>
      <c r="T283" s="98"/>
      <c r="U283" s="109"/>
      <c r="V283" s="103"/>
      <c r="W283" s="107"/>
      <c r="X283" s="108" t="s">
        <v>1440</v>
      </c>
      <c r="Y283" s="96"/>
      <c r="Z283" s="98"/>
      <c r="AA283" s="98"/>
      <c r="AB283" s="98"/>
      <c r="AC283" s="98"/>
      <c r="AD283" s="98"/>
      <c r="AE283" s="98"/>
      <c r="AF283" s="98"/>
      <c r="AG283" s="98"/>
      <c r="AH283" s="98"/>
      <c r="AI283" s="98"/>
      <c r="AJ283" s="98"/>
      <c r="AK283" s="98"/>
      <c r="AL283" s="98"/>
      <c r="AM283" s="98"/>
      <c r="AN283" s="98"/>
      <c r="AO283" s="98"/>
      <c r="AP283" s="98"/>
      <c r="AQ283" s="98"/>
      <c r="AR283" s="98"/>
      <c r="AS283" s="98"/>
    </row>
    <row r="284" spans="1:45" s="4" customFormat="1">
      <c r="A284" s="93" t="s">
        <v>919</v>
      </c>
      <c r="B284" s="94">
        <v>680487135909</v>
      </c>
      <c r="C284" s="95" t="s">
        <v>920</v>
      </c>
      <c r="D284">
        <v>0</v>
      </c>
      <c r="E284" s="96"/>
      <c r="F284" s="97"/>
      <c r="G284" s="98"/>
      <c r="H284" s="99" t="s">
        <v>455</v>
      </c>
      <c r="I284" s="107"/>
      <c r="J284" s="101"/>
      <c r="K284" s="102"/>
      <c r="L284" s="102"/>
      <c r="M284" s="102"/>
      <c r="N284" s="98"/>
      <c r="O284" s="98"/>
      <c r="P284" s="98"/>
      <c r="Q284" s="98"/>
      <c r="R284" s="98"/>
      <c r="S284" s="98"/>
      <c r="T284" s="98"/>
      <c r="U284" s="109"/>
      <c r="V284" s="103"/>
      <c r="W284" s="107"/>
      <c r="X284" s="108" t="s">
        <v>1440</v>
      </c>
      <c r="Y284" s="96"/>
      <c r="Z284" s="98"/>
      <c r="AA284" s="98"/>
      <c r="AB284" s="98"/>
      <c r="AC284" s="98"/>
      <c r="AD284" s="98"/>
      <c r="AE284" s="98"/>
      <c r="AF284" s="98"/>
      <c r="AG284" s="98"/>
      <c r="AH284" s="98"/>
      <c r="AI284" s="98"/>
      <c r="AJ284" s="98"/>
      <c r="AK284" s="98"/>
      <c r="AL284" s="98"/>
      <c r="AM284" s="98"/>
      <c r="AN284" s="98"/>
      <c r="AO284" s="98"/>
      <c r="AP284" s="98"/>
      <c r="AQ284" s="98"/>
      <c r="AR284" s="98"/>
      <c r="AS284" s="98"/>
    </row>
    <row r="285" spans="1:45" s="4" customFormat="1">
      <c r="A285" s="93" t="s">
        <v>919</v>
      </c>
      <c r="B285" s="94">
        <v>680487057911</v>
      </c>
      <c r="C285" s="95" t="s">
        <v>920</v>
      </c>
      <c r="D285">
        <v>0</v>
      </c>
      <c r="E285" s="96"/>
      <c r="F285" s="97"/>
      <c r="G285" s="98"/>
      <c r="H285" s="99" t="s">
        <v>456</v>
      </c>
      <c r="I285" s="107"/>
      <c r="J285" s="101"/>
      <c r="K285" s="102"/>
      <c r="L285" s="102"/>
      <c r="M285" s="102"/>
      <c r="N285" s="98"/>
      <c r="O285" s="98"/>
      <c r="P285" s="98"/>
      <c r="Q285" s="98"/>
      <c r="R285" s="98"/>
      <c r="S285" s="98"/>
      <c r="T285" s="98"/>
      <c r="U285" s="109"/>
      <c r="V285" s="103"/>
      <c r="W285" s="107"/>
      <c r="X285" s="108" t="s">
        <v>1440</v>
      </c>
      <c r="Y285" s="96"/>
      <c r="Z285" s="98"/>
      <c r="AA285" s="98"/>
      <c r="AB285" s="98"/>
      <c r="AC285" s="98"/>
      <c r="AD285" s="98"/>
      <c r="AE285" s="98"/>
      <c r="AF285" s="98"/>
      <c r="AG285" s="98"/>
      <c r="AH285" s="98"/>
      <c r="AI285" s="98"/>
      <c r="AJ285" s="98"/>
      <c r="AK285" s="98"/>
      <c r="AL285" s="98"/>
      <c r="AM285" s="98"/>
      <c r="AN285" s="98"/>
      <c r="AO285" s="98"/>
      <c r="AP285" s="98"/>
      <c r="AQ285" s="98"/>
      <c r="AR285" s="98"/>
      <c r="AS285" s="98"/>
    </row>
    <row r="286" spans="1:45" s="4" customFormat="1">
      <c r="A286" s="93" t="s">
        <v>919</v>
      </c>
      <c r="B286" s="94">
        <v>680487057959</v>
      </c>
      <c r="C286" s="95" t="s">
        <v>920</v>
      </c>
      <c r="D286">
        <v>0</v>
      </c>
      <c r="E286" s="96"/>
      <c r="F286" s="97"/>
      <c r="G286" s="98"/>
      <c r="H286" s="99" t="s">
        <v>457</v>
      </c>
      <c r="I286" s="107"/>
      <c r="J286" s="101"/>
      <c r="K286" s="102"/>
      <c r="L286" s="102"/>
      <c r="M286" s="102"/>
      <c r="N286" s="98"/>
      <c r="O286" s="98"/>
      <c r="P286" s="98"/>
      <c r="Q286" s="98"/>
      <c r="R286" s="98"/>
      <c r="S286" s="98"/>
      <c r="T286" s="98"/>
      <c r="U286" s="109"/>
      <c r="V286" s="103"/>
      <c r="W286" s="107"/>
      <c r="X286" s="108" t="s">
        <v>1440</v>
      </c>
      <c r="Y286" s="96"/>
      <c r="Z286" s="98"/>
      <c r="AA286" s="98"/>
      <c r="AB286" s="98"/>
      <c r="AC286" s="98"/>
      <c r="AD286" s="98"/>
      <c r="AE286" s="98"/>
      <c r="AF286" s="98"/>
      <c r="AG286" s="98"/>
      <c r="AH286" s="98"/>
      <c r="AI286" s="98"/>
      <c r="AJ286" s="98"/>
      <c r="AK286" s="98"/>
      <c r="AL286" s="98"/>
      <c r="AM286" s="98"/>
      <c r="AN286" s="98"/>
      <c r="AO286" s="98"/>
      <c r="AP286" s="98"/>
      <c r="AQ286" s="98"/>
      <c r="AR286" s="98"/>
      <c r="AS286" s="98"/>
    </row>
    <row r="287" spans="1:45" s="4" customFormat="1">
      <c r="A287" s="93" t="s">
        <v>919</v>
      </c>
      <c r="B287" s="94">
        <v>680487058017</v>
      </c>
      <c r="C287" s="95" t="s">
        <v>920</v>
      </c>
      <c r="D287">
        <v>0</v>
      </c>
      <c r="E287" s="96"/>
      <c r="F287" s="97"/>
      <c r="G287" s="98"/>
      <c r="H287" s="99" t="s">
        <v>630</v>
      </c>
      <c r="I287" s="107"/>
      <c r="J287" s="101"/>
      <c r="K287" s="102"/>
      <c r="L287" s="102"/>
      <c r="M287" s="102"/>
      <c r="N287" s="98"/>
      <c r="O287" s="98"/>
      <c r="P287" s="98"/>
      <c r="Q287" s="98"/>
      <c r="R287" s="98"/>
      <c r="S287" s="98"/>
      <c r="T287" s="98"/>
      <c r="U287" s="109"/>
      <c r="V287" s="103"/>
      <c r="W287" s="107"/>
      <c r="X287" s="108" t="s">
        <v>1440</v>
      </c>
      <c r="Y287" s="96"/>
      <c r="Z287" s="98"/>
      <c r="AA287" s="98"/>
      <c r="AB287" s="98"/>
      <c r="AC287" s="98"/>
      <c r="AD287" s="98"/>
      <c r="AE287" s="98"/>
      <c r="AF287" s="98"/>
      <c r="AG287" s="98"/>
      <c r="AH287" s="98"/>
      <c r="AI287" s="98"/>
      <c r="AJ287" s="98"/>
      <c r="AK287" s="98"/>
      <c r="AL287" s="98"/>
      <c r="AM287" s="98"/>
      <c r="AN287" s="98"/>
      <c r="AO287" s="98"/>
      <c r="AP287" s="98"/>
      <c r="AQ287" s="98"/>
      <c r="AR287" s="98"/>
      <c r="AS287" s="98"/>
    </row>
    <row r="288" spans="1:45" s="4" customFormat="1">
      <c r="A288" s="93" t="s">
        <v>919</v>
      </c>
      <c r="B288" s="94">
        <v>680487057928</v>
      </c>
      <c r="C288" s="95" t="s">
        <v>920</v>
      </c>
      <c r="D288">
        <v>0</v>
      </c>
      <c r="E288" s="96"/>
      <c r="F288" s="97"/>
      <c r="G288" s="98"/>
      <c r="H288" s="99" t="s">
        <v>627</v>
      </c>
      <c r="I288" s="107"/>
      <c r="J288" s="101"/>
      <c r="K288" s="102"/>
      <c r="L288" s="102"/>
      <c r="M288" s="102"/>
      <c r="N288" s="98"/>
      <c r="O288" s="98"/>
      <c r="P288" s="98"/>
      <c r="Q288" s="98"/>
      <c r="R288" s="98"/>
      <c r="S288" s="98"/>
      <c r="T288" s="98"/>
      <c r="U288" s="109"/>
      <c r="V288" s="103"/>
      <c r="W288" s="107"/>
      <c r="X288" s="108" t="s">
        <v>1440</v>
      </c>
      <c r="Y288" s="96"/>
      <c r="Z288" s="98"/>
      <c r="AA288" s="98"/>
      <c r="AB288" s="98"/>
      <c r="AC288" s="98"/>
      <c r="AD288" s="98"/>
      <c r="AE288" s="98"/>
      <c r="AF288" s="98"/>
      <c r="AG288" s="98"/>
      <c r="AH288" s="98"/>
      <c r="AI288" s="98"/>
      <c r="AJ288" s="98"/>
      <c r="AK288" s="98"/>
      <c r="AL288" s="98"/>
      <c r="AM288" s="98"/>
      <c r="AN288" s="98"/>
      <c r="AO288" s="98"/>
      <c r="AP288" s="98"/>
      <c r="AQ288" s="98"/>
      <c r="AR288" s="98"/>
      <c r="AS288" s="98"/>
    </row>
    <row r="289" spans="1:45" s="4" customFormat="1">
      <c r="A289" s="93" t="s">
        <v>919</v>
      </c>
      <c r="B289" s="94">
        <v>680487057966</v>
      </c>
      <c r="C289" s="95" t="s">
        <v>920</v>
      </c>
      <c r="D289">
        <v>0</v>
      </c>
      <c r="E289" s="96"/>
      <c r="F289" s="97"/>
      <c r="G289" s="98"/>
      <c r="H289" s="99" t="s">
        <v>467</v>
      </c>
      <c r="I289" s="107"/>
      <c r="J289" s="101"/>
      <c r="K289" s="102"/>
      <c r="L289" s="102"/>
      <c r="M289" s="102"/>
      <c r="N289" s="98"/>
      <c r="O289" s="98"/>
      <c r="P289" s="98"/>
      <c r="Q289" s="98"/>
      <c r="R289" s="98"/>
      <c r="S289" s="98"/>
      <c r="T289" s="98"/>
      <c r="U289" s="109"/>
      <c r="V289" s="103"/>
      <c r="W289" s="107"/>
      <c r="X289" s="108" t="s">
        <v>1440</v>
      </c>
      <c r="Y289" s="96"/>
      <c r="Z289" s="98"/>
      <c r="AA289" s="98"/>
      <c r="AB289" s="98"/>
      <c r="AC289" s="98"/>
      <c r="AD289" s="98"/>
      <c r="AE289" s="98"/>
      <c r="AF289" s="98"/>
      <c r="AG289" s="98"/>
      <c r="AH289" s="98"/>
      <c r="AI289" s="98"/>
      <c r="AJ289" s="98"/>
      <c r="AK289" s="98"/>
      <c r="AL289" s="98"/>
      <c r="AM289" s="98"/>
      <c r="AN289" s="98"/>
      <c r="AO289" s="98"/>
      <c r="AP289" s="98"/>
      <c r="AQ289" s="98"/>
      <c r="AR289" s="98"/>
      <c r="AS289" s="98"/>
    </row>
    <row r="290" spans="1:45" s="4" customFormat="1">
      <c r="A290" s="111" t="s">
        <v>919</v>
      </c>
      <c r="B290" s="94">
        <v>680487058024</v>
      </c>
      <c r="C290" s="98" t="s">
        <v>920</v>
      </c>
      <c r="D290">
        <v>0</v>
      </c>
      <c r="E290" s="96"/>
      <c r="F290" s="97"/>
      <c r="G290" s="98"/>
      <c r="H290" s="99" t="s">
        <v>538</v>
      </c>
      <c r="I290" s="107"/>
      <c r="J290" s="101"/>
      <c r="K290" s="102"/>
      <c r="L290" s="102"/>
      <c r="M290" s="102"/>
      <c r="N290" s="98"/>
      <c r="O290" s="98"/>
      <c r="P290" s="98"/>
      <c r="Q290" s="98"/>
      <c r="R290" s="98"/>
      <c r="S290" s="98"/>
      <c r="T290" s="98"/>
      <c r="U290" s="109"/>
      <c r="V290" s="103"/>
      <c r="W290" s="107"/>
      <c r="X290" s="109" t="s">
        <v>1440</v>
      </c>
      <c r="Y290" s="96"/>
      <c r="Z290" s="98"/>
      <c r="AA290" s="98"/>
      <c r="AB290" s="98"/>
      <c r="AC290" s="98"/>
      <c r="AD290" s="98"/>
      <c r="AE290" s="98"/>
      <c r="AF290" s="98"/>
      <c r="AG290" s="98"/>
      <c r="AH290" s="98"/>
      <c r="AI290" s="98"/>
      <c r="AJ290" s="98"/>
      <c r="AK290" s="98"/>
      <c r="AL290" s="98"/>
      <c r="AM290" s="98"/>
      <c r="AN290" s="98"/>
      <c r="AO290" s="98"/>
      <c r="AP290" s="98"/>
      <c r="AQ290" s="98"/>
      <c r="AR290" s="98"/>
      <c r="AS290" s="98"/>
    </row>
    <row r="291" spans="1:45" s="4" customFormat="1">
      <c r="A291" s="111" t="s">
        <v>919</v>
      </c>
      <c r="B291" s="94">
        <v>680487058055</v>
      </c>
      <c r="C291" s="98" t="s">
        <v>920</v>
      </c>
      <c r="D291">
        <v>0</v>
      </c>
      <c r="E291" s="96"/>
      <c r="F291" s="97"/>
      <c r="G291" s="98"/>
      <c r="H291" s="99" t="s">
        <v>631</v>
      </c>
      <c r="I291" s="98"/>
      <c r="J291" s="101"/>
      <c r="K291" s="102"/>
      <c r="L291" s="102"/>
      <c r="M291" s="102"/>
      <c r="N291" s="98"/>
      <c r="O291" s="98"/>
      <c r="P291" s="98"/>
      <c r="Q291" s="98"/>
      <c r="R291" s="98"/>
      <c r="S291" s="98"/>
      <c r="T291" s="98"/>
      <c r="U291" s="109"/>
      <c r="V291" s="103"/>
      <c r="W291" s="96"/>
      <c r="X291" s="109" t="s">
        <v>1440</v>
      </c>
      <c r="Y291" s="96"/>
      <c r="Z291" s="98"/>
      <c r="AA291" s="98"/>
      <c r="AB291" s="98"/>
      <c r="AC291" s="98"/>
      <c r="AD291" s="98"/>
      <c r="AE291" s="98"/>
      <c r="AF291" s="98"/>
      <c r="AG291" s="98"/>
      <c r="AH291" s="98"/>
      <c r="AI291" s="98"/>
      <c r="AJ291" s="98"/>
      <c r="AK291" s="98"/>
      <c r="AL291" s="98"/>
      <c r="AM291" s="98"/>
      <c r="AN291" s="98"/>
      <c r="AO291" s="98"/>
      <c r="AP291" s="98"/>
      <c r="AQ291" s="98"/>
      <c r="AR291" s="98"/>
      <c r="AS291" s="98"/>
    </row>
    <row r="292" spans="1:45" s="4" customFormat="1">
      <c r="A292" s="111" t="s">
        <v>919</v>
      </c>
      <c r="B292" s="94">
        <v>680487058062</v>
      </c>
      <c r="C292" s="98" t="s">
        <v>920</v>
      </c>
      <c r="D292">
        <v>0</v>
      </c>
      <c r="E292" s="96"/>
      <c r="F292" s="97"/>
      <c r="G292" s="98"/>
      <c r="H292" s="99" t="s">
        <v>632</v>
      </c>
      <c r="I292" s="98"/>
      <c r="J292" s="101"/>
      <c r="K292" s="102"/>
      <c r="L292" s="102"/>
      <c r="M292" s="102"/>
      <c r="N292" s="98"/>
      <c r="O292" s="98"/>
      <c r="P292" s="98"/>
      <c r="Q292" s="98"/>
      <c r="R292" s="98"/>
      <c r="S292" s="98"/>
      <c r="T292" s="98"/>
      <c r="U292" s="109"/>
      <c r="V292" s="103"/>
      <c r="W292" s="96"/>
      <c r="X292" s="109" t="s">
        <v>1440</v>
      </c>
      <c r="Y292" s="96"/>
      <c r="Z292" s="98"/>
      <c r="AA292" s="98"/>
      <c r="AB292" s="98"/>
      <c r="AC292" s="98"/>
      <c r="AD292" s="98"/>
      <c r="AE292" s="98"/>
      <c r="AF292" s="98"/>
      <c r="AG292" s="98"/>
      <c r="AH292" s="98"/>
      <c r="AI292" s="98"/>
      <c r="AJ292" s="98"/>
      <c r="AK292" s="98"/>
      <c r="AL292" s="98"/>
      <c r="AM292" s="98"/>
      <c r="AN292" s="98"/>
      <c r="AO292" s="98"/>
      <c r="AP292" s="98"/>
      <c r="AQ292" s="98"/>
      <c r="AR292" s="98"/>
      <c r="AS292" s="98"/>
    </row>
    <row r="293" spans="1:45" s="4" customFormat="1">
      <c r="A293" s="111" t="s">
        <v>919</v>
      </c>
      <c r="B293" s="94">
        <v>680487058093</v>
      </c>
      <c r="C293" s="98" t="s">
        <v>920</v>
      </c>
      <c r="D293">
        <v>0</v>
      </c>
      <c r="E293" s="96"/>
      <c r="F293" s="97"/>
      <c r="G293" s="98"/>
      <c r="H293" s="99" t="s">
        <v>633</v>
      </c>
      <c r="I293" s="98"/>
      <c r="J293" s="101"/>
      <c r="K293" s="102"/>
      <c r="L293" s="102"/>
      <c r="M293" s="102"/>
      <c r="N293" s="98"/>
      <c r="O293" s="98"/>
      <c r="P293" s="98"/>
      <c r="Q293" s="98"/>
      <c r="R293" s="98"/>
      <c r="S293" s="98"/>
      <c r="T293" s="98"/>
      <c r="U293" s="109"/>
      <c r="V293" s="103"/>
      <c r="W293" s="96"/>
      <c r="X293" s="109" t="s">
        <v>1440</v>
      </c>
      <c r="Y293" s="96"/>
      <c r="Z293" s="98"/>
      <c r="AA293" s="98"/>
      <c r="AB293" s="98"/>
      <c r="AC293" s="98"/>
      <c r="AD293" s="98"/>
      <c r="AE293" s="98"/>
      <c r="AF293" s="98"/>
      <c r="AG293" s="98"/>
      <c r="AH293" s="98"/>
      <c r="AI293" s="98"/>
      <c r="AJ293" s="98"/>
      <c r="AK293" s="98"/>
      <c r="AL293" s="98"/>
      <c r="AM293" s="98"/>
      <c r="AN293" s="98"/>
      <c r="AO293" s="98"/>
      <c r="AP293" s="98"/>
      <c r="AQ293" s="98"/>
      <c r="AR293" s="98"/>
      <c r="AS293" s="98"/>
    </row>
    <row r="294" spans="1:45" s="4" customFormat="1">
      <c r="A294" s="111" t="s">
        <v>919</v>
      </c>
      <c r="B294" s="94">
        <v>680487058109</v>
      </c>
      <c r="C294" s="98" t="s">
        <v>920</v>
      </c>
      <c r="D294">
        <v>0</v>
      </c>
      <c r="E294" s="96"/>
      <c r="F294" s="97"/>
      <c r="G294" s="98"/>
      <c r="H294" s="99" t="s">
        <v>468</v>
      </c>
      <c r="I294" s="98"/>
      <c r="J294" s="101"/>
      <c r="K294" s="102"/>
      <c r="L294" s="102"/>
      <c r="M294" s="102"/>
      <c r="N294" s="98"/>
      <c r="O294" s="98"/>
      <c r="P294" s="98"/>
      <c r="Q294" s="98"/>
      <c r="R294" s="98"/>
      <c r="S294" s="98"/>
      <c r="T294" s="98"/>
      <c r="U294" s="109"/>
      <c r="V294" s="103"/>
      <c r="W294" s="96"/>
      <c r="X294" s="109" t="s">
        <v>1440</v>
      </c>
      <c r="Y294" s="96"/>
      <c r="Z294" s="98"/>
      <c r="AA294" s="98"/>
      <c r="AB294" s="98"/>
      <c r="AC294" s="98"/>
      <c r="AD294" s="98"/>
      <c r="AE294" s="98"/>
      <c r="AF294" s="98"/>
      <c r="AG294" s="98"/>
      <c r="AH294" s="98"/>
      <c r="AI294" s="98"/>
      <c r="AJ294" s="98"/>
      <c r="AK294" s="98"/>
      <c r="AL294" s="98"/>
      <c r="AM294" s="98"/>
      <c r="AN294" s="98"/>
      <c r="AO294" s="98"/>
      <c r="AP294" s="98"/>
      <c r="AQ294" s="98"/>
      <c r="AR294" s="98"/>
      <c r="AS294" s="98"/>
    </row>
    <row r="295" spans="1:45" s="4" customFormat="1">
      <c r="A295" s="111" t="s">
        <v>919</v>
      </c>
      <c r="B295" s="94">
        <v>680487058130</v>
      </c>
      <c r="C295" s="98" t="s">
        <v>920</v>
      </c>
      <c r="D295">
        <v>0</v>
      </c>
      <c r="E295" s="96"/>
      <c r="F295" s="97"/>
      <c r="G295" s="98"/>
      <c r="H295" s="99" t="s">
        <v>458</v>
      </c>
      <c r="I295" s="98"/>
      <c r="J295" s="101"/>
      <c r="K295" s="102"/>
      <c r="L295" s="102"/>
      <c r="M295" s="102"/>
      <c r="N295" s="98"/>
      <c r="O295" s="98"/>
      <c r="P295" s="98"/>
      <c r="Q295" s="98"/>
      <c r="R295" s="98"/>
      <c r="S295" s="98"/>
      <c r="T295" s="98"/>
      <c r="U295" s="109"/>
      <c r="V295" s="103"/>
      <c r="W295" s="96"/>
      <c r="X295" s="109" t="s">
        <v>1440</v>
      </c>
      <c r="Y295" s="96"/>
      <c r="Z295" s="98"/>
      <c r="AA295" s="98"/>
      <c r="AB295" s="98"/>
      <c r="AC295" s="98"/>
      <c r="AD295" s="98"/>
      <c r="AE295" s="98"/>
      <c r="AF295" s="98"/>
      <c r="AG295" s="98"/>
      <c r="AH295" s="98"/>
      <c r="AI295" s="98"/>
      <c r="AJ295" s="98"/>
      <c r="AK295" s="98"/>
      <c r="AL295" s="98"/>
      <c r="AM295" s="98"/>
      <c r="AN295" s="98"/>
      <c r="AO295" s="98"/>
      <c r="AP295" s="98"/>
      <c r="AQ295" s="98"/>
      <c r="AR295" s="98"/>
      <c r="AS295" s="98"/>
    </row>
    <row r="296" spans="1:45" s="4" customFormat="1">
      <c r="A296" s="111" t="s">
        <v>919</v>
      </c>
      <c r="B296" s="94">
        <v>680487058147</v>
      </c>
      <c r="C296" s="98" t="s">
        <v>920</v>
      </c>
      <c r="D296">
        <v>0</v>
      </c>
      <c r="E296" s="96"/>
      <c r="F296" s="97"/>
      <c r="G296" s="98"/>
      <c r="H296" s="99" t="s">
        <v>469</v>
      </c>
      <c r="I296" s="98"/>
      <c r="J296" s="101"/>
      <c r="K296" s="102"/>
      <c r="L296" s="102"/>
      <c r="M296" s="102"/>
      <c r="N296" s="98"/>
      <c r="O296" s="98"/>
      <c r="P296" s="98"/>
      <c r="Q296" s="98"/>
      <c r="R296" s="98"/>
      <c r="S296" s="98"/>
      <c r="T296" s="98"/>
      <c r="U296" s="109"/>
      <c r="V296" s="103"/>
      <c r="W296" s="96"/>
      <c r="X296" s="109" t="s">
        <v>1440</v>
      </c>
      <c r="Y296" s="96"/>
      <c r="Z296" s="98"/>
      <c r="AA296" s="98"/>
      <c r="AB296" s="98"/>
      <c r="AC296" s="98"/>
      <c r="AD296" s="98"/>
      <c r="AE296" s="98"/>
      <c r="AF296" s="98"/>
      <c r="AG296" s="98"/>
      <c r="AH296" s="98"/>
      <c r="AI296" s="98"/>
      <c r="AJ296" s="98"/>
      <c r="AK296" s="98"/>
      <c r="AL296" s="98"/>
      <c r="AM296" s="98"/>
      <c r="AN296" s="98"/>
      <c r="AO296" s="98"/>
      <c r="AP296" s="98"/>
      <c r="AQ296" s="98"/>
      <c r="AR296" s="98"/>
      <c r="AS296" s="98"/>
    </row>
    <row r="297" spans="1:45" s="4" customFormat="1">
      <c r="A297" s="111" t="s">
        <v>919</v>
      </c>
      <c r="B297" s="94">
        <v>680487058178</v>
      </c>
      <c r="C297" s="98" t="s">
        <v>920</v>
      </c>
      <c r="D297">
        <v>0</v>
      </c>
      <c r="E297" s="96"/>
      <c r="F297" s="97"/>
      <c r="G297" s="98"/>
      <c r="H297" s="99" t="s">
        <v>634</v>
      </c>
      <c r="I297" s="98"/>
      <c r="J297" s="101"/>
      <c r="K297" s="102"/>
      <c r="L297" s="102"/>
      <c r="M297" s="102"/>
      <c r="N297" s="98"/>
      <c r="O297" s="98"/>
      <c r="P297" s="98"/>
      <c r="Q297" s="98"/>
      <c r="R297" s="98"/>
      <c r="S297" s="98"/>
      <c r="T297" s="98"/>
      <c r="U297" s="109"/>
      <c r="V297" s="103"/>
      <c r="W297" s="96"/>
      <c r="X297" s="109" t="s">
        <v>1440</v>
      </c>
      <c r="Y297" s="96"/>
      <c r="Z297" s="98"/>
      <c r="AA297" s="98"/>
      <c r="AB297" s="98"/>
      <c r="AC297" s="98"/>
      <c r="AD297" s="98"/>
      <c r="AE297" s="98"/>
      <c r="AF297" s="98"/>
      <c r="AG297" s="98"/>
      <c r="AH297" s="98"/>
      <c r="AI297" s="98"/>
      <c r="AJ297" s="98"/>
      <c r="AK297" s="98"/>
      <c r="AL297" s="98"/>
      <c r="AM297" s="98"/>
      <c r="AN297" s="98"/>
      <c r="AO297" s="98"/>
      <c r="AP297" s="98"/>
      <c r="AQ297" s="98"/>
      <c r="AR297" s="98"/>
      <c r="AS297" s="98"/>
    </row>
    <row r="298" spans="1:45" s="4" customFormat="1">
      <c r="A298" s="111" t="s">
        <v>919</v>
      </c>
      <c r="B298" s="94">
        <v>680487058185</v>
      </c>
      <c r="C298" s="98" t="s">
        <v>920</v>
      </c>
      <c r="D298">
        <v>0</v>
      </c>
      <c r="E298" s="96"/>
      <c r="F298" s="97"/>
      <c r="G298" s="98"/>
      <c r="H298" s="99" t="s">
        <v>539</v>
      </c>
      <c r="I298" s="98"/>
      <c r="J298" s="101"/>
      <c r="K298" s="102"/>
      <c r="L298" s="102"/>
      <c r="M298" s="102"/>
      <c r="N298" s="98"/>
      <c r="O298" s="98"/>
      <c r="P298" s="98"/>
      <c r="Q298" s="98"/>
      <c r="R298" s="98"/>
      <c r="S298" s="98"/>
      <c r="T298" s="98"/>
      <c r="U298" s="109"/>
      <c r="V298" s="103"/>
      <c r="W298" s="96"/>
      <c r="X298" s="109" t="s">
        <v>1440</v>
      </c>
      <c r="Y298" s="96"/>
      <c r="Z298" s="98"/>
      <c r="AA298" s="98"/>
      <c r="AB298" s="98"/>
      <c r="AC298" s="98"/>
      <c r="AD298" s="98"/>
      <c r="AE298" s="98"/>
      <c r="AF298" s="98"/>
      <c r="AG298" s="98"/>
      <c r="AH298" s="98"/>
      <c r="AI298" s="98"/>
      <c r="AJ298" s="98"/>
      <c r="AK298" s="98"/>
      <c r="AL298" s="98"/>
      <c r="AM298" s="98"/>
      <c r="AN298" s="98"/>
      <c r="AO298" s="98"/>
      <c r="AP298" s="98"/>
      <c r="AQ298" s="98"/>
      <c r="AR298" s="98"/>
      <c r="AS298" s="98"/>
    </row>
    <row r="299" spans="1:45" s="4" customFormat="1">
      <c r="A299" s="111" t="s">
        <v>919</v>
      </c>
      <c r="B299" s="94">
        <v>680487058154</v>
      </c>
      <c r="C299" s="98" t="s">
        <v>920</v>
      </c>
      <c r="D299">
        <v>0</v>
      </c>
      <c r="E299" s="96"/>
      <c r="F299" s="97"/>
      <c r="G299" s="98"/>
      <c r="H299" s="99" t="s">
        <v>459</v>
      </c>
      <c r="I299" s="98"/>
      <c r="J299" s="101"/>
      <c r="K299" s="102"/>
      <c r="L299" s="102"/>
      <c r="M299" s="102"/>
      <c r="N299" s="98"/>
      <c r="O299" s="98"/>
      <c r="P299" s="98"/>
      <c r="Q299" s="98"/>
      <c r="R299" s="98"/>
      <c r="S299" s="98"/>
      <c r="T299" s="98"/>
      <c r="U299" s="109"/>
      <c r="V299" s="103"/>
      <c r="W299" s="96"/>
      <c r="X299" s="109" t="s">
        <v>1440</v>
      </c>
      <c r="Y299" s="96"/>
      <c r="Z299" s="98"/>
      <c r="AA299" s="98"/>
      <c r="AB299" s="98"/>
      <c r="AC299" s="98"/>
      <c r="AD299" s="98"/>
      <c r="AE299" s="98"/>
      <c r="AF299" s="98"/>
      <c r="AG299" s="98"/>
      <c r="AH299" s="98"/>
      <c r="AI299" s="98"/>
      <c r="AJ299" s="98"/>
      <c r="AK299" s="98"/>
      <c r="AL299" s="98"/>
      <c r="AM299" s="98"/>
      <c r="AN299" s="98"/>
      <c r="AO299" s="98"/>
      <c r="AP299" s="98"/>
      <c r="AQ299" s="98"/>
      <c r="AR299" s="98"/>
      <c r="AS299" s="98"/>
    </row>
    <row r="300" spans="1:45" s="4" customFormat="1">
      <c r="A300" s="111" t="s">
        <v>919</v>
      </c>
      <c r="B300" s="94">
        <v>680487058161</v>
      </c>
      <c r="C300" s="98" t="s">
        <v>920</v>
      </c>
      <c r="D300">
        <v>0</v>
      </c>
      <c r="E300" s="96"/>
      <c r="F300" s="97"/>
      <c r="G300" s="98"/>
      <c r="H300" s="99" t="s">
        <v>470</v>
      </c>
      <c r="I300" s="98"/>
      <c r="J300" s="101"/>
      <c r="K300" s="102"/>
      <c r="L300" s="102"/>
      <c r="M300" s="102"/>
      <c r="N300" s="98"/>
      <c r="O300" s="98"/>
      <c r="P300" s="98"/>
      <c r="Q300" s="98"/>
      <c r="R300" s="98"/>
      <c r="S300" s="98"/>
      <c r="T300" s="98"/>
      <c r="U300" s="109"/>
      <c r="V300" s="103"/>
      <c r="W300" s="96"/>
      <c r="X300" s="109" t="s">
        <v>1440</v>
      </c>
      <c r="Y300" s="96"/>
      <c r="Z300" s="98"/>
      <c r="AA300" s="98"/>
      <c r="AB300" s="98"/>
      <c r="AC300" s="98"/>
      <c r="AD300" s="98"/>
      <c r="AE300" s="98"/>
      <c r="AF300" s="98"/>
      <c r="AG300" s="98"/>
      <c r="AH300" s="98"/>
      <c r="AI300" s="98"/>
      <c r="AJ300" s="98"/>
      <c r="AK300" s="98"/>
      <c r="AL300" s="98"/>
      <c r="AM300" s="98"/>
      <c r="AN300" s="98"/>
      <c r="AO300" s="98"/>
      <c r="AP300" s="98"/>
      <c r="AQ300" s="98"/>
      <c r="AR300" s="98"/>
      <c r="AS300" s="98"/>
    </row>
    <row r="301" spans="1:45" s="4" customFormat="1">
      <c r="A301" s="111" t="s">
        <v>919</v>
      </c>
      <c r="B301" s="94">
        <v>680487058239</v>
      </c>
      <c r="C301" s="98" t="s">
        <v>920</v>
      </c>
      <c r="D301">
        <v>0</v>
      </c>
      <c r="E301" s="96"/>
      <c r="F301" s="97"/>
      <c r="G301" s="98"/>
      <c r="H301" s="99" t="s">
        <v>460</v>
      </c>
      <c r="I301" s="98"/>
      <c r="J301" s="101"/>
      <c r="K301" s="102"/>
      <c r="L301" s="102"/>
      <c r="M301" s="102"/>
      <c r="N301" s="98"/>
      <c r="O301" s="98"/>
      <c r="P301" s="98"/>
      <c r="Q301" s="98"/>
      <c r="R301" s="98"/>
      <c r="S301" s="98"/>
      <c r="T301" s="98"/>
      <c r="U301" s="109"/>
      <c r="V301" s="103"/>
      <c r="W301" s="96"/>
      <c r="X301" s="109" t="s">
        <v>1440</v>
      </c>
      <c r="Y301" s="96"/>
      <c r="Z301" s="98"/>
      <c r="AA301" s="98"/>
      <c r="AB301" s="98"/>
      <c r="AC301" s="98"/>
      <c r="AD301" s="98"/>
      <c r="AE301" s="98"/>
      <c r="AF301" s="98"/>
      <c r="AG301" s="98"/>
      <c r="AH301" s="98"/>
      <c r="AI301" s="98"/>
      <c r="AJ301" s="98"/>
      <c r="AK301" s="98"/>
      <c r="AL301" s="98"/>
      <c r="AM301" s="98"/>
      <c r="AN301" s="98"/>
      <c r="AO301" s="98"/>
      <c r="AP301" s="98"/>
      <c r="AQ301" s="98"/>
      <c r="AR301" s="98"/>
      <c r="AS301" s="98"/>
    </row>
    <row r="302" spans="1:45" s="4" customFormat="1">
      <c r="A302" s="111" t="s">
        <v>919</v>
      </c>
      <c r="B302" s="94">
        <v>680487058246</v>
      </c>
      <c r="C302" s="98" t="s">
        <v>920</v>
      </c>
      <c r="D302">
        <v>0</v>
      </c>
      <c r="E302" s="96"/>
      <c r="F302" s="97"/>
      <c r="G302" s="98"/>
      <c r="H302" s="99" t="s">
        <v>471</v>
      </c>
      <c r="I302" s="98"/>
      <c r="J302" s="101"/>
      <c r="K302" s="102"/>
      <c r="L302" s="102"/>
      <c r="M302" s="102"/>
      <c r="N302" s="98"/>
      <c r="O302" s="98"/>
      <c r="P302" s="98"/>
      <c r="Q302" s="98"/>
      <c r="R302" s="98"/>
      <c r="S302" s="98"/>
      <c r="T302" s="98"/>
      <c r="U302" s="109"/>
      <c r="V302" s="103"/>
      <c r="W302" s="96"/>
      <c r="X302" s="109" t="s">
        <v>1440</v>
      </c>
      <c r="Y302" s="96"/>
      <c r="Z302" s="98"/>
      <c r="AA302" s="98"/>
      <c r="AB302" s="98"/>
      <c r="AC302" s="98"/>
      <c r="AD302" s="98"/>
      <c r="AE302" s="98"/>
      <c r="AF302" s="98"/>
      <c r="AG302" s="98"/>
      <c r="AH302" s="98"/>
      <c r="AI302" s="98"/>
      <c r="AJ302" s="98"/>
      <c r="AK302" s="98"/>
      <c r="AL302" s="98"/>
      <c r="AM302" s="98"/>
      <c r="AN302" s="98"/>
      <c r="AO302" s="98"/>
      <c r="AP302" s="98"/>
      <c r="AQ302" s="98"/>
      <c r="AR302" s="98"/>
      <c r="AS302" s="98"/>
    </row>
    <row r="303" spans="1:45" s="4" customFormat="1">
      <c r="A303" s="111" t="s">
        <v>919</v>
      </c>
      <c r="B303" s="94">
        <v>680487058277</v>
      </c>
      <c r="C303" s="98" t="s">
        <v>920</v>
      </c>
      <c r="D303">
        <v>0</v>
      </c>
      <c r="E303" s="96"/>
      <c r="F303" s="97"/>
      <c r="G303" s="98"/>
      <c r="H303" s="99" t="s">
        <v>635</v>
      </c>
      <c r="I303" s="98"/>
      <c r="J303" s="101"/>
      <c r="K303" s="102"/>
      <c r="L303" s="102"/>
      <c r="M303" s="102"/>
      <c r="N303" s="98"/>
      <c r="O303" s="98"/>
      <c r="P303" s="98"/>
      <c r="Q303" s="98"/>
      <c r="R303" s="98"/>
      <c r="S303" s="98"/>
      <c r="T303" s="98"/>
      <c r="U303" s="109"/>
      <c r="V303" s="103"/>
      <c r="W303" s="96"/>
      <c r="X303" s="109" t="s">
        <v>1440</v>
      </c>
      <c r="Y303" s="96"/>
      <c r="Z303" s="98"/>
      <c r="AA303" s="98"/>
      <c r="AB303" s="98"/>
      <c r="AC303" s="98"/>
      <c r="AD303" s="98"/>
      <c r="AE303" s="98"/>
      <c r="AF303" s="98"/>
      <c r="AG303" s="98"/>
      <c r="AH303" s="98"/>
      <c r="AI303" s="98"/>
      <c r="AJ303" s="98"/>
      <c r="AK303" s="98"/>
      <c r="AL303" s="98"/>
      <c r="AM303" s="98"/>
      <c r="AN303" s="98"/>
      <c r="AO303" s="98"/>
      <c r="AP303" s="98"/>
      <c r="AQ303" s="98"/>
      <c r="AR303" s="98"/>
      <c r="AS303" s="98"/>
    </row>
    <row r="304" spans="1:45" s="4" customFormat="1">
      <c r="A304" s="111" t="s">
        <v>919</v>
      </c>
      <c r="B304" s="94">
        <v>680487058284</v>
      </c>
      <c r="C304" s="98" t="s">
        <v>920</v>
      </c>
      <c r="D304">
        <v>0</v>
      </c>
      <c r="E304" s="96"/>
      <c r="F304" s="97"/>
      <c r="G304" s="98"/>
      <c r="H304" s="99" t="s">
        <v>636</v>
      </c>
      <c r="I304" s="98"/>
      <c r="J304" s="101"/>
      <c r="K304" s="102"/>
      <c r="L304" s="102"/>
      <c r="M304" s="102"/>
      <c r="N304" s="98"/>
      <c r="O304" s="98"/>
      <c r="P304" s="98"/>
      <c r="Q304" s="98"/>
      <c r="R304" s="98"/>
      <c r="S304" s="98"/>
      <c r="T304" s="98"/>
      <c r="U304" s="109"/>
      <c r="V304" s="103"/>
      <c r="W304" s="96"/>
      <c r="X304" s="109" t="s">
        <v>1440</v>
      </c>
      <c r="Y304" s="96"/>
      <c r="Z304" s="98"/>
      <c r="AA304" s="98"/>
      <c r="AB304" s="98"/>
      <c r="AC304" s="98"/>
      <c r="AD304" s="98"/>
      <c r="AE304" s="98"/>
      <c r="AF304" s="98"/>
      <c r="AG304" s="98"/>
      <c r="AH304" s="98"/>
      <c r="AI304" s="98"/>
      <c r="AJ304" s="98"/>
      <c r="AK304" s="98"/>
      <c r="AL304" s="98"/>
      <c r="AM304" s="98"/>
      <c r="AN304" s="98"/>
      <c r="AO304" s="98"/>
      <c r="AP304" s="98"/>
      <c r="AQ304" s="98"/>
      <c r="AR304" s="98"/>
      <c r="AS304" s="98"/>
    </row>
    <row r="305" spans="1:45" s="4" customFormat="1">
      <c r="A305" s="111" t="s">
        <v>919</v>
      </c>
      <c r="B305" s="94">
        <v>680487167535</v>
      </c>
      <c r="C305" s="98" t="s">
        <v>920</v>
      </c>
      <c r="D305">
        <v>0</v>
      </c>
      <c r="E305" s="96"/>
      <c r="F305" s="97"/>
      <c r="G305" s="98"/>
      <c r="H305" s="99" t="s">
        <v>637</v>
      </c>
      <c r="I305" s="98"/>
      <c r="J305" s="101"/>
      <c r="K305" s="102"/>
      <c r="L305" s="102"/>
      <c r="M305" s="102"/>
      <c r="N305" s="98"/>
      <c r="O305" s="98"/>
      <c r="P305" s="98"/>
      <c r="Q305" s="98"/>
      <c r="R305" s="98"/>
      <c r="S305" s="98"/>
      <c r="T305" s="98"/>
      <c r="U305" s="109"/>
      <c r="V305" s="103"/>
      <c r="W305" s="96"/>
      <c r="X305" s="109" t="s">
        <v>1440</v>
      </c>
      <c r="Y305" s="96"/>
      <c r="Z305" s="98"/>
      <c r="AA305" s="98"/>
      <c r="AB305" s="98"/>
      <c r="AC305" s="98"/>
      <c r="AD305" s="98"/>
      <c r="AE305" s="98"/>
      <c r="AF305" s="98"/>
      <c r="AG305" s="98"/>
      <c r="AH305" s="98"/>
      <c r="AI305" s="98"/>
      <c r="AJ305" s="98"/>
      <c r="AK305" s="98"/>
      <c r="AL305" s="98"/>
      <c r="AM305" s="98"/>
      <c r="AN305" s="98"/>
      <c r="AO305" s="98"/>
      <c r="AP305" s="98"/>
      <c r="AQ305" s="98"/>
      <c r="AR305" s="98"/>
      <c r="AS305" s="98"/>
    </row>
    <row r="306" spans="1:45" s="4" customFormat="1">
      <c r="A306" s="111" t="s">
        <v>919</v>
      </c>
      <c r="B306" s="94">
        <v>680487167542</v>
      </c>
      <c r="C306" s="98" t="s">
        <v>920</v>
      </c>
      <c r="D306">
        <v>0</v>
      </c>
      <c r="E306" s="96"/>
      <c r="F306" s="97"/>
      <c r="G306" s="98"/>
      <c r="H306" s="99" t="s">
        <v>638</v>
      </c>
      <c r="I306" s="98"/>
      <c r="J306" s="101"/>
      <c r="K306" s="102"/>
      <c r="L306" s="102"/>
      <c r="M306" s="102"/>
      <c r="N306" s="98"/>
      <c r="O306" s="98"/>
      <c r="P306" s="98"/>
      <c r="Q306" s="98"/>
      <c r="R306" s="98"/>
      <c r="S306" s="98"/>
      <c r="T306" s="98"/>
      <c r="U306" s="109"/>
      <c r="V306" s="103"/>
      <c r="W306" s="96"/>
      <c r="X306" s="109" t="s">
        <v>1440</v>
      </c>
      <c r="Y306" s="96"/>
      <c r="Z306" s="98"/>
      <c r="AA306" s="98"/>
      <c r="AB306" s="98"/>
      <c r="AC306" s="98"/>
      <c r="AD306" s="98"/>
      <c r="AE306" s="98"/>
      <c r="AF306" s="98"/>
      <c r="AG306" s="98"/>
      <c r="AH306" s="98"/>
      <c r="AI306" s="98"/>
      <c r="AJ306" s="98"/>
      <c r="AK306" s="98"/>
      <c r="AL306" s="98"/>
      <c r="AM306" s="98"/>
      <c r="AN306" s="98"/>
      <c r="AO306" s="98"/>
      <c r="AP306" s="98"/>
      <c r="AQ306" s="98"/>
      <c r="AR306" s="98"/>
      <c r="AS306" s="98"/>
    </row>
    <row r="307" spans="1:45" s="4" customFormat="1">
      <c r="A307" s="111" t="s">
        <v>919</v>
      </c>
      <c r="B307" s="94">
        <v>680487058352</v>
      </c>
      <c r="C307" s="98" t="s">
        <v>920</v>
      </c>
      <c r="D307">
        <v>0</v>
      </c>
      <c r="E307" s="96"/>
      <c r="F307" s="97"/>
      <c r="G307" s="98"/>
      <c r="H307" s="99" t="s">
        <v>461</v>
      </c>
      <c r="I307" s="98"/>
      <c r="J307" s="101"/>
      <c r="K307" s="102"/>
      <c r="L307" s="102"/>
      <c r="M307" s="102"/>
      <c r="N307" s="98"/>
      <c r="O307" s="98"/>
      <c r="P307" s="98"/>
      <c r="Q307" s="98"/>
      <c r="R307" s="98"/>
      <c r="S307" s="98"/>
      <c r="T307" s="98"/>
      <c r="U307" s="109"/>
      <c r="V307" s="103"/>
      <c r="W307" s="96"/>
      <c r="X307" s="109" t="s">
        <v>1440</v>
      </c>
      <c r="Y307" s="96"/>
      <c r="Z307" s="98"/>
      <c r="AA307" s="98"/>
      <c r="AB307" s="98"/>
      <c r="AC307" s="98"/>
      <c r="AD307" s="98"/>
      <c r="AE307" s="98"/>
      <c r="AF307" s="98"/>
      <c r="AG307" s="98"/>
      <c r="AH307" s="98"/>
      <c r="AI307" s="98"/>
      <c r="AJ307" s="98"/>
      <c r="AK307" s="98"/>
      <c r="AL307" s="98"/>
      <c r="AM307" s="98"/>
      <c r="AN307" s="98"/>
      <c r="AO307" s="98"/>
      <c r="AP307" s="98"/>
      <c r="AQ307" s="98"/>
      <c r="AR307" s="98"/>
      <c r="AS307" s="98"/>
    </row>
    <row r="308" spans="1:45" s="4" customFormat="1">
      <c r="A308" s="111" t="s">
        <v>919</v>
      </c>
      <c r="B308" s="94">
        <v>680487058369</v>
      </c>
      <c r="C308" s="98" t="s">
        <v>920</v>
      </c>
      <c r="D308">
        <v>0</v>
      </c>
      <c r="E308" s="96"/>
      <c r="F308" s="97"/>
      <c r="G308" s="98"/>
      <c r="H308" s="99" t="s">
        <v>472</v>
      </c>
      <c r="I308" s="98"/>
      <c r="J308" s="101"/>
      <c r="K308" s="102"/>
      <c r="L308" s="102"/>
      <c r="M308" s="102"/>
      <c r="N308" s="98"/>
      <c r="O308" s="98"/>
      <c r="P308" s="98"/>
      <c r="Q308" s="98"/>
      <c r="R308" s="98"/>
      <c r="S308" s="98"/>
      <c r="T308" s="98"/>
      <c r="U308" s="109"/>
      <c r="V308" s="103"/>
      <c r="W308" s="96"/>
      <c r="X308" s="109" t="s">
        <v>1440</v>
      </c>
      <c r="Y308" s="96"/>
      <c r="Z308" s="98"/>
      <c r="AA308" s="98"/>
      <c r="AB308" s="98"/>
      <c r="AC308" s="98"/>
      <c r="AD308" s="98"/>
      <c r="AE308" s="98"/>
      <c r="AF308" s="98"/>
      <c r="AG308" s="98"/>
      <c r="AH308" s="98"/>
      <c r="AI308" s="98"/>
      <c r="AJ308" s="98"/>
      <c r="AK308" s="98"/>
      <c r="AL308" s="98"/>
      <c r="AM308" s="98"/>
      <c r="AN308" s="98"/>
      <c r="AO308" s="98"/>
      <c r="AP308" s="98"/>
      <c r="AQ308" s="98"/>
      <c r="AR308" s="98"/>
      <c r="AS308" s="98"/>
    </row>
    <row r="309" spans="1:45" s="4" customFormat="1">
      <c r="A309" s="111" t="s">
        <v>919</v>
      </c>
      <c r="B309" s="94">
        <v>680487058390</v>
      </c>
      <c r="C309" s="98" t="s">
        <v>920</v>
      </c>
      <c r="D309">
        <v>0</v>
      </c>
      <c r="E309" s="96"/>
      <c r="F309" s="97"/>
      <c r="G309" s="98"/>
      <c r="H309" s="99" t="s">
        <v>639</v>
      </c>
      <c r="I309" s="98"/>
      <c r="J309" s="101"/>
      <c r="K309" s="102"/>
      <c r="L309" s="102"/>
      <c r="M309" s="102"/>
      <c r="N309" s="98"/>
      <c r="O309" s="98"/>
      <c r="P309" s="98"/>
      <c r="Q309" s="98"/>
      <c r="R309" s="98"/>
      <c r="S309" s="98"/>
      <c r="T309" s="98"/>
      <c r="U309" s="109"/>
      <c r="V309" s="103"/>
      <c r="W309" s="96"/>
      <c r="X309" s="109" t="s">
        <v>1440</v>
      </c>
      <c r="Y309" s="96"/>
      <c r="Z309" s="98"/>
      <c r="AA309" s="98"/>
      <c r="AB309" s="98"/>
      <c r="AC309" s="98"/>
      <c r="AD309" s="98"/>
      <c r="AE309" s="98"/>
      <c r="AF309" s="98"/>
      <c r="AG309" s="98"/>
      <c r="AH309" s="98"/>
      <c r="AI309" s="98"/>
      <c r="AJ309" s="98"/>
      <c r="AK309" s="98"/>
      <c r="AL309" s="98"/>
      <c r="AM309" s="98"/>
      <c r="AN309" s="98"/>
      <c r="AO309" s="98"/>
      <c r="AP309" s="98"/>
      <c r="AQ309" s="98"/>
      <c r="AR309" s="98"/>
      <c r="AS309" s="98"/>
    </row>
    <row r="310" spans="1:45" s="4" customFormat="1">
      <c r="A310" s="111" t="s">
        <v>919</v>
      </c>
      <c r="B310" s="94">
        <v>680487058406</v>
      </c>
      <c r="C310" s="98" t="s">
        <v>920</v>
      </c>
      <c r="D310">
        <v>0</v>
      </c>
      <c r="E310" s="96"/>
      <c r="F310" s="97"/>
      <c r="G310" s="98"/>
      <c r="H310" s="99" t="s">
        <v>473</v>
      </c>
      <c r="I310" s="98"/>
      <c r="J310" s="101"/>
      <c r="K310" s="102"/>
      <c r="L310" s="102"/>
      <c r="M310" s="102"/>
      <c r="N310" s="98"/>
      <c r="O310" s="98"/>
      <c r="P310" s="98"/>
      <c r="Q310" s="98"/>
      <c r="R310" s="98"/>
      <c r="S310" s="98"/>
      <c r="T310" s="98"/>
      <c r="U310" s="109"/>
      <c r="V310" s="103"/>
      <c r="W310" s="96"/>
      <c r="X310" s="109" t="s">
        <v>1440</v>
      </c>
      <c r="Y310" s="96"/>
      <c r="Z310" s="98"/>
      <c r="AA310" s="98"/>
      <c r="AB310" s="98"/>
      <c r="AC310" s="98"/>
      <c r="AD310" s="98"/>
      <c r="AE310" s="98"/>
      <c r="AF310" s="98"/>
      <c r="AG310" s="98"/>
      <c r="AH310" s="98"/>
      <c r="AI310" s="98"/>
      <c r="AJ310" s="98"/>
      <c r="AK310" s="98"/>
      <c r="AL310" s="98"/>
      <c r="AM310" s="98"/>
      <c r="AN310" s="98"/>
      <c r="AO310" s="98"/>
      <c r="AP310" s="98"/>
      <c r="AQ310" s="98"/>
      <c r="AR310" s="98"/>
      <c r="AS310" s="98"/>
    </row>
    <row r="311" spans="1:45" s="4" customFormat="1">
      <c r="A311" s="111" t="s">
        <v>919</v>
      </c>
      <c r="B311" s="94">
        <v>680487058437</v>
      </c>
      <c r="C311" s="98" t="s">
        <v>920</v>
      </c>
      <c r="D311">
        <v>0</v>
      </c>
      <c r="E311" s="96"/>
      <c r="F311" s="97"/>
      <c r="G311" s="98"/>
      <c r="H311" s="99" t="s">
        <v>462</v>
      </c>
      <c r="I311" s="98"/>
      <c r="J311" s="101"/>
      <c r="K311" s="102"/>
      <c r="L311" s="102"/>
      <c r="M311" s="102"/>
      <c r="N311" s="98"/>
      <c r="O311" s="98"/>
      <c r="P311" s="98"/>
      <c r="Q311" s="98"/>
      <c r="R311" s="98"/>
      <c r="S311" s="98"/>
      <c r="T311" s="98"/>
      <c r="U311" s="109"/>
      <c r="V311" s="103"/>
      <c r="W311" s="96"/>
      <c r="X311" s="109" t="s">
        <v>1440</v>
      </c>
      <c r="Y311" s="96"/>
      <c r="Z311" s="98"/>
      <c r="AA311" s="98"/>
      <c r="AB311" s="98"/>
      <c r="AC311" s="98"/>
      <c r="AD311" s="98"/>
      <c r="AE311" s="98"/>
      <c r="AF311" s="98"/>
      <c r="AG311" s="98"/>
      <c r="AH311" s="98"/>
      <c r="AI311" s="98"/>
      <c r="AJ311" s="98"/>
      <c r="AK311" s="98"/>
      <c r="AL311" s="98"/>
      <c r="AM311" s="98"/>
      <c r="AN311" s="98"/>
      <c r="AO311" s="98"/>
      <c r="AP311" s="98"/>
      <c r="AQ311" s="98"/>
      <c r="AR311" s="98"/>
      <c r="AS311" s="98"/>
    </row>
    <row r="312" spans="1:45" s="4" customFormat="1">
      <c r="A312" s="111" t="s">
        <v>919</v>
      </c>
      <c r="B312" s="94">
        <v>680487058444</v>
      </c>
      <c r="C312" s="98" t="s">
        <v>920</v>
      </c>
      <c r="D312">
        <v>0</v>
      </c>
      <c r="E312" s="96"/>
      <c r="F312" s="97"/>
      <c r="G312" s="98"/>
      <c r="H312" s="99" t="s">
        <v>474</v>
      </c>
      <c r="I312" s="98"/>
      <c r="J312" s="101"/>
      <c r="K312" s="102"/>
      <c r="L312" s="102"/>
      <c r="M312" s="102"/>
      <c r="N312" s="98"/>
      <c r="O312" s="98"/>
      <c r="P312" s="98"/>
      <c r="Q312" s="98"/>
      <c r="R312" s="98"/>
      <c r="S312" s="98"/>
      <c r="T312" s="98"/>
      <c r="U312" s="109"/>
      <c r="V312" s="103"/>
      <c r="W312" s="96"/>
      <c r="X312" s="109" t="s">
        <v>1440</v>
      </c>
      <c r="Y312" s="96"/>
      <c r="Z312" s="98"/>
      <c r="AA312" s="98"/>
      <c r="AB312" s="98"/>
      <c r="AC312" s="98"/>
      <c r="AD312" s="98"/>
      <c r="AE312" s="98"/>
      <c r="AF312" s="98"/>
      <c r="AG312" s="98"/>
      <c r="AH312" s="98"/>
      <c r="AI312" s="98"/>
      <c r="AJ312" s="98"/>
      <c r="AK312" s="98"/>
      <c r="AL312" s="98"/>
      <c r="AM312" s="98"/>
      <c r="AN312" s="98"/>
      <c r="AO312" s="98"/>
      <c r="AP312" s="98"/>
      <c r="AQ312" s="98"/>
      <c r="AR312" s="98"/>
      <c r="AS312" s="98"/>
    </row>
    <row r="313" spans="1:45" s="4" customFormat="1">
      <c r="A313" s="111" t="s">
        <v>919</v>
      </c>
      <c r="B313" s="94">
        <v>680487058451</v>
      </c>
      <c r="C313" s="98" t="s">
        <v>920</v>
      </c>
      <c r="D313">
        <v>0</v>
      </c>
      <c r="E313" s="96"/>
      <c r="F313" s="97"/>
      <c r="G313" s="98"/>
      <c r="H313" s="99" t="s">
        <v>463</v>
      </c>
      <c r="I313" s="98"/>
      <c r="J313" s="101"/>
      <c r="K313" s="102"/>
      <c r="L313" s="102"/>
      <c r="M313" s="102"/>
      <c r="N313" s="98"/>
      <c r="O313" s="98"/>
      <c r="P313" s="98"/>
      <c r="Q313" s="98"/>
      <c r="R313" s="98"/>
      <c r="S313" s="98"/>
      <c r="T313" s="98"/>
      <c r="U313" s="109"/>
      <c r="V313" s="103"/>
      <c r="W313" s="96"/>
      <c r="X313" s="109" t="s">
        <v>1440</v>
      </c>
      <c r="Y313" s="96"/>
      <c r="Z313" s="98"/>
      <c r="AA313" s="98"/>
      <c r="AB313" s="98"/>
      <c r="AC313" s="98"/>
      <c r="AD313" s="98"/>
      <c r="AE313" s="98"/>
      <c r="AF313" s="98"/>
      <c r="AG313" s="98"/>
      <c r="AH313" s="98"/>
      <c r="AI313" s="98"/>
      <c r="AJ313" s="98"/>
      <c r="AK313" s="98"/>
      <c r="AL313" s="98"/>
      <c r="AM313" s="98"/>
      <c r="AN313" s="98"/>
      <c r="AO313" s="98"/>
      <c r="AP313" s="98"/>
      <c r="AQ313" s="98"/>
      <c r="AR313" s="98"/>
      <c r="AS313" s="98"/>
    </row>
    <row r="314" spans="1:45" s="4" customFormat="1">
      <c r="A314" s="111" t="s">
        <v>919</v>
      </c>
      <c r="B314" s="94">
        <v>680487058468</v>
      </c>
      <c r="C314" s="98" t="s">
        <v>920</v>
      </c>
      <c r="D314">
        <v>0</v>
      </c>
      <c r="E314" s="96"/>
      <c r="F314" s="97"/>
      <c r="G314" s="98"/>
      <c r="H314" s="99" t="s">
        <v>475</v>
      </c>
      <c r="I314" s="98"/>
      <c r="J314" s="101"/>
      <c r="K314" s="102"/>
      <c r="L314" s="102"/>
      <c r="M314" s="102"/>
      <c r="N314" s="98"/>
      <c r="O314" s="98"/>
      <c r="P314" s="98"/>
      <c r="Q314" s="98"/>
      <c r="R314" s="98"/>
      <c r="S314" s="98"/>
      <c r="T314" s="98"/>
      <c r="U314" s="109"/>
      <c r="V314" s="103"/>
      <c r="W314" s="96"/>
      <c r="X314" s="109" t="s">
        <v>1440</v>
      </c>
      <c r="Y314" s="96"/>
      <c r="Z314" s="98"/>
      <c r="AA314" s="98"/>
      <c r="AB314" s="98"/>
      <c r="AC314" s="98"/>
      <c r="AD314" s="98"/>
      <c r="AE314" s="98"/>
      <c r="AF314" s="98"/>
      <c r="AG314" s="98"/>
      <c r="AH314" s="98"/>
      <c r="AI314" s="98"/>
      <c r="AJ314" s="98"/>
      <c r="AK314" s="98"/>
      <c r="AL314" s="98"/>
      <c r="AM314" s="98"/>
      <c r="AN314" s="98"/>
      <c r="AO314" s="98"/>
      <c r="AP314" s="98"/>
      <c r="AQ314" s="98"/>
      <c r="AR314" s="98"/>
      <c r="AS314" s="98"/>
    </row>
    <row r="315" spans="1:45" s="4" customFormat="1">
      <c r="A315" s="111" t="s">
        <v>919</v>
      </c>
      <c r="B315" s="94">
        <v>680487058475</v>
      </c>
      <c r="C315" s="98" t="s">
        <v>920</v>
      </c>
      <c r="D315">
        <v>0</v>
      </c>
      <c r="E315" s="96"/>
      <c r="F315" s="97"/>
      <c r="G315" s="98"/>
      <c r="H315" s="99" t="s">
        <v>640</v>
      </c>
      <c r="I315" s="98"/>
      <c r="J315" s="101"/>
      <c r="K315" s="102"/>
      <c r="L315" s="102"/>
      <c r="M315" s="102"/>
      <c r="N315" s="98"/>
      <c r="O315" s="98"/>
      <c r="P315" s="98"/>
      <c r="Q315" s="98"/>
      <c r="R315" s="98"/>
      <c r="S315" s="98"/>
      <c r="T315" s="98"/>
      <c r="U315" s="109"/>
      <c r="V315" s="103"/>
      <c r="W315" s="96"/>
      <c r="X315" s="109" t="s">
        <v>1440</v>
      </c>
      <c r="Y315" s="96"/>
      <c r="Z315" s="98"/>
      <c r="AA315" s="98"/>
      <c r="AB315" s="98"/>
      <c r="AC315" s="98"/>
      <c r="AD315" s="98"/>
      <c r="AE315" s="98"/>
      <c r="AF315" s="98"/>
      <c r="AG315" s="98"/>
      <c r="AH315" s="98"/>
      <c r="AI315" s="98"/>
      <c r="AJ315" s="98"/>
      <c r="AK315" s="98"/>
      <c r="AL315" s="98"/>
      <c r="AM315" s="98"/>
      <c r="AN315" s="98"/>
      <c r="AO315" s="98"/>
      <c r="AP315" s="98"/>
      <c r="AQ315" s="98"/>
      <c r="AR315" s="98"/>
      <c r="AS315" s="98"/>
    </row>
    <row r="316" spans="1:45" s="4" customFormat="1">
      <c r="A316" s="111" t="s">
        <v>919</v>
      </c>
      <c r="B316" s="94">
        <v>680487058482</v>
      </c>
      <c r="C316" s="98" t="s">
        <v>920</v>
      </c>
      <c r="D316">
        <v>0</v>
      </c>
      <c r="E316" s="96"/>
      <c r="F316" s="97"/>
      <c r="G316" s="98"/>
      <c r="H316" s="99" t="s">
        <v>641</v>
      </c>
      <c r="I316" s="98"/>
      <c r="J316" s="101"/>
      <c r="K316" s="102"/>
      <c r="L316" s="102"/>
      <c r="M316" s="102"/>
      <c r="N316" s="98"/>
      <c r="O316" s="98"/>
      <c r="P316" s="98"/>
      <c r="Q316" s="98"/>
      <c r="R316" s="98"/>
      <c r="S316" s="98"/>
      <c r="T316" s="98"/>
      <c r="U316" s="109"/>
      <c r="V316" s="103"/>
      <c r="W316" s="96"/>
      <c r="X316" s="109" t="s">
        <v>1440</v>
      </c>
      <c r="Y316" s="96"/>
      <c r="Z316" s="98"/>
      <c r="AA316" s="98"/>
      <c r="AB316" s="98"/>
      <c r="AC316" s="98"/>
      <c r="AD316" s="98"/>
      <c r="AE316" s="98"/>
      <c r="AF316" s="98"/>
      <c r="AG316" s="98"/>
      <c r="AH316" s="98"/>
      <c r="AI316" s="98"/>
      <c r="AJ316" s="98"/>
      <c r="AK316" s="98"/>
      <c r="AL316" s="98"/>
      <c r="AM316" s="98"/>
      <c r="AN316" s="98"/>
      <c r="AO316" s="98"/>
      <c r="AP316" s="98"/>
      <c r="AQ316" s="98"/>
      <c r="AR316" s="98"/>
      <c r="AS316" s="98"/>
    </row>
    <row r="317" spans="1:45" s="4" customFormat="1">
      <c r="A317" s="111" t="s">
        <v>919</v>
      </c>
      <c r="B317" s="94">
        <v>680487058499</v>
      </c>
      <c r="C317" s="98" t="s">
        <v>920</v>
      </c>
      <c r="D317">
        <v>0</v>
      </c>
      <c r="E317" s="96"/>
      <c r="F317" s="97"/>
      <c r="G317" s="98"/>
      <c r="H317" s="99" t="s">
        <v>464</v>
      </c>
      <c r="I317" s="98"/>
      <c r="J317" s="101"/>
      <c r="K317" s="102"/>
      <c r="L317" s="102"/>
      <c r="M317" s="102"/>
      <c r="N317" s="98"/>
      <c r="O317" s="98"/>
      <c r="P317" s="98"/>
      <c r="Q317" s="98"/>
      <c r="R317" s="98"/>
      <c r="S317" s="98"/>
      <c r="T317" s="98"/>
      <c r="U317" s="109"/>
      <c r="V317" s="103"/>
      <c r="W317" s="96"/>
      <c r="X317" s="109" t="s">
        <v>1440</v>
      </c>
      <c r="Y317" s="96"/>
      <c r="Z317" s="98"/>
      <c r="AA317" s="98"/>
      <c r="AB317" s="98"/>
      <c r="AC317" s="98"/>
      <c r="AD317" s="98"/>
      <c r="AE317" s="98"/>
      <c r="AF317" s="98"/>
      <c r="AG317" s="98"/>
      <c r="AH317" s="98"/>
      <c r="AI317" s="98"/>
      <c r="AJ317" s="98"/>
      <c r="AK317" s="98"/>
      <c r="AL317" s="98"/>
      <c r="AM317" s="98"/>
      <c r="AN317" s="98"/>
      <c r="AO317" s="98"/>
      <c r="AP317" s="98"/>
      <c r="AQ317" s="98"/>
      <c r="AR317" s="98"/>
      <c r="AS317" s="98"/>
    </row>
    <row r="318" spans="1:45" s="4" customFormat="1">
      <c r="A318" s="111" t="s">
        <v>919</v>
      </c>
      <c r="B318" s="94">
        <v>680487058505</v>
      </c>
      <c r="C318" s="98" t="s">
        <v>920</v>
      </c>
      <c r="D318">
        <v>0</v>
      </c>
      <c r="E318" s="96"/>
      <c r="F318" s="97"/>
      <c r="G318" s="98"/>
      <c r="H318" s="99" t="s">
        <v>476</v>
      </c>
      <c r="I318" s="98"/>
      <c r="J318" s="101"/>
      <c r="K318" s="102"/>
      <c r="L318" s="102"/>
      <c r="M318" s="102"/>
      <c r="N318" s="98"/>
      <c r="O318" s="98"/>
      <c r="P318" s="98"/>
      <c r="Q318" s="98"/>
      <c r="R318" s="98"/>
      <c r="S318" s="98"/>
      <c r="T318" s="98"/>
      <c r="U318" s="109"/>
      <c r="V318" s="103"/>
      <c r="W318" s="96"/>
      <c r="X318" s="109" t="s">
        <v>1440</v>
      </c>
      <c r="Y318" s="96"/>
      <c r="Z318" s="98"/>
      <c r="AA318" s="98"/>
      <c r="AB318" s="98"/>
      <c r="AC318" s="98"/>
      <c r="AD318" s="98"/>
      <c r="AE318" s="98"/>
      <c r="AF318" s="98"/>
      <c r="AG318" s="98"/>
      <c r="AH318" s="98"/>
      <c r="AI318" s="98"/>
      <c r="AJ318" s="98"/>
      <c r="AK318" s="98"/>
      <c r="AL318" s="98"/>
      <c r="AM318" s="98"/>
      <c r="AN318" s="98"/>
      <c r="AO318" s="98"/>
      <c r="AP318" s="98"/>
      <c r="AQ318" s="98"/>
      <c r="AR318" s="98"/>
      <c r="AS318" s="98"/>
    </row>
    <row r="319" spans="1:45" s="4" customFormat="1">
      <c r="A319" s="111" t="s">
        <v>919</v>
      </c>
      <c r="B319" s="94">
        <v>680487058512</v>
      </c>
      <c r="C319" s="98" t="s">
        <v>920</v>
      </c>
      <c r="D319">
        <v>0</v>
      </c>
      <c r="E319" s="96"/>
      <c r="F319" s="97"/>
      <c r="G319" s="98"/>
      <c r="H319" s="99" t="s">
        <v>642</v>
      </c>
      <c r="I319" s="98"/>
      <c r="J319" s="101"/>
      <c r="K319" s="102"/>
      <c r="L319" s="102"/>
      <c r="M319" s="102"/>
      <c r="N319" s="98"/>
      <c r="O319" s="98"/>
      <c r="P319" s="98"/>
      <c r="Q319" s="98"/>
      <c r="R319" s="98"/>
      <c r="S319" s="98"/>
      <c r="T319" s="98"/>
      <c r="U319" s="109"/>
      <c r="V319" s="103"/>
      <c r="W319" s="96"/>
      <c r="X319" s="109" t="s">
        <v>1440</v>
      </c>
      <c r="Y319" s="96"/>
      <c r="Z319" s="98"/>
      <c r="AA319" s="98"/>
      <c r="AB319" s="98"/>
      <c r="AC319" s="98"/>
      <c r="AD319" s="98"/>
      <c r="AE319" s="98"/>
      <c r="AF319" s="98"/>
      <c r="AG319" s="98"/>
      <c r="AH319" s="98"/>
      <c r="AI319" s="98"/>
      <c r="AJ319" s="98"/>
      <c r="AK319" s="98"/>
      <c r="AL319" s="98"/>
      <c r="AM319" s="98"/>
      <c r="AN319" s="98"/>
      <c r="AO319" s="98"/>
      <c r="AP319" s="98"/>
      <c r="AQ319" s="98"/>
      <c r="AR319" s="98"/>
      <c r="AS319" s="98"/>
    </row>
    <row r="320" spans="1:45" s="4" customFormat="1">
      <c r="A320" s="111" t="s">
        <v>919</v>
      </c>
      <c r="B320" s="94">
        <v>680487058529</v>
      </c>
      <c r="C320" s="98" t="s">
        <v>920</v>
      </c>
      <c r="D320">
        <v>0</v>
      </c>
      <c r="E320" s="96"/>
      <c r="F320" s="97"/>
      <c r="G320" s="98"/>
      <c r="H320" s="99" t="s">
        <v>477</v>
      </c>
      <c r="I320" s="98"/>
      <c r="J320" s="101"/>
      <c r="K320" s="102"/>
      <c r="L320" s="102"/>
      <c r="M320" s="102"/>
      <c r="N320" s="98"/>
      <c r="O320" s="98"/>
      <c r="P320" s="98"/>
      <c r="Q320" s="98"/>
      <c r="R320" s="98"/>
      <c r="S320" s="98"/>
      <c r="T320" s="98"/>
      <c r="U320" s="109"/>
      <c r="V320" s="103"/>
      <c r="W320" s="96"/>
      <c r="X320" s="109" t="s">
        <v>1440</v>
      </c>
      <c r="Y320" s="96"/>
      <c r="Z320" s="98"/>
      <c r="AA320" s="98"/>
      <c r="AB320" s="98"/>
      <c r="AC320" s="98"/>
      <c r="AD320" s="98"/>
      <c r="AE320" s="98"/>
      <c r="AF320" s="98"/>
      <c r="AG320" s="98"/>
      <c r="AH320" s="98"/>
      <c r="AI320" s="98"/>
      <c r="AJ320" s="98"/>
      <c r="AK320" s="98"/>
      <c r="AL320" s="98"/>
      <c r="AM320" s="98"/>
      <c r="AN320" s="98"/>
      <c r="AO320" s="98"/>
      <c r="AP320" s="98"/>
      <c r="AQ320" s="98"/>
      <c r="AR320" s="98"/>
      <c r="AS320" s="98"/>
    </row>
    <row r="321" spans="1:45" s="4" customFormat="1">
      <c r="A321" s="111" t="s">
        <v>919</v>
      </c>
      <c r="B321" s="94">
        <v>680487058550</v>
      </c>
      <c r="C321" s="98" t="s">
        <v>920</v>
      </c>
      <c r="D321">
        <v>0</v>
      </c>
      <c r="E321" s="96"/>
      <c r="F321" s="97"/>
      <c r="G321" s="98"/>
      <c r="H321" s="99" t="s">
        <v>465</v>
      </c>
      <c r="I321" s="98"/>
      <c r="J321" s="101"/>
      <c r="K321" s="102"/>
      <c r="L321" s="102"/>
      <c r="M321" s="102"/>
      <c r="N321" s="98"/>
      <c r="O321" s="98"/>
      <c r="P321" s="98"/>
      <c r="Q321" s="98"/>
      <c r="R321" s="98"/>
      <c r="S321" s="98"/>
      <c r="T321" s="98"/>
      <c r="U321" s="109"/>
      <c r="V321" s="103"/>
      <c r="W321" s="96"/>
      <c r="X321" s="109" t="s">
        <v>1440</v>
      </c>
      <c r="Y321" s="96"/>
      <c r="Z321" s="98"/>
      <c r="AA321" s="98"/>
      <c r="AB321" s="98"/>
      <c r="AC321" s="98"/>
      <c r="AD321" s="98"/>
      <c r="AE321" s="98"/>
      <c r="AF321" s="98"/>
      <c r="AG321" s="98"/>
      <c r="AH321" s="98"/>
      <c r="AI321" s="98"/>
      <c r="AJ321" s="98"/>
      <c r="AK321" s="98"/>
      <c r="AL321" s="98"/>
      <c r="AM321" s="98"/>
      <c r="AN321" s="98"/>
      <c r="AO321" s="98"/>
      <c r="AP321" s="98"/>
      <c r="AQ321" s="98"/>
      <c r="AR321" s="98"/>
      <c r="AS321" s="98"/>
    </row>
    <row r="322" spans="1:45" s="4" customFormat="1">
      <c r="A322" s="111" t="s">
        <v>919</v>
      </c>
      <c r="B322" s="94">
        <v>680487058567</v>
      </c>
      <c r="C322" s="98" t="s">
        <v>920</v>
      </c>
      <c r="D322">
        <v>0</v>
      </c>
      <c r="E322" s="96"/>
      <c r="F322" s="97"/>
      <c r="G322" s="98"/>
      <c r="H322" s="99" t="s">
        <v>478</v>
      </c>
      <c r="I322" s="98"/>
      <c r="J322" s="101"/>
      <c r="K322" s="102"/>
      <c r="L322" s="102"/>
      <c r="M322" s="102"/>
      <c r="N322" s="98"/>
      <c r="O322" s="98"/>
      <c r="P322" s="98"/>
      <c r="Q322" s="98"/>
      <c r="R322" s="98"/>
      <c r="S322" s="98"/>
      <c r="T322" s="98"/>
      <c r="U322" s="109"/>
      <c r="V322" s="103"/>
      <c r="W322" s="96"/>
      <c r="X322" s="109" t="s">
        <v>1440</v>
      </c>
      <c r="Y322" s="96"/>
      <c r="Z322" s="98"/>
      <c r="AA322" s="98"/>
      <c r="AB322" s="98"/>
      <c r="AC322" s="98"/>
      <c r="AD322" s="98"/>
      <c r="AE322" s="98"/>
      <c r="AF322" s="98"/>
      <c r="AG322" s="98"/>
      <c r="AH322" s="98"/>
      <c r="AI322" s="98"/>
      <c r="AJ322" s="98"/>
      <c r="AK322" s="98"/>
      <c r="AL322" s="98"/>
      <c r="AM322" s="98"/>
      <c r="AN322" s="98"/>
      <c r="AO322" s="98"/>
      <c r="AP322" s="98"/>
      <c r="AQ322" s="98"/>
      <c r="AR322" s="98"/>
      <c r="AS322" s="98"/>
    </row>
    <row r="323" spans="1:45" s="4" customFormat="1">
      <c r="A323" s="111" t="s">
        <v>919</v>
      </c>
      <c r="B323" s="94">
        <v>680487058574</v>
      </c>
      <c r="C323" s="98" t="s">
        <v>920</v>
      </c>
      <c r="D323">
        <v>0</v>
      </c>
      <c r="E323" s="96"/>
      <c r="F323" s="97"/>
      <c r="G323" s="98"/>
      <c r="H323" s="99" t="s">
        <v>466</v>
      </c>
      <c r="I323" s="98"/>
      <c r="J323" s="101"/>
      <c r="K323" s="102"/>
      <c r="L323" s="102"/>
      <c r="M323" s="102"/>
      <c r="N323" s="98"/>
      <c r="O323" s="98"/>
      <c r="P323" s="98"/>
      <c r="Q323" s="98"/>
      <c r="R323" s="98"/>
      <c r="S323" s="98"/>
      <c r="T323" s="98"/>
      <c r="U323" s="109"/>
      <c r="V323" s="103"/>
      <c r="W323" s="96"/>
      <c r="X323" s="109" t="s">
        <v>1440</v>
      </c>
      <c r="Y323" s="96"/>
      <c r="Z323" s="98"/>
      <c r="AA323" s="98"/>
      <c r="AB323" s="98"/>
      <c r="AC323" s="98"/>
      <c r="AD323" s="98"/>
      <c r="AE323" s="98"/>
      <c r="AF323" s="98"/>
      <c r="AG323" s="98"/>
      <c r="AH323" s="98"/>
      <c r="AI323" s="98"/>
      <c r="AJ323" s="98"/>
      <c r="AK323" s="98"/>
      <c r="AL323" s="98"/>
      <c r="AM323" s="98"/>
      <c r="AN323" s="98"/>
      <c r="AO323" s="98"/>
      <c r="AP323" s="98"/>
      <c r="AQ323" s="98"/>
      <c r="AR323" s="98"/>
      <c r="AS323" s="98"/>
    </row>
    <row r="324" spans="1:45" s="4" customFormat="1">
      <c r="A324" s="111" t="s">
        <v>919</v>
      </c>
      <c r="B324" s="94">
        <v>680487058581</v>
      </c>
      <c r="C324" s="98" t="s">
        <v>920</v>
      </c>
      <c r="D324">
        <v>0</v>
      </c>
      <c r="E324" s="96"/>
      <c r="F324" s="97"/>
      <c r="G324" s="98"/>
      <c r="H324" s="99" t="s">
        <v>479</v>
      </c>
      <c r="I324" s="98"/>
      <c r="J324" s="101"/>
      <c r="K324" s="102"/>
      <c r="L324" s="102"/>
      <c r="M324" s="102"/>
      <c r="N324" s="98"/>
      <c r="O324" s="98"/>
      <c r="P324" s="98"/>
      <c r="Q324" s="98"/>
      <c r="R324" s="98"/>
      <c r="S324" s="98"/>
      <c r="T324" s="98"/>
      <c r="U324" s="109"/>
      <c r="V324" s="103"/>
      <c r="W324" s="96"/>
      <c r="X324" s="109" t="s">
        <v>1440</v>
      </c>
      <c r="Y324" s="96"/>
      <c r="Z324" s="98"/>
      <c r="AA324" s="98"/>
      <c r="AB324" s="98"/>
      <c r="AC324" s="98"/>
      <c r="AD324" s="98"/>
      <c r="AE324" s="98"/>
      <c r="AF324" s="98"/>
      <c r="AG324" s="98"/>
      <c r="AH324" s="98"/>
      <c r="AI324" s="98"/>
      <c r="AJ324" s="98"/>
      <c r="AK324" s="98"/>
      <c r="AL324" s="98"/>
      <c r="AM324" s="98"/>
      <c r="AN324" s="98"/>
      <c r="AO324" s="98"/>
      <c r="AP324" s="98"/>
      <c r="AQ324" s="98"/>
      <c r="AR324" s="98"/>
      <c r="AS324" s="98"/>
    </row>
    <row r="325" spans="1:45" s="4" customFormat="1">
      <c r="A325" s="111" t="s">
        <v>919</v>
      </c>
      <c r="B325" s="94">
        <v>680487043440</v>
      </c>
      <c r="C325" s="98" t="s">
        <v>920</v>
      </c>
      <c r="D325">
        <v>0</v>
      </c>
      <c r="E325" s="96"/>
      <c r="F325" s="97"/>
      <c r="G325" s="98"/>
      <c r="H325" s="99" t="s">
        <v>166</v>
      </c>
      <c r="I325" s="98"/>
      <c r="J325" s="101"/>
      <c r="K325" s="102"/>
      <c r="L325" s="102"/>
      <c r="M325" s="102"/>
      <c r="N325" s="98"/>
      <c r="O325" s="98"/>
      <c r="P325" s="98"/>
      <c r="Q325" s="98"/>
      <c r="R325" s="98"/>
      <c r="S325" s="98"/>
      <c r="T325" s="98"/>
      <c r="U325" s="109"/>
      <c r="V325" s="103"/>
      <c r="W325" s="96"/>
      <c r="X325" s="109" t="s">
        <v>1440</v>
      </c>
      <c r="Y325" s="96"/>
      <c r="Z325" s="98"/>
      <c r="AA325" s="98"/>
      <c r="AB325" s="98"/>
      <c r="AC325" s="98"/>
      <c r="AD325" s="98"/>
      <c r="AE325" s="98"/>
      <c r="AF325" s="98"/>
      <c r="AG325" s="98"/>
      <c r="AH325" s="98"/>
      <c r="AI325" s="98"/>
      <c r="AJ325" s="98"/>
      <c r="AK325" s="98"/>
      <c r="AL325" s="98"/>
      <c r="AM325" s="98"/>
      <c r="AN325" s="98"/>
      <c r="AO325" s="98"/>
      <c r="AP325" s="98"/>
      <c r="AQ325" s="98"/>
      <c r="AR325" s="98"/>
      <c r="AS325" s="98"/>
    </row>
    <row r="326" spans="1:45" s="4" customFormat="1">
      <c r="A326" s="111" t="s">
        <v>919</v>
      </c>
      <c r="B326" s="94">
        <v>680487043433</v>
      </c>
      <c r="C326" s="98" t="s">
        <v>920</v>
      </c>
      <c r="D326">
        <v>0</v>
      </c>
      <c r="E326" s="96"/>
      <c r="F326" s="97"/>
      <c r="G326" s="98"/>
      <c r="H326" s="99" t="s">
        <v>165</v>
      </c>
      <c r="I326" s="98"/>
      <c r="J326" s="101"/>
      <c r="K326" s="102"/>
      <c r="L326" s="102"/>
      <c r="M326" s="102"/>
      <c r="N326" s="98"/>
      <c r="O326" s="98"/>
      <c r="P326" s="98"/>
      <c r="Q326" s="98"/>
      <c r="R326" s="98"/>
      <c r="S326" s="98"/>
      <c r="T326" s="98"/>
      <c r="U326" s="109"/>
      <c r="V326" s="103"/>
      <c r="W326" s="96"/>
      <c r="X326" s="109" t="s">
        <v>1440</v>
      </c>
      <c r="Y326" s="96"/>
      <c r="Z326" s="98"/>
      <c r="AA326" s="98"/>
      <c r="AB326" s="98"/>
      <c r="AC326" s="98"/>
      <c r="AD326" s="98"/>
      <c r="AE326" s="98"/>
      <c r="AF326" s="98"/>
      <c r="AG326" s="98"/>
      <c r="AH326" s="98"/>
      <c r="AI326" s="98"/>
      <c r="AJ326" s="98"/>
      <c r="AK326" s="98"/>
      <c r="AL326" s="98"/>
      <c r="AM326" s="98"/>
      <c r="AN326" s="98"/>
      <c r="AO326" s="98"/>
      <c r="AP326" s="98"/>
      <c r="AQ326" s="98"/>
      <c r="AR326" s="98"/>
      <c r="AS326" s="98"/>
    </row>
    <row r="327" spans="1:45" s="4" customFormat="1">
      <c r="A327" s="111" t="s">
        <v>919</v>
      </c>
      <c r="B327" s="94">
        <v>680487086058</v>
      </c>
      <c r="C327" s="98" t="s">
        <v>920</v>
      </c>
      <c r="D327">
        <v>0</v>
      </c>
      <c r="E327" s="96"/>
      <c r="F327" s="97"/>
      <c r="G327" s="98"/>
      <c r="H327" s="99" t="s">
        <v>158</v>
      </c>
      <c r="I327" s="98"/>
      <c r="J327" s="101"/>
      <c r="K327" s="102"/>
      <c r="L327" s="102"/>
      <c r="M327" s="102"/>
      <c r="N327" s="98"/>
      <c r="O327" s="98"/>
      <c r="P327" s="98"/>
      <c r="Q327" s="98"/>
      <c r="R327" s="98"/>
      <c r="S327" s="98"/>
      <c r="T327" s="98"/>
      <c r="U327" s="109"/>
      <c r="V327" s="103"/>
      <c r="W327" s="96"/>
      <c r="X327" s="109" t="s">
        <v>1440</v>
      </c>
      <c r="Y327" s="96"/>
      <c r="Z327" s="98"/>
      <c r="AA327" s="98"/>
      <c r="AB327" s="98"/>
      <c r="AC327" s="98"/>
      <c r="AD327" s="98"/>
      <c r="AE327" s="98"/>
      <c r="AF327" s="98"/>
      <c r="AG327" s="98"/>
      <c r="AH327" s="98"/>
      <c r="AI327" s="98"/>
      <c r="AJ327" s="98"/>
      <c r="AK327" s="98"/>
      <c r="AL327" s="98"/>
      <c r="AM327" s="98"/>
      <c r="AN327" s="98"/>
      <c r="AO327" s="98"/>
      <c r="AP327" s="98"/>
      <c r="AQ327" s="98"/>
      <c r="AR327" s="98"/>
      <c r="AS327" s="98"/>
    </row>
    <row r="328" spans="1:45" s="4" customFormat="1">
      <c r="A328" s="111" t="s">
        <v>919</v>
      </c>
      <c r="B328" s="94">
        <v>680487046373</v>
      </c>
      <c r="C328" s="98" t="s">
        <v>920</v>
      </c>
      <c r="D328">
        <v>0</v>
      </c>
      <c r="E328" s="96"/>
      <c r="F328" s="97"/>
      <c r="G328" s="98"/>
      <c r="H328" s="99" t="s">
        <v>162</v>
      </c>
      <c r="I328" s="98"/>
      <c r="J328" s="101"/>
      <c r="K328" s="102"/>
      <c r="L328" s="102"/>
      <c r="M328" s="102"/>
      <c r="N328" s="98"/>
      <c r="O328" s="98"/>
      <c r="P328" s="98"/>
      <c r="Q328" s="98"/>
      <c r="R328" s="98"/>
      <c r="S328" s="98"/>
      <c r="T328" s="98"/>
      <c r="U328" s="109"/>
      <c r="V328" s="103"/>
      <c r="W328" s="96"/>
      <c r="X328" s="109" t="s">
        <v>1440</v>
      </c>
      <c r="Y328" s="96"/>
      <c r="Z328" s="98"/>
      <c r="AA328" s="98"/>
      <c r="AB328" s="98"/>
      <c r="AC328" s="98"/>
      <c r="AD328" s="98"/>
      <c r="AE328" s="98"/>
      <c r="AF328" s="98"/>
      <c r="AG328" s="98"/>
      <c r="AH328" s="98"/>
      <c r="AI328" s="98"/>
      <c r="AJ328" s="98"/>
      <c r="AK328" s="98"/>
      <c r="AL328" s="98"/>
      <c r="AM328" s="98"/>
      <c r="AN328" s="98"/>
      <c r="AO328" s="98"/>
      <c r="AP328" s="98"/>
      <c r="AQ328" s="98"/>
      <c r="AR328" s="98"/>
      <c r="AS328" s="98"/>
    </row>
    <row r="329" spans="1:45" s="4" customFormat="1">
      <c r="A329" s="111" t="s">
        <v>919</v>
      </c>
      <c r="B329" s="94">
        <v>680487043549</v>
      </c>
      <c r="C329" s="98" t="s">
        <v>920</v>
      </c>
      <c r="D329">
        <v>0</v>
      </c>
      <c r="E329" s="96"/>
      <c r="F329" s="97"/>
      <c r="G329" s="98"/>
      <c r="H329" s="99" t="s">
        <v>175</v>
      </c>
      <c r="I329" s="98"/>
      <c r="J329" s="101"/>
      <c r="K329" s="102"/>
      <c r="L329" s="102"/>
      <c r="M329" s="102"/>
      <c r="N329" s="98"/>
      <c r="O329" s="98"/>
      <c r="P329" s="98"/>
      <c r="Q329" s="98"/>
      <c r="R329" s="98"/>
      <c r="S329" s="98"/>
      <c r="T329" s="98"/>
      <c r="U329" s="109"/>
      <c r="V329" s="103"/>
      <c r="W329" s="96"/>
      <c r="X329" s="109" t="s">
        <v>1440</v>
      </c>
      <c r="Y329" s="96"/>
      <c r="Z329" s="98"/>
      <c r="AA329" s="98"/>
      <c r="AB329" s="98"/>
      <c r="AC329" s="98"/>
      <c r="AD329" s="98"/>
      <c r="AE329" s="98"/>
      <c r="AF329" s="98"/>
      <c r="AG329" s="98"/>
      <c r="AH329" s="98"/>
      <c r="AI329" s="98"/>
      <c r="AJ329" s="98"/>
      <c r="AK329" s="98"/>
      <c r="AL329" s="98"/>
      <c r="AM329" s="98"/>
      <c r="AN329" s="98"/>
      <c r="AO329" s="98"/>
      <c r="AP329" s="98"/>
      <c r="AQ329" s="98"/>
      <c r="AR329" s="98"/>
      <c r="AS329" s="98"/>
    </row>
    <row r="330" spans="1:45" s="4" customFormat="1">
      <c r="A330" s="111" t="s">
        <v>919</v>
      </c>
      <c r="B330" s="94">
        <v>680487043594</v>
      </c>
      <c r="C330" s="98" t="s">
        <v>920</v>
      </c>
      <c r="D330">
        <v>0</v>
      </c>
      <c r="E330" s="96"/>
      <c r="F330" s="97"/>
      <c r="G330" s="98"/>
      <c r="H330" s="99" t="s">
        <v>198</v>
      </c>
      <c r="I330" s="98"/>
      <c r="J330" s="101"/>
      <c r="K330" s="102"/>
      <c r="L330" s="102"/>
      <c r="M330" s="102"/>
      <c r="N330" s="98"/>
      <c r="O330" s="98"/>
      <c r="P330" s="98"/>
      <c r="Q330" s="98"/>
      <c r="R330" s="98"/>
      <c r="S330" s="98"/>
      <c r="T330" s="98"/>
      <c r="U330" s="109"/>
      <c r="V330" s="103"/>
      <c r="W330" s="96"/>
      <c r="X330" s="109" t="s">
        <v>1440</v>
      </c>
      <c r="Y330" s="96"/>
      <c r="Z330" s="98"/>
      <c r="AA330" s="98"/>
      <c r="AB330" s="98"/>
      <c r="AC330" s="98"/>
      <c r="AD330" s="98"/>
      <c r="AE330" s="98"/>
      <c r="AF330" s="98"/>
      <c r="AG330" s="98"/>
      <c r="AH330" s="98"/>
      <c r="AI330" s="98"/>
      <c r="AJ330" s="98"/>
      <c r="AK330" s="98"/>
      <c r="AL330" s="98"/>
      <c r="AM330" s="98"/>
      <c r="AN330" s="98"/>
      <c r="AO330" s="98"/>
      <c r="AP330" s="98"/>
      <c r="AQ330" s="98"/>
      <c r="AR330" s="98"/>
      <c r="AS330" s="98"/>
    </row>
    <row r="331" spans="1:45" s="4" customFormat="1">
      <c r="A331" s="111" t="s">
        <v>919</v>
      </c>
      <c r="B331" s="94">
        <v>680487086072</v>
      </c>
      <c r="C331" s="98" t="s">
        <v>920</v>
      </c>
      <c r="D331">
        <v>0</v>
      </c>
      <c r="E331" s="96"/>
      <c r="F331" s="97"/>
      <c r="G331" s="98"/>
      <c r="H331" s="99" t="s">
        <v>203</v>
      </c>
      <c r="I331" s="98"/>
      <c r="J331" s="101"/>
      <c r="K331" s="102"/>
      <c r="L331" s="102"/>
      <c r="M331" s="102"/>
      <c r="N331" s="98"/>
      <c r="O331" s="98"/>
      <c r="P331" s="98"/>
      <c r="Q331" s="98"/>
      <c r="R331" s="98"/>
      <c r="S331" s="98"/>
      <c r="T331" s="98"/>
      <c r="U331" s="109"/>
      <c r="V331" s="103"/>
      <c r="W331" s="96"/>
      <c r="X331" s="109" t="s">
        <v>1440</v>
      </c>
      <c r="Y331" s="96"/>
      <c r="Z331" s="98"/>
      <c r="AA331" s="98"/>
      <c r="AB331" s="98"/>
      <c r="AC331" s="98"/>
      <c r="AD331" s="98"/>
      <c r="AE331" s="98"/>
      <c r="AF331" s="98"/>
      <c r="AG331" s="98"/>
      <c r="AH331" s="98"/>
      <c r="AI331" s="98"/>
      <c r="AJ331" s="98"/>
      <c r="AK331" s="98"/>
      <c r="AL331" s="98"/>
      <c r="AM331" s="98"/>
      <c r="AN331" s="98"/>
      <c r="AO331" s="98"/>
      <c r="AP331" s="98"/>
      <c r="AQ331" s="98"/>
      <c r="AR331" s="98"/>
      <c r="AS331" s="98"/>
    </row>
    <row r="332" spans="1:45" s="4" customFormat="1">
      <c r="A332" s="111" t="s">
        <v>919</v>
      </c>
      <c r="B332" s="94">
        <v>680487085990</v>
      </c>
      <c r="C332" s="98" t="s">
        <v>920</v>
      </c>
      <c r="D332">
        <v>0</v>
      </c>
      <c r="E332" s="96"/>
      <c r="F332" s="97"/>
      <c r="G332" s="98"/>
      <c r="H332" s="99" t="s">
        <v>193</v>
      </c>
      <c r="I332" s="98"/>
      <c r="J332" s="101"/>
      <c r="K332" s="102"/>
      <c r="L332" s="102"/>
      <c r="M332" s="102"/>
      <c r="N332" s="98"/>
      <c r="O332" s="98"/>
      <c r="P332" s="98"/>
      <c r="Q332" s="98"/>
      <c r="R332" s="98"/>
      <c r="S332" s="98"/>
      <c r="T332" s="98"/>
      <c r="U332" s="109"/>
      <c r="V332" s="103"/>
      <c r="W332" s="96"/>
      <c r="X332" s="109" t="s">
        <v>1440</v>
      </c>
      <c r="Y332" s="96"/>
      <c r="Z332" s="98"/>
      <c r="AA332" s="98"/>
      <c r="AB332" s="98"/>
      <c r="AC332" s="98"/>
      <c r="AD332" s="98"/>
      <c r="AE332" s="98"/>
      <c r="AF332" s="98"/>
      <c r="AG332" s="98"/>
      <c r="AH332" s="98"/>
      <c r="AI332" s="98"/>
      <c r="AJ332" s="98"/>
      <c r="AK332" s="98"/>
      <c r="AL332" s="98"/>
      <c r="AM332" s="98"/>
      <c r="AN332" s="98"/>
      <c r="AO332" s="98"/>
      <c r="AP332" s="98"/>
      <c r="AQ332" s="98"/>
      <c r="AR332" s="98"/>
      <c r="AS332" s="98"/>
    </row>
    <row r="333" spans="1:45" s="4" customFormat="1">
      <c r="A333" s="111" t="s">
        <v>919</v>
      </c>
      <c r="B333" s="94">
        <v>680487046274</v>
      </c>
      <c r="C333" s="98" t="s">
        <v>920</v>
      </c>
      <c r="D333">
        <v>0</v>
      </c>
      <c r="E333" s="96"/>
      <c r="F333" s="97"/>
      <c r="G333" s="98"/>
      <c r="H333" s="99" t="s">
        <v>208</v>
      </c>
      <c r="I333" s="98"/>
      <c r="J333" s="101"/>
      <c r="K333" s="102"/>
      <c r="L333" s="102"/>
      <c r="M333" s="102"/>
      <c r="N333" s="98"/>
      <c r="O333" s="98"/>
      <c r="P333" s="98"/>
      <c r="Q333" s="98"/>
      <c r="R333" s="98"/>
      <c r="S333" s="98"/>
      <c r="T333" s="98"/>
      <c r="U333" s="109"/>
      <c r="V333" s="103"/>
      <c r="W333" s="96"/>
      <c r="X333" s="109" t="s">
        <v>1440</v>
      </c>
      <c r="Y333" s="96"/>
      <c r="Z333" s="98"/>
      <c r="AA333" s="98"/>
      <c r="AB333" s="98"/>
      <c r="AC333" s="98"/>
      <c r="AD333" s="98"/>
      <c r="AE333" s="98"/>
      <c r="AF333" s="98"/>
      <c r="AG333" s="98"/>
      <c r="AH333" s="98"/>
      <c r="AI333" s="98"/>
      <c r="AJ333" s="98"/>
      <c r="AK333" s="98"/>
      <c r="AL333" s="98"/>
      <c r="AM333" s="98"/>
      <c r="AN333" s="98"/>
      <c r="AO333" s="98"/>
      <c r="AP333" s="98"/>
      <c r="AQ333" s="98"/>
      <c r="AR333" s="98"/>
      <c r="AS333" s="98"/>
    </row>
    <row r="334" spans="1:45" s="4" customFormat="1">
      <c r="A334" s="111" t="s">
        <v>919</v>
      </c>
      <c r="B334" s="94">
        <v>680487043587</v>
      </c>
      <c r="C334" s="98" t="s">
        <v>920</v>
      </c>
      <c r="D334">
        <v>0</v>
      </c>
      <c r="E334" s="96"/>
      <c r="F334" s="97"/>
      <c r="G334" s="98"/>
      <c r="H334" s="99" t="s">
        <v>184</v>
      </c>
      <c r="I334" s="98"/>
      <c r="J334" s="101"/>
      <c r="K334" s="102"/>
      <c r="L334" s="102"/>
      <c r="M334" s="102"/>
      <c r="N334" s="98"/>
      <c r="O334" s="98"/>
      <c r="P334" s="98"/>
      <c r="Q334" s="98"/>
      <c r="R334" s="98"/>
      <c r="S334" s="98"/>
      <c r="T334" s="98"/>
      <c r="U334" s="109"/>
      <c r="V334" s="103"/>
      <c r="W334" s="96"/>
      <c r="X334" s="109" t="s">
        <v>1440</v>
      </c>
      <c r="Y334" s="96"/>
      <c r="Z334" s="98"/>
      <c r="AA334" s="98"/>
      <c r="AB334" s="98"/>
      <c r="AC334" s="98"/>
      <c r="AD334" s="98"/>
      <c r="AE334" s="98"/>
      <c r="AF334" s="98"/>
      <c r="AG334" s="98"/>
      <c r="AH334" s="98"/>
      <c r="AI334" s="98"/>
      <c r="AJ334" s="98"/>
      <c r="AK334" s="98"/>
      <c r="AL334" s="98"/>
      <c r="AM334" s="98"/>
      <c r="AN334" s="98"/>
      <c r="AO334" s="98"/>
      <c r="AP334" s="98"/>
      <c r="AQ334" s="98"/>
      <c r="AR334" s="98"/>
      <c r="AS334" s="98"/>
    </row>
    <row r="335" spans="1:45" s="4" customFormat="1">
      <c r="A335" s="111" t="s">
        <v>919</v>
      </c>
      <c r="B335" s="94">
        <v>680487043648</v>
      </c>
      <c r="C335" s="98" t="s">
        <v>920</v>
      </c>
      <c r="D335">
        <v>0</v>
      </c>
      <c r="E335" s="96"/>
      <c r="F335" s="97"/>
      <c r="G335" s="98"/>
      <c r="H335" s="99" t="s">
        <v>185</v>
      </c>
      <c r="I335" s="98"/>
      <c r="J335" s="101"/>
      <c r="K335" s="102"/>
      <c r="L335" s="102"/>
      <c r="M335" s="102"/>
      <c r="N335" s="98"/>
      <c r="O335" s="98"/>
      <c r="P335" s="98"/>
      <c r="Q335" s="98"/>
      <c r="R335" s="98"/>
      <c r="S335" s="98"/>
      <c r="T335" s="98"/>
      <c r="U335" s="109"/>
      <c r="V335" s="103"/>
      <c r="W335" s="96"/>
      <c r="X335" s="109" t="s">
        <v>1440</v>
      </c>
      <c r="Y335" s="96"/>
      <c r="Z335" s="98"/>
      <c r="AA335" s="98"/>
      <c r="AB335" s="98"/>
      <c r="AC335" s="98"/>
      <c r="AD335" s="98"/>
      <c r="AE335" s="98"/>
      <c r="AF335" s="98"/>
      <c r="AG335" s="98"/>
      <c r="AH335" s="98"/>
      <c r="AI335" s="98"/>
      <c r="AJ335" s="98"/>
      <c r="AK335" s="98"/>
      <c r="AL335" s="98"/>
      <c r="AM335" s="98"/>
      <c r="AN335" s="98"/>
      <c r="AO335" s="98"/>
      <c r="AP335" s="98"/>
      <c r="AQ335" s="98"/>
      <c r="AR335" s="98"/>
      <c r="AS335" s="98"/>
    </row>
    <row r="336" spans="1:45" s="4" customFormat="1">
      <c r="A336" s="111" t="s">
        <v>919</v>
      </c>
      <c r="B336" s="94">
        <v>680487086003</v>
      </c>
      <c r="C336" s="98" t="s">
        <v>920</v>
      </c>
      <c r="D336">
        <v>0</v>
      </c>
      <c r="E336" s="96"/>
      <c r="F336" s="97"/>
      <c r="G336" s="98"/>
      <c r="H336" s="99" t="s">
        <v>554</v>
      </c>
      <c r="I336" s="98"/>
      <c r="J336" s="101"/>
      <c r="K336" s="102"/>
      <c r="L336" s="102"/>
      <c r="M336" s="102"/>
      <c r="N336" s="98"/>
      <c r="O336" s="98"/>
      <c r="P336" s="98"/>
      <c r="Q336" s="98"/>
      <c r="R336" s="98"/>
      <c r="S336" s="98"/>
      <c r="T336" s="98"/>
      <c r="U336" s="109"/>
      <c r="V336" s="103"/>
      <c r="W336" s="96"/>
      <c r="X336" s="109" t="s">
        <v>1440</v>
      </c>
      <c r="Y336" s="96"/>
      <c r="Z336" s="98"/>
      <c r="AA336" s="98"/>
      <c r="AB336" s="98"/>
      <c r="AC336" s="98"/>
      <c r="AD336" s="98"/>
      <c r="AE336" s="98"/>
      <c r="AF336" s="98"/>
      <c r="AG336" s="98"/>
      <c r="AH336" s="98"/>
      <c r="AI336" s="98"/>
      <c r="AJ336" s="98"/>
      <c r="AK336" s="98"/>
      <c r="AL336" s="98"/>
      <c r="AM336" s="98"/>
      <c r="AN336" s="98"/>
      <c r="AO336" s="98"/>
      <c r="AP336" s="98"/>
      <c r="AQ336" s="98"/>
      <c r="AR336" s="98"/>
      <c r="AS336" s="98"/>
    </row>
    <row r="337" spans="1:45" s="4" customFormat="1">
      <c r="A337" s="111" t="s">
        <v>919</v>
      </c>
      <c r="B337" s="94">
        <v>680487043457</v>
      </c>
      <c r="C337" s="98" t="s">
        <v>920</v>
      </c>
      <c r="D337">
        <v>0</v>
      </c>
      <c r="E337" s="96"/>
      <c r="F337" s="97"/>
      <c r="G337" s="98"/>
      <c r="H337" s="99" t="s">
        <v>182</v>
      </c>
      <c r="I337" s="98"/>
      <c r="J337" s="101"/>
      <c r="K337" s="102"/>
      <c r="L337" s="102"/>
      <c r="M337" s="102"/>
      <c r="N337" s="98"/>
      <c r="O337" s="98"/>
      <c r="P337" s="98"/>
      <c r="Q337" s="98"/>
      <c r="R337" s="98"/>
      <c r="S337" s="98"/>
      <c r="T337" s="98"/>
      <c r="U337" s="109"/>
      <c r="V337" s="103"/>
      <c r="W337" s="96"/>
      <c r="X337" s="109" t="s">
        <v>1440</v>
      </c>
      <c r="Y337" s="96"/>
      <c r="Z337" s="98"/>
      <c r="AA337" s="98"/>
      <c r="AB337" s="98"/>
      <c r="AC337" s="98"/>
      <c r="AD337" s="98"/>
      <c r="AE337" s="98"/>
      <c r="AF337" s="98"/>
      <c r="AG337" s="98"/>
      <c r="AH337" s="98"/>
      <c r="AI337" s="98"/>
      <c r="AJ337" s="98"/>
      <c r="AK337" s="98"/>
      <c r="AL337" s="98"/>
      <c r="AM337" s="98"/>
      <c r="AN337" s="98"/>
      <c r="AO337" s="98"/>
      <c r="AP337" s="98"/>
      <c r="AQ337" s="98"/>
      <c r="AR337" s="98"/>
      <c r="AS337" s="98"/>
    </row>
    <row r="338" spans="1:45" s="4" customFormat="1">
      <c r="A338" s="111" t="s">
        <v>919</v>
      </c>
      <c r="B338" s="94">
        <v>680487043730</v>
      </c>
      <c r="C338" s="98" t="s">
        <v>920</v>
      </c>
      <c r="D338">
        <v>0</v>
      </c>
      <c r="E338" s="96"/>
      <c r="F338" s="97"/>
      <c r="G338" s="98"/>
      <c r="H338" s="99" t="s">
        <v>183</v>
      </c>
      <c r="I338" s="98"/>
      <c r="J338" s="101"/>
      <c r="K338" s="102"/>
      <c r="L338" s="102"/>
      <c r="M338" s="102"/>
      <c r="N338" s="98"/>
      <c r="O338" s="98"/>
      <c r="P338" s="98"/>
      <c r="Q338" s="98"/>
      <c r="R338" s="98"/>
      <c r="S338" s="98"/>
      <c r="T338" s="98"/>
      <c r="U338" s="109"/>
      <c r="V338" s="103"/>
      <c r="W338" s="96"/>
      <c r="X338" s="109" t="s">
        <v>1440</v>
      </c>
      <c r="Y338" s="96"/>
      <c r="Z338" s="98"/>
      <c r="AA338" s="98"/>
      <c r="AB338" s="98"/>
      <c r="AC338" s="98"/>
      <c r="AD338" s="98"/>
      <c r="AE338" s="98"/>
      <c r="AF338" s="98"/>
      <c r="AG338" s="98"/>
      <c r="AH338" s="98"/>
      <c r="AI338" s="98"/>
      <c r="AJ338" s="98"/>
      <c r="AK338" s="98"/>
      <c r="AL338" s="98"/>
      <c r="AM338" s="98"/>
      <c r="AN338" s="98"/>
      <c r="AO338" s="98"/>
      <c r="AP338" s="98"/>
      <c r="AQ338" s="98"/>
      <c r="AR338" s="98"/>
      <c r="AS338" s="98"/>
    </row>
    <row r="339" spans="1:45" s="4" customFormat="1">
      <c r="A339" s="111" t="s">
        <v>919</v>
      </c>
      <c r="B339" s="94">
        <v>680487043563</v>
      </c>
      <c r="C339" s="98" t="s">
        <v>920</v>
      </c>
      <c r="D339">
        <v>0</v>
      </c>
      <c r="E339" s="96"/>
      <c r="F339" s="97"/>
      <c r="G339" s="98"/>
      <c r="H339" s="99" t="s">
        <v>179</v>
      </c>
      <c r="I339" s="98"/>
      <c r="J339" s="101"/>
      <c r="K339" s="102"/>
      <c r="L339" s="102"/>
      <c r="M339" s="102"/>
      <c r="N339" s="98"/>
      <c r="O339" s="98"/>
      <c r="P339" s="98"/>
      <c r="Q339" s="98"/>
      <c r="R339" s="98"/>
      <c r="S339" s="98"/>
      <c r="T339" s="98"/>
      <c r="U339" s="109"/>
      <c r="V339" s="103"/>
      <c r="W339" s="96"/>
      <c r="X339" s="109" t="s">
        <v>1440</v>
      </c>
      <c r="Y339" s="96"/>
      <c r="Z339" s="98"/>
      <c r="AA339" s="98"/>
      <c r="AB339" s="98"/>
      <c r="AC339" s="98"/>
      <c r="AD339" s="98"/>
      <c r="AE339" s="98"/>
      <c r="AF339" s="98"/>
      <c r="AG339" s="98"/>
      <c r="AH339" s="98"/>
      <c r="AI339" s="98"/>
      <c r="AJ339" s="98"/>
      <c r="AK339" s="98"/>
      <c r="AL339" s="98"/>
      <c r="AM339" s="98"/>
      <c r="AN339" s="98"/>
      <c r="AO339" s="98"/>
      <c r="AP339" s="98"/>
      <c r="AQ339" s="98"/>
      <c r="AR339" s="98"/>
      <c r="AS339" s="98"/>
    </row>
    <row r="340" spans="1:45" s="4" customFormat="1">
      <c r="A340" s="111" t="s">
        <v>919</v>
      </c>
      <c r="B340" s="94">
        <v>680487043471</v>
      </c>
      <c r="C340" s="98" t="s">
        <v>920</v>
      </c>
      <c r="D340">
        <v>0</v>
      </c>
      <c r="E340" s="96"/>
      <c r="F340" s="97"/>
      <c r="G340" s="98"/>
      <c r="H340" s="99" t="s">
        <v>178</v>
      </c>
      <c r="I340" s="98"/>
      <c r="J340" s="101"/>
      <c r="K340" s="102"/>
      <c r="L340" s="102"/>
      <c r="M340" s="102"/>
      <c r="N340" s="98"/>
      <c r="O340" s="98"/>
      <c r="P340" s="98"/>
      <c r="Q340" s="98"/>
      <c r="R340" s="98"/>
      <c r="S340" s="98"/>
      <c r="T340" s="98"/>
      <c r="U340" s="109"/>
      <c r="V340" s="103"/>
      <c r="W340" s="96"/>
      <c r="X340" s="109" t="s">
        <v>1440</v>
      </c>
      <c r="Y340" s="96"/>
      <c r="Z340" s="98"/>
      <c r="AA340" s="98"/>
      <c r="AB340" s="98"/>
      <c r="AC340" s="98"/>
      <c r="AD340" s="98"/>
      <c r="AE340" s="98"/>
      <c r="AF340" s="98"/>
      <c r="AG340" s="98"/>
      <c r="AH340" s="98"/>
      <c r="AI340" s="98"/>
      <c r="AJ340" s="98"/>
      <c r="AK340" s="98"/>
      <c r="AL340" s="98"/>
      <c r="AM340" s="98"/>
      <c r="AN340" s="98"/>
      <c r="AO340" s="98"/>
      <c r="AP340" s="98"/>
      <c r="AQ340" s="98"/>
      <c r="AR340" s="98"/>
      <c r="AS340" s="98"/>
    </row>
    <row r="341" spans="1:45" s="4" customFormat="1">
      <c r="A341" s="111" t="s">
        <v>919</v>
      </c>
      <c r="B341" s="94">
        <v>680487046281</v>
      </c>
      <c r="C341" s="98" t="s">
        <v>920</v>
      </c>
      <c r="D341">
        <v>0</v>
      </c>
      <c r="E341" s="96"/>
      <c r="F341" s="97"/>
      <c r="G341" s="98"/>
      <c r="H341" s="99" t="s">
        <v>207</v>
      </c>
      <c r="I341" s="98"/>
      <c r="J341" s="101"/>
      <c r="K341" s="102"/>
      <c r="L341" s="102"/>
      <c r="M341" s="102"/>
      <c r="N341" s="98"/>
      <c r="O341" s="98"/>
      <c r="P341" s="98"/>
      <c r="Q341" s="98"/>
      <c r="R341" s="98"/>
      <c r="S341" s="98"/>
      <c r="T341" s="98"/>
      <c r="U341" s="109"/>
      <c r="V341" s="103"/>
      <c r="W341" s="96"/>
      <c r="X341" s="109" t="s">
        <v>1440</v>
      </c>
      <c r="Y341" s="96"/>
      <c r="Z341" s="98"/>
      <c r="AA341" s="98"/>
      <c r="AB341" s="98"/>
      <c r="AC341" s="98"/>
      <c r="AD341" s="98"/>
      <c r="AE341" s="98"/>
      <c r="AF341" s="98"/>
      <c r="AG341" s="98"/>
      <c r="AH341" s="98"/>
      <c r="AI341" s="98"/>
      <c r="AJ341" s="98"/>
      <c r="AK341" s="98"/>
      <c r="AL341" s="98"/>
      <c r="AM341" s="98"/>
      <c r="AN341" s="98"/>
      <c r="AO341" s="98"/>
      <c r="AP341" s="98"/>
      <c r="AQ341" s="98"/>
      <c r="AR341" s="98"/>
      <c r="AS341" s="98"/>
    </row>
    <row r="342" spans="1:45" s="4" customFormat="1">
      <c r="A342" s="111" t="s">
        <v>919</v>
      </c>
      <c r="B342" s="94">
        <v>680487043679</v>
      </c>
      <c r="C342" s="98" t="s">
        <v>920</v>
      </c>
      <c r="D342">
        <v>0</v>
      </c>
      <c r="E342" s="96"/>
      <c r="F342" s="97"/>
      <c r="G342" s="98"/>
      <c r="H342" s="99" t="s">
        <v>190</v>
      </c>
      <c r="I342" s="98"/>
      <c r="J342" s="101"/>
      <c r="K342" s="102"/>
      <c r="L342" s="102"/>
      <c r="M342" s="102"/>
      <c r="N342" s="98"/>
      <c r="O342" s="98"/>
      <c r="P342" s="98"/>
      <c r="Q342" s="98"/>
      <c r="R342" s="98"/>
      <c r="S342" s="98"/>
      <c r="T342" s="98"/>
      <c r="U342" s="109"/>
      <c r="V342" s="103"/>
      <c r="W342" s="96"/>
      <c r="X342" s="109" t="s">
        <v>1440</v>
      </c>
      <c r="Y342" s="96"/>
      <c r="Z342" s="98"/>
      <c r="AA342" s="98"/>
      <c r="AB342" s="98"/>
      <c r="AC342" s="98"/>
      <c r="AD342" s="98"/>
      <c r="AE342" s="98"/>
      <c r="AF342" s="98"/>
      <c r="AG342" s="98"/>
      <c r="AH342" s="98"/>
      <c r="AI342" s="98"/>
      <c r="AJ342" s="98"/>
      <c r="AK342" s="98"/>
      <c r="AL342" s="98"/>
      <c r="AM342" s="98"/>
      <c r="AN342" s="98"/>
      <c r="AO342" s="98"/>
      <c r="AP342" s="98"/>
      <c r="AQ342" s="98"/>
      <c r="AR342" s="98"/>
      <c r="AS342" s="98"/>
    </row>
    <row r="343" spans="1:45" s="4" customFormat="1">
      <c r="A343" s="111" t="s">
        <v>919</v>
      </c>
      <c r="B343" s="94">
        <v>680487046298</v>
      </c>
      <c r="C343" s="98" t="s">
        <v>920</v>
      </c>
      <c r="D343">
        <v>0</v>
      </c>
      <c r="E343" s="96"/>
      <c r="F343" s="97"/>
      <c r="G343" s="98"/>
      <c r="H343" s="99" t="s">
        <v>199</v>
      </c>
      <c r="I343" s="98"/>
      <c r="J343" s="101"/>
      <c r="K343" s="102"/>
      <c r="L343" s="102"/>
      <c r="M343" s="102"/>
      <c r="N343" s="98"/>
      <c r="O343" s="98"/>
      <c r="P343" s="98"/>
      <c r="Q343" s="98"/>
      <c r="R343" s="98"/>
      <c r="S343" s="98"/>
      <c r="T343" s="98"/>
      <c r="U343" s="109"/>
      <c r="V343" s="103"/>
      <c r="W343" s="96"/>
      <c r="X343" s="109" t="s">
        <v>1440</v>
      </c>
      <c r="Y343" s="96"/>
      <c r="Z343" s="98"/>
      <c r="AA343" s="98"/>
      <c r="AB343" s="98"/>
      <c r="AC343" s="98"/>
      <c r="AD343" s="98"/>
      <c r="AE343" s="98"/>
      <c r="AF343" s="98"/>
      <c r="AG343" s="98"/>
      <c r="AH343" s="98"/>
      <c r="AI343" s="98"/>
      <c r="AJ343" s="98"/>
      <c r="AK343" s="98"/>
      <c r="AL343" s="98"/>
      <c r="AM343" s="98"/>
      <c r="AN343" s="98"/>
      <c r="AO343" s="98"/>
      <c r="AP343" s="98"/>
      <c r="AQ343" s="98"/>
      <c r="AR343" s="98"/>
      <c r="AS343" s="98"/>
    </row>
    <row r="344" spans="1:45" s="4" customFormat="1">
      <c r="A344" s="111" t="s">
        <v>919</v>
      </c>
      <c r="B344" s="94">
        <v>680487043464</v>
      </c>
      <c r="C344" s="98" t="s">
        <v>920</v>
      </c>
      <c r="D344">
        <v>0</v>
      </c>
      <c r="E344" s="96"/>
      <c r="F344" s="97"/>
      <c r="G344" s="98"/>
      <c r="H344" s="99" t="s">
        <v>188</v>
      </c>
      <c r="I344" s="98"/>
      <c r="J344" s="101"/>
      <c r="K344" s="102"/>
      <c r="L344" s="102"/>
      <c r="M344" s="102"/>
      <c r="N344" s="98"/>
      <c r="O344" s="98"/>
      <c r="P344" s="98"/>
      <c r="Q344" s="98"/>
      <c r="R344" s="98"/>
      <c r="S344" s="98"/>
      <c r="T344" s="98"/>
      <c r="U344" s="109"/>
      <c r="V344" s="103"/>
      <c r="W344" s="96"/>
      <c r="X344" s="109" t="s">
        <v>1440</v>
      </c>
      <c r="Y344" s="96"/>
      <c r="Z344" s="98"/>
      <c r="AA344" s="98"/>
      <c r="AB344" s="98"/>
      <c r="AC344" s="98"/>
      <c r="AD344" s="98"/>
      <c r="AE344" s="98"/>
      <c r="AF344" s="98"/>
      <c r="AG344" s="98"/>
      <c r="AH344" s="98"/>
      <c r="AI344" s="98"/>
      <c r="AJ344" s="98"/>
      <c r="AK344" s="98"/>
      <c r="AL344" s="98"/>
      <c r="AM344" s="98"/>
      <c r="AN344" s="98"/>
      <c r="AO344" s="98"/>
      <c r="AP344" s="98"/>
      <c r="AQ344" s="98"/>
      <c r="AR344" s="98"/>
      <c r="AS344" s="98"/>
    </row>
    <row r="345" spans="1:45" s="4" customFormat="1">
      <c r="A345" s="111" t="s">
        <v>919</v>
      </c>
      <c r="B345" s="94">
        <v>680487043655</v>
      </c>
      <c r="C345" s="98" t="s">
        <v>920</v>
      </c>
      <c r="D345">
        <v>0</v>
      </c>
      <c r="E345" s="96"/>
      <c r="F345" s="97"/>
      <c r="G345" s="98"/>
      <c r="H345" s="99" t="s">
        <v>187</v>
      </c>
      <c r="I345" s="98"/>
      <c r="J345" s="101"/>
      <c r="K345" s="102"/>
      <c r="L345" s="102"/>
      <c r="M345" s="102"/>
      <c r="N345" s="98"/>
      <c r="O345" s="98"/>
      <c r="P345" s="98"/>
      <c r="Q345" s="98"/>
      <c r="R345" s="98"/>
      <c r="S345" s="98"/>
      <c r="T345" s="98"/>
      <c r="U345" s="109"/>
      <c r="V345" s="103"/>
      <c r="W345" s="96"/>
      <c r="X345" s="109" t="s">
        <v>1440</v>
      </c>
      <c r="Y345" s="96"/>
      <c r="Z345" s="98"/>
      <c r="AA345" s="98"/>
      <c r="AB345" s="98"/>
      <c r="AC345" s="98"/>
      <c r="AD345" s="98"/>
      <c r="AE345" s="98"/>
      <c r="AF345" s="98"/>
      <c r="AG345" s="98"/>
      <c r="AH345" s="98"/>
      <c r="AI345" s="98"/>
      <c r="AJ345" s="98"/>
      <c r="AK345" s="98"/>
      <c r="AL345" s="98"/>
      <c r="AM345" s="98"/>
      <c r="AN345" s="98"/>
      <c r="AO345" s="98"/>
      <c r="AP345" s="98"/>
      <c r="AQ345" s="98"/>
      <c r="AR345" s="98"/>
      <c r="AS345" s="98"/>
    </row>
    <row r="346" spans="1:45" s="4" customFormat="1">
      <c r="A346" s="111" t="s">
        <v>919</v>
      </c>
      <c r="B346" s="94">
        <v>680487046359</v>
      </c>
      <c r="C346" s="98" t="s">
        <v>920</v>
      </c>
      <c r="D346">
        <v>0</v>
      </c>
      <c r="E346" s="96"/>
      <c r="F346" s="97"/>
      <c r="G346" s="98"/>
      <c r="H346" s="99" t="s">
        <v>181</v>
      </c>
      <c r="I346" s="98"/>
      <c r="J346" s="101"/>
      <c r="K346" s="102"/>
      <c r="L346" s="102"/>
      <c r="M346" s="102"/>
      <c r="N346" s="98"/>
      <c r="O346" s="98"/>
      <c r="P346" s="98"/>
      <c r="Q346" s="98"/>
      <c r="R346" s="98"/>
      <c r="S346" s="98"/>
      <c r="T346" s="98"/>
      <c r="U346" s="109"/>
      <c r="V346" s="103"/>
      <c r="W346" s="96"/>
      <c r="X346" s="109" t="s">
        <v>1440</v>
      </c>
      <c r="Y346" s="96"/>
      <c r="Z346" s="98"/>
      <c r="AA346" s="98"/>
      <c r="AB346" s="98"/>
      <c r="AC346" s="98"/>
      <c r="AD346" s="98"/>
      <c r="AE346" s="98"/>
      <c r="AF346" s="98"/>
      <c r="AG346" s="98"/>
      <c r="AH346" s="98"/>
      <c r="AI346" s="98"/>
      <c r="AJ346" s="98"/>
      <c r="AK346" s="98"/>
      <c r="AL346" s="98"/>
      <c r="AM346" s="98"/>
      <c r="AN346" s="98"/>
      <c r="AO346" s="98"/>
      <c r="AP346" s="98"/>
      <c r="AQ346" s="98"/>
      <c r="AR346" s="98"/>
      <c r="AS346" s="98"/>
    </row>
    <row r="347" spans="1:45" s="4" customFormat="1">
      <c r="A347" s="111" t="s">
        <v>919</v>
      </c>
      <c r="B347" s="94">
        <v>680487046311</v>
      </c>
      <c r="C347" s="98" t="s">
        <v>920</v>
      </c>
      <c r="D347">
        <v>0</v>
      </c>
      <c r="E347" s="96"/>
      <c r="F347" s="97"/>
      <c r="G347" s="98"/>
      <c r="H347" s="99" t="s">
        <v>169</v>
      </c>
      <c r="I347" s="98"/>
      <c r="J347" s="101"/>
      <c r="K347" s="102"/>
      <c r="L347" s="102"/>
      <c r="M347" s="102"/>
      <c r="N347" s="98"/>
      <c r="O347" s="98"/>
      <c r="P347" s="98"/>
      <c r="Q347" s="98"/>
      <c r="R347" s="98"/>
      <c r="S347" s="98"/>
      <c r="T347" s="98"/>
      <c r="U347" s="109"/>
      <c r="V347" s="103"/>
      <c r="W347" s="96"/>
      <c r="X347" s="109" t="s">
        <v>1440</v>
      </c>
      <c r="Y347" s="96"/>
      <c r="Z347" s="98"/>
      <c r="AA347" s="98"/>
      <c r="AB347" s="98"/>
      <c r="AC347" s="98"/>
      <c r="AD347" s="98"/>
      <c r="AE347" s="98"/>
      <c r="AF347" s="98"/>
      <c r="AG347" s="98"/>
      <c r="AH347" s="98"/>
      <c r="AI347" s="98"/>
      <c r="AJ347" s="98"/>
      <c r="AK347" s="98"/>
      <c r="AL347" s="98"/>
      <c r="AM347" s="98"/>
      <c r="AN347" s="98"/>
      <c r="AO347" s="98"/>
      <c r="AP347" s="98"/>
      <c r="AQ347" s="98"/>
      <c r="AR347" s="98"/>
      <c r="AS347" s="98"/>
    </row>
    <row r="348" spans="1:45" s="4" customFormat="1">
      <c r="A348" s="111" t="s">
        <v>919</v>
      </c>
      <c r="B348" s="94">
        <v>680487043617</v>
      </c>
      <c r="C348" s="98" t="s">
        <v>920</v>
      </c>
      <c r="D348">
        <v>0</v>
      </c>
      <c r="E348" s="96"/>
      <c r="F348" s="97"/>
      <c r="G348" s="98"/>
      <c r="H348" s="99" t="s">
        <v>541</v>
      </c>
      <c r="I348" s="98"/>
      <c r="J348" s="101"/>
      <c r="K348" s="102"/>
      <c r="L348" s="102"/>
      <c r="M348" s="102"/>
      <c r="N348" s="98"/>
      <c r="O348" s="98"/>
      <c r="P348" s="98"/>
      <c r="Q348" s="98"/>
      <c r="R348" s="98"/>
      <c r="S348" s="98"/>
      <c r="T348" s="98"/>
      <c r="U348" s="109"/>
      <c r="V348" s="103"/>
      <c r="W348" s="96"/>
      <c r="X348" s="109" t="s">
        <v>1440</v>
      </c>
      <c r="Y348" s="96"/>
      <c r="Z348" s="98"/>
      <c r="AA348" s="98"/>
      <c r="AB348" s="98"/>
      <c r="AC348" s="98"/>
      <c r="AD348" s="98"/>
      <c r="AE348" s="98"/>
      <c r="AF348" s="98"/>
      <c r="AG348" s="98"/>
      <c r="AH348" s="98"/>
      <c r="AI348" s="98"/>
      <c r="AJ348" s="98"/>
      <c r="AK348" s="98"/>
      <c r="AL348" s="98"/>
      <c r="AM348" s="98"/>
      <c r="AN348" s="98"/>
      <c r="AO348" s="98"/>
      <c r="AP348" s="98"/>
      <c r="AQ348" s="98"/>
      <c r="AR348" s="98"/>
      <c r="AS348" s="98"/>
    </row>
    <row r="349" spans="1:45" s="4" customFormat="1">
      <c r="A349" s="111" t="s">
        <v>919</v>
      </c>
      <c r="B349" s="94">
        <v>680487043518</v>
      </c>
      <c r="C349" s="98" t="s">
        <v>920</v>
      </c>
      <c r="D349">
        <v>0</v>
      </c>
      <c r="E349" s="96"/>
      <c r="F349" s="97"/>
      <c r="G349" s="98"/>
      <c r="H349" s="99" t="s">
        <v>156</v>
      </c>
      <c r="I349" s="98"/>
      <c r="J349" s="101"/>
      <c r="K349" s="102"/>
      <c r="L349" s="102"/>
      <c r="M349" s="102"/>
      <c r="N349" s="98"/>
      <c r="O349" s="98"/>
      <c r="P349" s="98"/>
      <c r="Q349" s="98"/>
      <c r="R349" s="98"/>
      <c r="S349" s="98"/>
      <c r="T349" s="98"/>
      <c r="U349" s="109"/>
      <c r="V349" s="103"/>
      <c r="W349" s="96"/>
      <c r="X349" s="109" t="s">
        <v>1440</v>
      </c>
      <c r="Y349" s="96"/>
      <c r="Z349" s="98"/>
      <c r="AA349" s="98"/>
      <c r="AB349" s="98"/>
      <c r="AC349" s="98"/>
      <c r="AD349" s="98"/>
      <c r="AE349" s="98"/>
      <c r="AF349" s="98"/>
      <c r="AG349" s="98"/>
      <c r="AH349" s="98"/>
      <c r="AI349" s="98"/>
      <c r="AJ349" s="98"/>
      <c r="AK349" s="98"/>
      <c r="AL349" s="98"/>
      <c r="AM349" s="98"/>
      <c r="AN349" s="98"/>
      <c r="AO349" s="98"/>
      <c r="AP349" s="98"/>
      <c r="AQ349" s="98"/>
      <c r="AR349" s="98"/>
      <c r="AS349" s="98"/>
    </row>
    <row r="350" spans="1:45" s="4" customFormat="1">
      <c r="A350" s="111" t="s">
        <v>919</v>
      </c>
      <c r="B350" s="94">
        <v>680487043709</v>
      </c>
      <c r="C350" s="98" t="s">
        <v>920</v>
      </c>
      <c r="D350">
        <v>0</v>
      </c>
      <c r="E350" s="96"/>
      <c r="F350" s="97"/>
      <c r="G350" s="98"/>
      <c r="H350" s="99" t="s">
        <v>157</v>
      </c>
      <c r="I350" s="98"/>
      <c r="J350" s="101"/>
      <c r="K350" s="102"/>
      <c r="L350" s="102"/>
      <c r="M350" s="102"/>
      <c r="N350" s="98"/>
      <c r="O350" s="98"/>
      <c r="P350" s="98"/>
      <c r="Q350" s="98"/>
      <c r="R350" s="98"/>
      <c r="S350" s="98"/>
      <c r="T350" s="98"/>
      <c r="U350" s="109"/>
      <c r="V350" s="103"/>
      <c r="W350" s="96"/>
      <c r="X350" s="109" t="s">
        <v>1440</v>
      </c>
      <c r="Y350" s="96"/>
      <c r="Z350" s="98"/>
      <c r="AA350" s="98"/>
      <c r="AB350" s="98"/>
      <c r="AC350" s="98"/>
      <c r="AD350" s="98"/>
      <c r="AE350" s="98"/>
      <c r="AF350" s="98"/>
      <c r="AG350" s="98"/>
      <c r="AH350" s="98"/>
      <c r="AI350" s="98"/>
      <c r="AJ350" s="98"/>
      <c r="AK350" s="98"/>
      <c r="AL350" s="98"/>
      <c r="AM350" s="98"/>
      <c r="AN350" s="98"/>
      <c r="AO350" s="98"/>
      <c r="AP350" s="98"/>
      <c r="AQ350" s="98"/>
      <c r="AR350" s="98"/>
      <c r="AS350" s="98"/>
    </row>
    <row r="351" spans="1:45" s="4" customFormat="1">
      <c r="A351" s="111" t="s">
        <v>919</v>
      </c>
      <c r="B351" s="94">
        <v>680487043525</v>
      </c>
      <c r="C351" s="98" t="s">
        <v>920</v>
      </c>
      <c r="D351">
        <v>0</v>
      </c>
      <c r="E351" s="96"/>
      <c r="F351" s="97"/>
      <c r="G351" s="98"/>
      <c r="H351" s="99" t="s">
        <v>159</v>
      </c>
      <c r="I351" s="98"/>
      <c r="J351" s="101"/>
      <c r="K351" s="102"/>
      <c r="L351" s="102"/>
      <c r="M351" s="102"/>
      <c r="N351" s="98"/>
      <c r="O351" s="98"/>
      <c r="P351" s="98"/>
      <c r="Q351" s="98"/>
      <c r="R351" s="98"/>
      <c r="S351" s="98"/>
      <c r="T351" s="98"/>
      <c r="U351" s="109"/>
      <c r="V351" s="103"/>
      <c r="W351" s="96"/>
      <c r="X351" s="109" t="s">
        <v>1440</v>
      </c>
      <c r="Y351" s="96"/>
      <c r="Z351" s="98"/>
      <c r="AA351" s="98"/>
      <c r="AB351" s="98"/>
      <c r="AC351" s="98"/>
      <c r="AD351" s="98"/>
      <c r="AE351" s="98"/>
      <c r="AF351" s="98"/>
      <c r="AG351" s="98"/>
      <c r="AH351" s="98"/>
      <c r="AI351" s="98"/>
      <c r="AJ351" s="98"/>
      <c r="AK351" s="98"/>
      <c r="AL351" s="98"/>
      <c r="AM351" s="98"/>
      <c r="AN351" s="98"/>
      <c r="AO351" s="98"/>
      <c r="AP351" s="98"/>
      <c r="AQ351" s="98"/>
      <c r="AR351" s="98"/>
      <c r="AS351" s="98"/>
    </row>
    <row r="352" spans="1:45" s="4" customFormat="1">
      <c r="A352" s="111" t="s">
        <v>919</v>
      </c>
      <c r="B352" s="94">
        <v>680487086065</v>
      </c>
      <c r="C352" s="98" t="s">
        <v>920</v>
      </c>
      <c r="D352">
        <v>0</v>
      </c>
      <c r="E352" s="96"/>
      <c r="F352" s="97"/>
      <c r="G352" s="98"/>
      <c r="H352" s="99" t="s">
        <v>173</v>
      </c>
      <c r="I352" s="98"/>
      <c r="J352" s="101"/>
      <c r="K352" s="102"/>
      <c r="L352" s="102"/>
      <c r="M352" s="102"/>
      <c r="N352" s="98"/>
      <c r="O352" s="98"/>
      <c r="P352" s="98"/>
      <c r="Q352" s="98"/>
      <c r="R352" s="98"/>
      <c r="S352" s="98"/>
      <c r="T352" s="98"/>
      <c r="U352" s="109"/>
      <c r="V352" s="103"/>
      <c r="W352" s="96"/>
      <c r="X352" s="109" t="s">
        <v>1440</v>
      </c>
      <c r="Y352" s="96"/>
      <c r="Z352" s="98"/>
      <c r="AA352" s="98"/>
      <c r="AB352" s="98"/>
      <c r="AC352" s="98"/>
      <c r="AD352" s="98"/>
      <c r="AE352" s="98"/>
      <c r="AF352" s="98"/>
      <c r="AG352" s="98"/>
      <c r="AH352" s="98"/>
      <c r="AI352" s="98"/>
      <c r="AJ352" s="98"/>
      <c r="AK352" s="98"/>
      <c r="AL352" s="98"/>
      <c r="AM352" s="98"/>
      <c r="AN352" s="98"/>
      <c r="AO352" s="98"/>
      <c r="AP352" s="98"/>
      <c r="AQ352" s="98"/>
      <c r="AR352" s="98"/>
      <c r="AS352" s="98"/>
    </row>
    <row r="353" spans="1:45" s="4" customFormat="1">
      <c r="A353" s="111" t="s">
        <v>919</v>
      </c>
      <c r="B353" s="94">
        <v>680487046380</v>
      </c>
      <c r="C353" s="98" t="s">
        <v>920</v>
      </c>
      <c r="D353">
        <v>0</v>
      </c>
      <c r="E353" s="96"/>
      <c r="F353" s="97"/>
      <c r="G353" s="98"/>
      <c r="H353" s="99" t="s">
        <v>543</v>
      </c>
      <c r="I353" s="98"/>
      <c r="J353" s="101"/>
      <c r="K353" s="102"/>
      <c r="L353" s="102"/>
      <c r="M353" s="102"/>
      <c r="N353" s="98"/>
      <c r="O353" s="98"/>
      <c r="P353" s="98"/>
      <c r="Q353" s="98"/>
      <c r="R353" s="98"/>
      <c r="S353" s="98"/>
      <c r="T353" s="98"/>
      <c r="U353" s="109"/>
      <c r="V353" s="103"/>
      <c r="W353" s="96"/>
      <c r="X353" s="109" t="s">
        <v>1440</v>
      </c>
      <c r="Y353" s="96"/>
      <c r="Z353" s="98"/>
      <c r="AA353" s="98"/>
      <c r="AB353" s="98"/>
      <c r="AC353" s="98"/>
      <c r="AD353" s="98"/>
      <c r="AE353" s="98"/>
      <c r="AF353" s="98"/>
      <c r="AG353" s="98"/>
      <c r="AH353" s="98"/>
      <c r="AI353" s="98"/>
      <c r="AJ353" s="98"/>
      <c r="AK353" s="98"/>
      <c r="AL353" s="98"/>
      <c r="AM353" s="98"/>
      <c r="AN353" s="98"/>
      <c r="AO353" s="98"/>
      <c r="AP353" s="98"/>
      <c r="AQ353" s="98"/>
      <c r="AR353" s="98"/>
      <c r="AS353" s="98"/>
    </row>
    <row r="354" spans="1:45" s="4" customFormat="1">
      <c r="A354" s="111" t="s">
        <v>919</v>
      </c>
      <c r="B354" s="94">
        <v>680487043761</v>
      </c>
      <c r="C354" s="98" t="s">
        <v>920</v>
      </c>
      <c r="D354">
        <v>0</v>
      </c>
      <c r="E354" s="96"/>
      <c r="F354" s="97"/>
      <c r="G354" s="98"/>
      <c r="H354" s="99" t="s">
        <v>194</v>
      </c>
      <c r="I354" s="98"/>
      <c r="J354" s="101"/>
      <c r="K354" s="102"/>
      <c r="L354" s="102"/>
      <c r="M354" s="102"/>
      <c r="N354" s="98"/>
      <c r="O354" s="98"/>
      <c r="P354" s="98"/>
      <c r="Q354" s="98"/>
      <c r="R354" s="98"/>
      <c r="S354" s="98"/>
      <c r="T354" s="98"/>
      <c r="U354" s="109"/>
      <c r="V354" s="103"/>
      <c r="W354" s="96"/>
      <c r="X354" s="109" t="s">
        <v>1440</v>
      </c>
      <c r="Y354" s="96"/>
      <c r="Z354" s="98"/>
      <c r="AA354" s="98"/>
      <c r="AB354" s="98"/>
      <c r="AC354" s="98"/>
      <c r="AD354" s="98"/>
      <c r="AE354" s="98"/>
      <c r="AF354" s="98"/>
      <c r="AG354" s="98"/>
      <c r="AH354" s="98"/>
      <c r="AI354" s="98"/>
      <c r="AJ354" s="98"/>
      <c r="AK354" s="98"/>
      <c r="AL354" s="98"/>
      <c r="AM354" s="98"/>
      <c r="AN354" s="98"/>
      <c r="AO354" s="98"/>
      <c r="AP354" s="98"/>
      <c r="AQ354" s="98"/>
      <c r="AR354" s="98"/>
      <c r="AS354" s="98"/>
    </row>
    <row r="355" spans="1:45" s="4" customFormat="1">
      <c r="A355" s="111" t="s">
        <v>919</v>
      </c>
      <c r="B355" s="94">
        <v>680487085969</v>
      </c>
      <c r="C355" s="98" t="s">
        <v>920</v>
      </c>
      <c r="D355">
        <v>0</v>
      </c>
      <c r="E355" s="96"/>
      <c r="F355" s="97"/>
      <c r="G355" s="98"/>
      <c r="H355" s="99" t="s">
        <v>191</v>
      </c>
      <c r="I355" s="98"/>
      <c r="J355" s="101"/>
      <c r="K355" s="102"/>
      <c r="L355" s="102"/>
      <c r="M355" s="102"/>
      <c r="N355" s="98"/>
      <c r="O355" s="98"/>
      <c r="P355" s="98"/>
      <c r="Q355" s="98"/>
      <c r="R355" s="98"/>
      <c r="S355" s="98"/>
      <c r="T355" s="98"/>
      <c r="U355" s="109"/>
      <c r="V355" s="103"/>
      <c r="W355" s="96"/>
      <c r="X355" s="109" t="s">
        <v>1440</v>
      </c>
      <c r="Y355" s="96"/>
      <c r="Z355" s="98"/>
      <c r="AA355" s="98"/>
      <c r="AB355" s="98"/>
      <c r="AC355" s="98"/>
      <c r="AD355" s="98"/>
      <c r="AE355" s="98"/>
      <c r="AF355" s="98"/>
      <c r="AG355" s="98"/>
      <c r="AH355" s="98"/>
      <c r="AI355" s="98"/>
      <c r="AJ355" s="98"/>
      <c r="AK355" s="98"/>
      <c r="AL355" s="98"/>
      <c r="AM355" s="98"/>
      <c r="AN355" s="98"/>
      <c r="AO355" s="98"/>
      <c r="AP355" s="98"/>
      <c r="AQ355" s="98"/>
      <c r="AR355" s="98"/>
      <c r="AS355" s="98"/>
    </row>
    <row r="356" spans="1:45" s="4" customFormat="1">
      <c r="A356" s="111" t="s">
        <v>919</v>
      </c>
      <c r="B356" s="94">
        <v>680487046304</v>
      </c>
      <c r="C356" s="98" t="s">
        <v>920</v>
      </c>
      <c r="D356">
        <v>0</v>
      </c>
      <c r="E356" s="96"/>
      <c r="F356" s="97"/>
      <c r="G356" s="98"/>
      <c r="H356" s="99" t="s">
        <v>189</v>
      </c>
      <c r="I356" s="98"/>
      <c r="J356" s="101"/>
      <c r="K356" s="102"/>
      <c r="L356" s="102"/>
      <c r="M356" s="102"/>
      <c r="N356" s="98"/>
      <c r="O356" s="98"/>
      <c r="P356" s="98"/>
      <c r="Q356" s="98"/>
      <c r="R356" s="98"/>
      <c r="S356" s="98"/>
      <c r="T356" s="98"/>
      <c r="U356" s="109"/>
      <c r="V356" s="103"/>
      <c r="W356" s="96"/>
      <c r="X356" s="109" t="s">
        <v>1440</v>
      </c>
      <c r="Y356" s="96"/>
      <c r="Z356" s="98"/>
      <c r="AA356" s="98"/>
      <c r="AB356" s="98"/>
      <c r="AC356" s="98"/>
      <c r="AD356" s="98"/>
      <c r="AE356" s="98"/>
      <c r="AF356" s="98"/>
      <c r="AG356" s="98"/>
      <c r="AH356" s="98"/>
      <c r="AI356" s="98"/>
      <c r="AJ356" s="98"/>
      <c r="AK356" s="98"/>
      <c r="AL356" s="98"/>
      <c r="AM356" s="98"/>
      <c r="AN356" s="98"/>
      <c r="AO356" s="98"/>
      <c r="AP356" s="98"/>
      <c r="AQ356" s="98"/>
      <c r="AR356" s="98"/>
      <c r="AS356" s="98"/>
    </row>
    <row r="357" spans="1:45" s="4" customFormat="1">
      <c r="A357" s="111" t="s">
        <v>919</v>
      </c>
      <c r="B357" s="94">
        <v>680487085983</v>
      </c>
      <c r="C357" s="98" t="s">
        <v>920</v>
      </c>
      <c r="D357">
        <v>0</v>
      </c>
      <c r="E357" s="96"/>
      <c r="F357" s="97"/>
      <c r="G357" s="98"/>
      <c r="H357" s="99" t="s">
        <v>206</v>
      </c>
      <c r="I357" s="98"/>
      <c r="J357" s="101"/>
      <c r="K357" s="102"/>
      <c r="L357" s="102"/>
      <c r="M357" s="102"/>
      <c r="N357" s="98"/>
      <c r="O357" s="98"/>
      <c r="P357" s="98"/>
      <c r="Q357" s="98"/>
      <c r="R357" s="98"/>
      <c r="S357" s="98"/>
      <c r="T357" s="98"/>
      <c r="U357" s="109"/>
      <c r="V357" s="103"/>
      <c r="W357" s="96"/>
      <c r="X357" s="109" t="s">
        <v>1440</v>
      </c>
      <c r="Y357" s="96"/>
      <c r="Z357" s="98"/>
      <c r="AA357" s="98"/>
      <c r="AB357" s="98"/>
      <c r="AC357" s="98"/>
      <c r="AD357" s="98"/>
      <c r="AE357" s="98"/>
      <c r="AF357" s="98"/>
      <c r="AG357" s="98"/>
      <c r="AH357" s="98"/>
      <c r="AI357" s="98"/>
      <c r="AJ357" s="98"/>
      <c r="AK357" s="98"/>
      <c r="AL357" s="98"/>
      <c r="AM357" s="98"/>
      <c r="AN357" s="98"/>
      <c r="AO357" s="98"/>
      <c r="AP357" s="98"/>
      <c r="AQ357" s="98"/>
      <c r="AR357" s="98"/>
      <c r="AS357" s="98"/>
    </row>
    <row r="358" spans="1:45" s="4" customFormat="1">
      <c r="A358" s="111" t="s">
        <v>919</v>
      </c>
      <c r="B358" s="94">
        <v>680487046397</v>
      </c>
      <c r="C358" s="98" t="s">
        <v>920</v>
      </c>
      <c r="D358">
        <v>0</v>
      </c>
      <c r="E358" s="96"/>
      <c r="F358" s="97"/>
      <c r="G358" s="98"/>
      <c r="H358" s="99" t="s">
        <v>202</v>
      </c>
      <c r="I358" s="98"/>
      <c r="J358" s="101"/>
      <c r="K358" s="102"/>
      <c r="L358" s="102"/>
      <c r="M358" s="102"/>
      <c r="N358" s="98"/>
      <c r="O358" s="98"/>
      <c r="P358" s="98"/>
      <c r="Q358" s="98"/>
      <c r="R358" s="98"/>
      <c r="S358" s="98"/>
      <c r="T358" s="98"/>
      <c r="U358" s="109"/>
      <c r="V358" s="103"/>
      <c r="W358" s="96"/>
      <c r="X358" s="109" t="s">
        <v>1440</v>
      </c>
      <c r="Y358" s="96"/>
      <c r="Z358" s="98"/>
      <c r="AA358" s="98"/>
      <c r="AB358" s="98"/>
      <c r="AC358" s="98"/>
      <c r="AD358" s="98"/>
      <c r="AE358" s="98"/>
      <c r="AF358" s="98"/>
      <c r="AG358" s="98"/>
      <c r="AH358" s="98"/>
      <c r="AI358" s="98"/>
      <c r="AJ358" s="98"/>
      <c r="AK358" s="98"/>
      <c r="AL358" s="98"/>
      <c r="AM358" s="98"/>
      <c r="AN358" s="98"/>
      <c r="AO358" s="98"/>
      <c r="AP358" s="98"/>
      <c r="AQ358" s="98"/>
      <c r="AR358" s="98"/>
      <c r="AS358" s="98"/>
    </row>
    <row r="359" spans="1:45" s="4" customFormat="1">
      <c r="A359" s="111" t="s">
        <v>919</v>
      </c>
      <c r="B359" s="94">
        <v>680487043532</v>
      </c>
      <c r="C359" s="98" t="s">
        <v>920</v>
      </c>
      <c r="D359">
        <v>0</v>
      </c>
      <c r="E359" s="96"/>
      <c r="F359" s="97"/>
      <c r="G359" s="98"/>
      <c r="H359" s="99" t="s">
        <v>197</v>
      </c>
      <c r="I359" s="98"/>
      <c r="J359" s="101"/>
      <c r="K359" s="102"/>
      <c r="L359" s="102"/>
      <c r="M359" s="102"/>
      <c r="N359" s="98"/>
      <c r="O359" s="98"/>
      <c r="P359" s="98"/>
      <c r="Q359" s="98"/>
      <c r="R359" s="98"/>
      <c r="S359" s="98"/>
      <c r="T359" s="98"/>
      <c r="U359" s="109"/>
      <c r="V359" s="103"/>
      <c r="W359" s="96"/>
      <c r="X359" s="109" t="s">
        <v>1440</v>
      </c>
      <c r="Y359" s="96"/>
      <c r="Z359" s="98"/>
      <c r="AA359" s="98"/>
      <c r="AB359" s="98"/>
      <c r="AC359" s="98"/>
      <c r="AD359" s="98"/>
      <c r="AE359" s="98"/>
      <c r="AF359" s="98"/>
      <c r="AG359" s="98"/>
      <c r="AH359" s="98"/>
      <c r="AI359" s="98"/>
      <c r="AJ359" s="98"/>
      <c r="AK359" s="98"/>
      <c r="AL359" s="98"/>
      <c r="AM359" s="98"/>
      <c r="AN359" s="98"/>
      <c r="AO359" s="98"/>
      <c r="AP359" s="98"/>
      <c r="AQ359" s="98"/>
      <c r="AR359" s="98"/>
      <c r="AS359" s="98"/>
    </row>
    <row r="360" spans="1:45" s="4" customFormat="1">
      <c r="A360" s="111" t="s">
        <v>919</v>
      </c>
      <c r="B360" s="94">
        <v>680487043570</v>
      </c>
      <c r="C360" s="98" t="s">
        <v>920</v>
      </c>
      <c r="D360">
        <v>0</v>
      </c>
      <c r="E360" s="96"/>
      <c r="F360" s="97"/>
      <c r="G360" s="98"/>
      <c r="H360" s="99" t="s">
        <v>196</v>
      </c>
      <c r="I360" s="98"/>
      <c r="J360" s="101"/>
      <c r="K360" s="102"/>
      <c r="L360" s="102"/>
      <c r="M360" s="102"/>
      <c r="N360" s="98"/>
      <c r="O360" s="98"/>
      <c r="P360" s="98"/>
      <c r="Q360" s="98"/>
      <c r="R360" s="98"/>
      <c r="S360" s="98"/>
      <c r="T360" s="98"/>
      <c r="U360" s="109"/>
      <c r="V360" s="103"/>
      <c r="W360" s="96"/>
      <c r="X360" s="109" t="s">
        <v>1440</v>
      </c>
      <c r="Y360" s="96"/>
      <c r="Z360" s="98"/>
      <c r="AA360" s="98"/>
      <c r="AB360" s="98"/>
      <c r="AC360" s="98"/>
      <c r="AD360" s="98"/>
      <c r="AE360" s="98"/>
      <c r="AF360" s="98"/>
      <c r="AG360" s="98"/>
      <c r="AH360" s="98"/>
      <c r="AI360" s="98"/>
      <c r="AJ360" s="98"/>
      <c r="AK360" s="98"/>
      <c r="AL360" s="98"/>
      <c r="AM360" s="98"/>
      <c r="AN360" s="98"/>
      <c r="AO360" s="98"/>
      <c r="AP360" s="98"/>
      <c r="AQ360" s="98"/>
      <c r="AR360" s="98"/>
      <c r="AS360" s="98"/>
    </row>
    <row r="361" spans="1:45" s="4" customFormat="1">
      <c r="A361" s="111" t="s">
        <v>919</v>
      </c>
      <c r="B361" s="94">
        <v>680487046366</v>
      </c>
      <c r="C361" s="98" t="s">
        <v>920</v>
      </c>
      <c r="D361">
        <v>0</v>
      </c>
      <c r="E361" s="96"/>
      <c r="F361" s="97"/>
      <c r="G361" s="98"/>
      <c r="H361" s="99" t="s">
        <v>200</v>
      </c>
      <c r="I361" s="98"/>
      <c r="J361" s="101"/>
      <c r="K361" s="102"/>
      <c r="L361" s="102"/>
      <c r="M361" s="102"/>
      <c r="N361" s="98"/>
      <c r="O361" s="98"/>
      <c r="P361" s="98"/>
      <c r="Q361" s="98"/>
      <c r="R361" s="98"/>
      <c r="S361" s="98"/>
      <c r="T361" s="98"/>
      <c r="U361" s="109"/>
      <c r="V361" s="103"/>
      <c r="W361" s="96"/>
      <c r="X361" s="109" t="s">
        <v>1440</v>
      </c>
      <c r="Y361" s="96"/>
      <c r="Z361" s="98"/>
      <c r="AA361" s="98"/>
      <c r="AB361" s="98"/>
      <c r="AC361" s="98"/>
      <c r="AD361" s="98"/>
      <c r="AE361" s="98"/>
      <c r="AF361" s="98"/>
      <c r="AG361" s="98"/>
      <c r="AH361" s="98"/>
      <c r="AI361" s="98"/>
      <c r="AJ361" s="98"/>
      <c r="AK361" s="98"/>
      <c r="AL361" s="98"/>
      <c r="AM361" s="98"/>
      <c r="AN361" s="98"/>
      <c r="AO361" s="98"/>
      <c r="AP361" s="98"/>
      <c r="AQ361" s="98"/>
      <c r="AR361" s="98"/>
      <c r="AS361" s="98"/>
    </row>
    <row r="362" spans="1:45" s="4" customFormat="1">
      <c r="A362" s="111" t="s">
        <v>919</v>
      </c>
      <c r="B362" s="94">
        <v>680487166217</v>
      </c>
      <c r="C362" s="98" t="s">
        <v>920</v>
      </c>
      <c r="D362">
        <v>0</v>
      </c>
      <c r="E362" s="96"/>
      <c r="F362" s="97"/>
      <c r="G362" s="98"/>
      <c r="H362" s="99" t="s">
        <v>201</v>
      </c>
      <c r="I362" s="98"/>
      <c r="J362" s="101"/>
      <c r="K362" s="102"/>
      <c r="L362" s="102"/>
      <c r="M362" s="102"/>
      <c r="N362" s="98"/>
      <c r="O362" s="98"/>
      <c r="P362" s="98"/>
      <c r="Q362" s="98"/>
      <c r="R362" s="98"/>
      <c r="S362" s="98"/>
      <c r="T362" s="98"/>
      <c r="U362" s="109"/>
      <c r="V362" s="103"/>
      <c r="W362" s="96"/>
      <c r="X362" s="109" t="s">
        <v>1440</v>
      </c>
      <c r="Y362" s="96"/>
      <c r="Z362" s="98"/>
      <c r="AA362" s="98"/>
      <c r="AB362" s="98"/>
      <c r="AC362" s="98"/>
      <c r="AD362" s="98"/>
      <c r="AE362" s="98"/>
      <c r="AF362" s="98"/>
      <c r="AG362" s="98"/>
      <c r="AH362" s="98"/>
      <c r="AI362" s="98"/>
      <c r="AJ362" s="98"/>
      <c r="AK362" s="98"/>
      <c r="AL362" s="98"/>
      <c r="AM362" s="98"/>
      <c r="AN362" s="98"/>
      <c r="AO362" s="98"/>
      <c r="AP362" s="98"/>
      <c r="AQ362" s="98"/>
      <c r="AR362" s="98"/>
      <c r="AS362" s="98"/>
    </row>
    <row r="363" spans="1:45" s="4" customFormat="1">
      <c r="A363" s="111" t="s">
        <v>919</v>
      </c>
      <c r="B363" s="94">
        <v>680487043723</v>
      </c>
      <c r="C363" s="98" t="s">
        <v>920</v>
      </c>
      <c r="D363">
        <v>0</v>
      </c>
      <c r="E363" s="96"/>
      <c r="F363" s="97"/>
      <c r="G363" s="98"/>
      <c r="H363" s="99" t="s">
        <v>550</v>
      </c>
      <c r="I363" s="98"/>
      <c r="J363" s="101"/>
      <c r="K363" s="102"/>
      <c r="L363" s="102"/>
      <c r="M363" s="102"/>
      <c r="N363" s="98"/>
      <c r="O363" s="98"/>
      <c r="P363" s="98"/>
      <c r="Q363" s="98"/>
      <c r="R363" s="98"/>
      <c r="S363" s="98"/>
      <c r="T363" s="98"/>
      <c r="U363" s="109"/>
      <c r="V363" s="103"/>
      <c r="W363" s="96"/>
      <c r="X363" s="109" t="s">
        <v>1440</v>
      </c>
      <c r="Y363" s="96"/>
      <c r="Z363" s="98"/>
      <c r="AA363" s="98"/>
      <c r="AB363" s="98"/>
      <c r="AC363" s="98"/>
      <c r="AD363" s="98"/>
      <c r="AE363" s="98"/>
      <c r="AF363" s="98"/>
      <c r="AG363" s="98"/>
      <c r="AH363" s="98"/>
      <c r="AI363" s="98"/>
      <c r="AJ363" s="98"/>
      <c r="AK363" s="98"/>
      <c r="AL363" s="98"/>
      <c r="AM363" s="98"/>
      <c r="AN363" s="98"/>
      <c r="AO363" s="98"/>
      <c r="AP363" s="98"/>
      <c r="AQ363" s="98"/>
      <c r="AR363" s="98"/>
      <c r="AS363" s="98"/>
    </row>
    <row r="364" spans="1:45" s="4" customFormat="1">
      <c r="A364" s="111" t="s">
        <v>919</v>
      </c>
      <c r="B364" s="94">
        <v>680487043488</v>
      </c>
      <c r="C364" s="98" t="s">
        <v>920</v>
      </c>
      <c r="D364">
        <v>0</v>
      </c>
      <c r="E364" s="96"/>
      <c r="F364" s="97"/>
      <c r="G364" s="98"/>
      <c r="H364" s="99" t="s">
        <v>544</v>
      </c>
      <c r="I364" s="98"/>
      <c r="J364" s="101"/>
      <c r="K364" s="102"/>
      <c r="L364" s="102"/>
      <c r="M364" s="102"/>
      <c r="N364" s="98"/>
      <c r="O364" s="98"/>
      <c r="P364" s="98"/>
      <c r="Q364" s="98"/>
      <c r="R364" s="98"/>
      <c r="S364" s="98"/>
      <c r="T364" s="98"/>
      <c r="U364" s="109"/>
      <c r="V364" s="103"/>
      <c r="W364" s="96"/>
      <c r="X364" s="109" t="s">
        <v>1440</v>
      </c>
      <c r="Y364" s="96"/>
      <c r="Z364" s="98"/>
      <c r="AA364" s="98"/>
      <c r="AB364" s="98"/>
      <c r="AC364" s="98"/>
      <c r="AD364" s="98"/>
      <c r="AE364" s="98"/>
      <c r="AF364" s="98"/>
      <c r="AG364" s="98"/>
      <c r="AH364" s="98"/>
      <c r="AI364" s="98"/>
      <c r="AJ364" s="98"/>
      <c r="AK364" s="98"/>
      <c r="AL364" s="98"/>
      <c r="AM364" s="98"/>
      <c r="AN364" s="98"/>
      <c r="AO364" s="98"/>
      <c r="AP364" s="98"/>
      <c r="AQ364" s="98"/>
      <c r="AR364" s="98"/>
      <c r="AS364" s="98"/>
    </row>
    <row r="365" spans="1:45" s="4" customFormat="1">
      <c r="A365" s="111" t="s">
        <v>919</v>
      </c>
      <c r="B365" s="94">
        <v>680487043754</v>
      </c>
      <c r="C365" s="98" t="s">
        <v>920</v>
      </c>
      <c r="D365">
        <v>0</v>
      </c>
      <c r="E365" s="96"/>
      <c r="F365" s="97"/>
      <c r="G365" s="98"/>
      <c r="H365" s="99" t="s">
        <v>204</v>
      </c>
      <c r="I365" s="98"/>
      <c r="J365" s="101"/>
      <c r="K365" s="102"/>
      <c r="L365" s="102"/>
      <c r="M365" s="102"/>
      <c r="N365" s="98"/>
      <c r="O365" s="98"/>
      <c r="P365" s="98"/>
      <c r="Q365" s="98"/>
      <c r="R365" s="98"/>
      <c r="S365" s="98"/>
      <c r="T365" s="98"/>
      <c r="U365" s="109"/>
      <c r="V365" s="103"/>
      <c r="W365" s="96"/>
      <c r="X365" s="109" t="s">
        <v>1440</v>
      </c>
      <c r="Y365" s="96"/>
      <c r="Z365" s="98"/>
      <c r="AA365" s="98"/>
      <c r="AB365" s="98"/>
      <c r="AC365" s="98"/>
      <c r="AD365" s="98"/>
      <c r="AE365" s="98"/>
      <c r="AF365" s="98"/>
      <c r="AG365" s="98"/>
      <c r="AH365" s="98"/>
      <c r="AI365" s="98"/>
      <c r="AJ365" s="98"/>
      <c r="AK365" s="98"/>
      <c r="AL365" s="98"/>
      <c r="AM365" s="98"/>
      <c r="AN365" s="98"/>
      <c r="AO365" s="98"/>
      <c r="AP365" s="98"/>
      <c r="AQ365" s="98"/>
      <c r="AR365" s="98"/>
      <c r="AS365" s="98"/>
    </row>
    <row r="366" spans="1:45" s="4" customFormat="1">
      <c r="A366" s="111" t="s">
        <v>919</v>
      </c>
      <c r="B366" s="94">
        <v>680487043556</v>
      </c>
      <c r="C366" s="98" t="s">
        <v>920</v>
      </c>
      <c r="D366">
        <v>0</v>
      </c>
      <c r="E366" s="96"/>
      <c r="F366" s="97"/>
      <c r="G366" s="98"/>
      <c r="H366" s="99" t="s">
        <v>161</v>
      </c>
      <c r="I366" s="98"/>
      <c r="J366" s="101"/>
      <c r="K366" s="102"/>
      <c r="L366" s="102"/>
      <c r="M366" s="102"/>
      <c r="N366" s="98"/>
      <c r="O366" s="98"/>
      <c r="P366" s="98"/>
      <c r="Q366" s="98"/>
      <c r="R366" s="98"/>
      <c r="S366" s="98"/>
      <c r="T366" s="98"/>
      <c r="U366" s="109"/>
      <c r="V366" s="103"/>
      <c r="W366" s="96"/>
      <c r="X366" s="109" t="s">
        <v>1440</v>
      </c>
      <c r="Y366" s="96"/>
      <c r="Z366" s="98"/>
      <c r="AA366" s="98"/>
      <c r="AB366" s="98"/>
      <c r="AC366" s="98"/>
      <c r="AD366" s="98"/>
      <c r="AE366" s="98"/>
      <c r="AF366" s="98"/>
      <c r="AG366" s="98"/>
      <c r="AH366" s="98"/>
      <c r="AI366" s="98"/>
      <c r="AJ366" s="98"/>
      <c r="AK366" s="98"/>
      <c r="AL366" s="98"/>
      <c r="AM366" s="98"/>
      <c r="AN366" s="98"/>
      <c r="AO366" s="98"/>
      <c r="AP366" s="98"/>
      <c r="AQ366" s="98"/>
      <c r="AR366" s="98"/>
      <c r="AS366" s="98"/>
    </row>
    <row r="367" spans="1:45" s="4" customFormat="1">
      <c r="A367" s="111" t="s">
        <v>919</v>
      </c>
      <c r="B367" s="94">
        <v>680487046403</v>
      </c>
      <c r="C367" s="98" t="s">
        <v>920</v>
      </c>
      <c r="D367">
        <v>0</v>
      </c>
      <c r="E367" s="96"/>
      <c r="F367" s="97"/>
      <c r="G367" s="98"/>
      <c r="H367" s="99" t="s">
        <v>174</v>
      </c>
      <c r="I367" s="98"/>
      <c r="J367" s="101"/>
      <c r="K367" s="102"/>
      <c r="L367" s="102"/>
      <c r="M367" s="102"/>
      <c r="N367" s="98"/>
      <c r="O367" s="98"/>
      <c r="P367" s="98"/>
      <c r="Q367" s="98"/>
      <c r="R367" s="98"/>
      <c r="S367" s="98"/>
      <c r="T367" s="98"/>
      <c r="U367" s="109"/>
      <c r="V367" s="103"/>
      <c r="W367" s="96"/>
      <c r="X367" s="109" t="s">
        <v>1440</v>
      </c>
      <c r="Y367" s="96"/>
      <c r="Z367" s="98"/>
      <c r="AA367" s="98"/>
      <c r="AB367" s="98"/>
      <c r="AC367" s="98"/>
      <c r="AD367" s="98"/>
      <c r="AE367" s="98"/>
      <c r="AF367" s="98"/>
      <c r="AG367" s="98"/>
      <c r="AH367" s="98"/>
      <c r="AI367" s="98"/>
      <c r="AJ367" s="98"/>
      <c r="AK367" s="98"/>
      <c r="AL367" s="98"/>
      <c r="AM367" s="98"/>
      <c r="AN367" s="98"/>
      <c r="AO367" s="98"/>
      <c r="AP367" s="98"/>
      <c r="AQ367" s="98"/>
      <c r="AR367" s="98"/>
      <c r="AS367" s="98"/>
    </row>
    <row r="368" spans="1:45" s="4" customFormat="1">
      <c r="A368" s="111" t="s">
        <v>919</v>
      </c>
      <c r="B368" s="94">
        <v>680487046328</v>
      </c>
      <c r="C368" s="98" t="s">
        <v>920</v>
      </c>
      <c r="D368">
        <v>0</v>
      </c>
      <c r="E368" s="96"/>
      <c r="F368" s="97"/>
      <c r="G368" s="98"/>
      <c r="H368" s="99" t="s">
        <v>170</v>
      </c>
      <c r="I368" s="98"/>
      <c r="J368" s="101"/>
      <c r="K368" s="102"/>
      <c r="L368" s="102"/>
      <c r="M368" s="102"/>
      <c r="N368" s="98"/>
      <c r="O368" s="98"/>
      <c r="P368" s="98"/>
      <c r="Q368" s="98"/>
      <c r="R368" s="98"/>
      <c r="S368" s="98"/>
      <c r="T368" s="98"/>
      <c r="U368" s="109"/>
      <c r="V368" s="103"/>
      <c r="W368" s="96"/>
      <c r="X368" s="109" t="s">
        <v>1440</v>
      </c>
      <c r="Y368" s="96"/>
      <c r="Z368" s="98"/>
      <c r="AA368" s="98"/>
      <c r="AB368" s="98"/>
      <c r="AC368" s="98"/>
      <c r="AD368" s="98"/>
      <c r="AE368" s="98"/>
      <c r="AF368" s="98"/>
      <c r="AG368" s="98"/>
      <c r="AH368" s="98"/>
      <c r="AI368" s="98"/>
      <c r="AJ368" s="98"/>
      <c r="AK368" s="98"/>
      <c r="AL368" s="98"/>
      <c r="AM368" s="98"/>
      <c r="AN368" s="98"/>
      <c r="AO368" s="98"/>
      <c r="AP368" s="98"/>
      <c r="AQ368" s="98"/>
      <c r="AR368" s="98"/>
      <c r="AS368" s="98"/>
    </row>
    <row r="369" spans="1:45" s="4" customFormat="1">
      <c r="A369" s="111" t="s">
        <v>919</v>
      </c>
      <c r="B369" s="94">
        <v>680487046335</v>
      </c>
      <c r="C369" s="98" t="s">
        <v>920</v>
      </c>
      <c r="D369">
        <v>0</v>
      </c>
      <c r="E369" s="96"/>
      <c r="F369" s="97"/>
      <c r="G369" s="98"/>
      <c r="H369" s="99" t="s">
        <v>195</v>
      </c>
      <c r="I369" s="98"/>
      <c r="J369" s="101"/>
      <c r="K369" s="102"/>
      <c r="L369" s="102"/>
      <c r="M369" s="102"/>
      <c r="N369" s="98"/>
      <c r="O369" s="98"/>
      <c r="P369" s="98"/>
      <c r="Q369" s="98"/>
      <c r="R369" s="98"/>
      <c r="S369" s="98"/>
      <c r="T369" s="98"/>
      <c r="U369" s="109"/>
      <c r="V369" s="103"/>
      <c r="W369" s="96"/>
      <c r="X369" s="109" t="s">
        <v>1440</v>
      </c>
      <c r="Y369" s="96"/>
      <c r="Z369" s="98"/>
      <c r="AA369" s="98"/>
      <c r="AB369" s="98"/>
      <c r="AC369" s="98"/>
      <c r="AD369" s="98"/>
      <c r="AE369" s="98"/>
      <c r="AF369" s="98"/>
      <c r="AG369" s="98"/>
      <c r="AH369" s="98"/>
      <c r="AI369" s="98"/>
      <c r="AJ369" s="98"/>
      <c r="AK369" s="98"/>
      <c r="AL369" s="98"/>
      <c r="AM369" s="98"/>
      <c r="AN369" s="98"/>
      <c r="AO369" s="98"/>
      <c r="AP369" s="98"/>
      <c r="AQ369" s="98"/>
      <c r="AR369" s="98"/>
      <c r="AS369" s="98"/>
    </row>
    <row r="370" spans="1:45" s="4" customFormat="1">
      <c r="A370" s="111" t="s">
        <v>919</v>
      </c>
      <c r="B370" s="94">
        <v>680487086034</v>
      </c>
      <c r="C370" s="98" t="s">
        <v>920</v>
      </c>
      <c r="D370">
        <v>0</v>
      </c>
      <c r="E370" s="96"/>
      <c r="F370" s="97"/>
      <c r="G370" s="98"/>
      <c r="H370" s="99" t="s">
        <v>192</v>
      </c>
      <c r="I370" s="98"/>
      <c r="J370" s="101"/>
      <c r="K370" s="102"/>
      <c r="L370" s="102"/>
      <c r="M370" s="102"/>
      <c r="N370" s="98"/>
      <c r="O370" s="98"/>
      <c r="P370" s="98"/>
      <c r="Q370" s="98"/>
      <c r="R370" s="98"/>
      <c r="S370" s="98"/>
      <c r="T370" s="98"/>
      <c r="U370" s="109"/>
      <c r="V370" s="103"/>
      <c r="W370" s="96"/>
      <c r="X370" s="109" t="s">
        <v>1440</v>
      </c>
      <c r="Y370" s="96"/>
      <c r="Z370" s="98"/>
      <c r="AA370" s="98"/>
      <c r="AB370" s="98"/>
      <c r="AC370" s="98"/>
      <c r="AD370" s="98"/>
      <c r="AE370" s="98"/>
      <c r="AF370" s="98"/>
      <c r="AG370" s="98"/>
      <c r="AH370" s="98"/>
      <c r="AI370" s="98"/>
      <c r="AJ370" s="98"/>
      <c r="AK370" s="98"/>
      <c r="AL370" s="98"/>
      <c r="AM370" s="98"/>
      <c r="AN370" s="98"/>
      <c r="AO370" s="98"/>
      <c r="AP370" s="98"/>
      <c r="AQ370" s="98"/>
      <c r="AR370" s="98"/>
      <c r="AS370" s="98"/>
    </row>
    <row r="371" spans="1:45" s="4" customFormat="1">
      <c r="A371" s="111" t="s">
        <v>919</v>
      </c>
      <c r="B371" s="94">
        <v>680487043716</v>
      </c>
      <c r="C371" s="98" t="s">
        <v>920</v>
      </c>
      <c r="D371">
        <v>0</v>
      </c>
      <c r="E371" s="96"/>
      <c r="F371" s="97"/>
      <c r="G371" s="98"/>
      <c r="H371" s="99" t="s">
        <v>172</v>
      </c>
      <c r="I371" s="98"/>
      <c r="J371" s="101"/>
      <c r="K371" s="102"/>
      <c r="L371" s="102"/>
      <c r="M371" s="102"/>
      <c r="N371" s="98"/>
      <c r="O371" s="98"/>
      <c r="P371" s="98"/>
      <c r="Q371" s="98"/>
      <c r="R371" s="98"/>
      <c r="S371" s="98"/>
      <c r="T371" s="98"/>
      <c r="U371" s="109"/>
      <c r="V371" s="103"/>
      <c r="W371" s="96"/>
      <c r="X371" s="109" t="s">
        <v>1440</v>
      </c>
      <c r="Y371" s="96"/>
      <c r="Z371" s="98"/>
      <c r="AA371" s="98"/>
      <c r="AB371" s="98"/>
      <c r="AC371" s="98"/>
      <c r="AD371" s="98"/>
      <c r="AE371" s="98"/>
      <c r="AF371" s="98"/>
      <c r="AG371" s="98"/>
      <c r="AH371" s="98"/>
      <c r="AI371" s="98"/>
      <c r="AJ371" s="98"/>
      <c r="AK371" s="98"/>
      <c r="AL371" s="98"/>
      <c r="AM371" s="98"/>
      <c r="AN371" s="98"/>
      <c r="AO371" s="98"/>
      <c r="AP371" s="98"/>
      <c r="AQ371" s="98"/>
      <c r="AR371" s="98"/>
      <c r="AS371" s="98"/>
    </row>
    <row r="372" spans="1:45" s="4" customFormat="1">
      <c r="A372" s="111" t="s">
        <v>919</v>
      </c>
      <c r="B372" s="94">
        <v>680487043600</v>
      </c>
      <c r="C372" s="98" t="s">
        <v>920</v>
      </c>
      <c r="D372">
        <v>0</v>
      </c>
      <c r="E372" s="96"/>
      <c r="F372" s="97"/>
      <c r="G372" s="98"/>
      <c r="H372" s="99" t="s">
        <v>171</v>
      </c>
      <c r="I372" s="98"/>
      <c r="J372" s="101"/>
      <c r="K372" s="102"/>
      <c r="L372" s="102"/>
      <c r="M372" s="102"/>
      <c r="N372" s="98"/>
      <c r="O372" s="98"/>
      <c r="P372" s="98"/>
      <c r="Q372" s="98"/>
      <c r="R372" s="98"/>
      <c r="S372" s="98"/>
      <c r="T372" s="98"/>
      <c r="U372" s="109"/>
      <c r="V372" s="103"/>
      <c r="W372" s="96"/>
      <c r="X372" s="109" t="s">
        <v>1440</v>
      </c>
      <c r="Y372" s="96"/>
      <c r="Z372" s="98"/>
      <c r="AA372" s="98"/>
      <c r="AB372" s="98"/>
      <c r="AC372" s="98"/>
      <c r="AD372" s="98"/>
      <c r="AE372" s="98"/>
      <c r="AF372" s="98"/>
      <c r="AG372" s="98"/>
      <c r="AH372" s="98"/>
      <c r="AI372" s="98"/>
      <c r="AJ372" s="98"/>
      <c r="AK372" s="98"/>
      <c r="AL372" s="98"/>
      <c r="AM372" s="98"/>
      <c r="AN372" s="98"/>
      <c r="AO372" s="98"/>
      <c r="AP372" s="98"/>
      <c r="AQ372" s="98"/>
      <c r="AR372" s="98"/>
      <c r="AS372" s="98"/>
    </row>
    <row r="373" spans="1:45" s="4" customFormat="1">
      <c r="A373" s="111" t="s">
        <v>919</v>
      </c>
      <c r="B373" s="94">
        <v>680487043693</v>
      </c>
      <c r="C373" s="98" t="s">
        <v>920</v>
      </c>
      <c r="D373">
        <v>0</v>
      </c>
      <c r="E373" s="96"/>
      <c r="F373" s="97"/>
      <c r="G373" s="98"/>
      <c r="H373" s="99" t="s">
        <v>168</v>
      </c>
      <c r="I373" s="98"/>
      <c r="J373" s="101"/>
      <c r="K373" s="102"/>
      <c r="L373" s="102"/>
      <c r="M373" s="102"/>
      <c r="N373" s="98"/>
      <c r="O373" s="98"/>
      <c r="P373" s="98"/>
      <c r="Q373" s="98"/>
      <c r="R373" s="98"/>
      <c r="S373" s="98"/>
      <c r="T373" s="98"/>
      <c r="U373" s="109"/>
      <c r="V373" s="103"/>
      <c r="W373" s="96"/>
      <c r="X373" s="109" t="s">
        <v>1440</v>
      </c>
      <c r="Y373" s="96"/>
      <c r="Z373" s="98"/>
      <c r="AA373" s="98"/>
      <c r="AB373" s="98"/>
      <c r="AC373" s="98"/>
      <c r="AD373" s="98"/>
      <c r="AE373" s="98"/>
      <c r="AF373" s="98"/>
      <c r="AG373" s="98"/>
      <c r="AH373" s="98"/>
      <c r="AI373" s="98"/>
      <c r="AJ373" s="98"/>
      <c r="AK373" s="98"/>
      <c r="AL373" s="98"/>
      <c r="AM373" s="98"/>
      <c r="AN373" s="98"/>
      <c r="AO373" s="98"/>
      <c r="AP373" s="98"/>
      <c r="AQ373" s="98"/>
      <c r="AR373" s="98"/>
      <c r="AS373" s="98"/>
    </row>
    <row r="374" spans="1:45" s="4" customFormat="1">
      <c r="A374" s="111" t="s">
        <v>919</v>
      </c>
      <c r="B374" s="94">
        <v>680487043501</v>
      </c>
      <c r="C374" s="98" t="s">
        <v>920</v>
      </c>
      <c r="D374">
        <v>0</v>
      </c>
      <c r="E374" s="96"/>
      <c r="F374" s="97"/>
      <c r="G374" s="98"/>
      <c r="H374" s="99" t="s">
        <v>167</v>
      </c>
      <c r="I374" s="98"/>
      <c r="J374" s="101"/>
      <c r="K374" s="102"/>
      <c r="L374" s="102"/>
      <c r="M374" s="102"/>
      <c r="N374" s="98"/>
      <c r="O374" s="98"/>
      <c r="P374" s="98"/>
      <c r="Q374" s="98"/>
      <c r="R374" s="98"/>
      <c r="S374" s="98"/>
      <c r="T374" s="98"/>
      <c r="U374" s="109"/>
      <c r="V374" s="103"/>
      <c r="W374" s="96"/>
      <c r="X374" s="109" t="s">
        <v>1440</v>
      </c>
      <c r="Y374" s="96"/>
      <c r="Z374" s="98"/>
      <c r="AA374" s="98"/>
      <c r="AB374" s="98"/>
      <c r="AC374" s="98"/>
      <c r="AD374" s="98"/>
      <c r="AE374" s="98"/>
      <c r="AF374" s="98"/>
      <c r="AG374" s="98"/>
      <c r="AH374" s="98"/>
      <c r="AI374" s="98"/>
      <c r="AJ374" s="98"/>
      <c r="AK374" s="98"/>
      <c r="AL374" s="98"/>
      <c r="AM374" s="98"/>
      <c r="AN374" s="98"/>
      <c r="AO374" s="98"/>
      <c r="AP374" s="98"/>
      <c r="AQ374" s="98"/>
      <c r="AR374" s="98"/>
      <c r="AS374" s="98"/>
    </row>
    <row r="375" spans="1:45" s="4" customFormat="1">
      <c r="A375" s="111" t="s">
        <v>919</v>
      </c>
      <c r="B375" s="94">
        <v>680487085976</v>
      </c>
      <c r="C375" s="98" t="s">
        <v>920</v>
      </c>
      <c r="D375">
        <v>0</v>
      </c>
      <c r="E375" s="96"/>
      <c r="F375" s="97"/>
      <c r="G375" s="98"/>
      <c r="H375" s="99" t="s">
        <v>548</v>
      </c>
      <c r="I375" s="98"/>
      <c r="J375" s="101"/>
      <c r="K375" s="102"/>
      <c r="L375" s="102"/>
      <c r="M375" s="102"/>
      <c r="N375" s="98"/>
      <c r="O375" s="98"/>
      <c r="P375" s="98"/>
      <c r="Q375" s="98"/>
      <c r="R375" s="98"/>
      <c r="S375" s="98"/>
      <c r="T375" s="98"/>
      <c r="U375" s="109"/>
      <c r="V375" s="103"/>
      <c r="W375" s="96"/>
      <c r="X375" s="109" t="s">
        <v>1440</v>
      </c>
      <c r="Y375" s="96"/>
      <c r="Z375" s="98"/>
      <c r="AA375" s="98"/>
      <c r="AB375" s="98"/>
      <c r="AC375" s="98"/>
      <c r="AD375" s="98"/>
      <c r="AE375" s="98"/>
      <c r="AF375" s="98"/>
      <c r="AG375" s="98"/>
      <c r="AH375" s="98"/>
      <c r="AI375" s="98"/>
      <c r="AJ375" s="98"/>
      <c r="AK375" s="98"/>
      <c r="AL375" s="98"/>
      <c r="AM375" s="98"/>
      <c r="AN375" s="98"/>
      <c r="AO375" s="98"/>
      <c r="AP375" s="98"/>
      <c r="AQ375" s="98"/>
      <c r="AR375" s="98"/>
      <c r="AS375" s="98"/>
    </row>
    <row r="376" spans="1:45" s="4" customFormat="1">
      <c r="A376" s="111" t="s">
        <v>919</v>
      </c>
      <c r="B376" s="94">
        <v>680487043624</v>
      </c>
      <c r="C376" s="98" t="s">
        <v>920</v>
      </c>
      <c r="D376">
        <v>0</v>
      </c>
      <c r="E376" s="96"/>
      <c r="F376" s="97"/>
      <c r="G376" s="98"/>
      <c r="H376" s="99" t="s">
        <v>205</v>
      </c>
      <c r="I376" s="98"/>
      <c r="J376" s="101"/>
      <c r="K376" s="102"/>
      <c r="L376" s="102"/>
      <c r="M376" s="102"/>
      <c r="N376" s="98"/>
      <c r="O376" s="98"/>
      <c r="P376" s="98"/>
      <c r="Q376" s="98"/>
      <c r="R376" s="98"/>
      <c r="S376" s="98"/>
      <c r="T376" s="98"/>
      <c r="U376" s="109"/>
      <c r="V376" s="103"/>
      <c r="W376" s="96"/>
      <c r="X376" s="109" t="s">
        <v>1440</v>
      </c>
      <c r="Y376" s="96"/>
      <c r="Z376" s="98"/>
      <c r="AA376" s="98"/>
      <c r="AB376" s="98"/>
      <c r="AC376" s="98"/>
      <c r="AD376" s="98"/>
      <c r="AE376" s="98"/>
      <c r="AF376" s="98"/>
      <c r="AG376" s="98"/>
      <c r="AH376" s="98"/>
      <c r="AI376" s="98"/>
      <c r="AJ376" s="98"/>
      <c r="AK376" s="98"/>
      <c r="AL376" s="98"/>
      <c r="AM376" s="98"/>
      <c r="AN376" s="98"/>
      <c r="AO376" s="98"/>
      <c r="AP376" s="98"/>
      <c r="AQ376" s="98"/>
      <c r="AR376" s="98"/>
      <c r="AS376" s="98"/>
    </row>
    <row r="377" spans="1:45" s="4" customFormat="1">
      <c r="A377" s="111" t="s">
        <v>919</v>
      </c>
      <c r="B377" s="94">
        <v>680487166224</v>
      </c>
      <c r="C377" s="98" t="s">
        <v>920</v>
      </c>
      <c r="D377">
        <v>0</v>
      </c>
      <c r="E377" s="96"/>
      <c r="F377" s="97"/>
      <c r="G377" s="98"/>
      <c r="H377" s="99" t="s">
        <v>164</v>
      </c>
      <c r="I377" s="98"/>
      <c r="J377" s="101"/>
      <c r="K377" s="102"/>
      <c r="L377" s="102"/>
      <c r="M377" s="102"/>
      <c r="N377" s="98"/>
      <c r="O377" s="98"/>
      <c r="P377" s="98"/>
      <c r="Q377" s="98"/>
      <c r="R377" s="98"/>
      <c r="S377" s="98"/>
      <c r="T377" s="98"/>
      <c r="U377" s="109"/>
      <c r="V377" s="103"/>
      <c r="W377" s="96"/>
      <c r="X377" s="109" t="s">
        <v>1440</v>
      </c>
      <c r="Y377" s="96"/>
      <c r="Z377" s="98"/>
      <c r="AA377" s="98"/>
      <c r="AB377" s="98"/>
      <c r="AC377" s="98"/>
      <c r="AD377" s="98"/>
      <c r="AE377" s="98"/>
      <c r="AF377" s="98"/>
      <c r="AG377" s="98"/>
      <c r="AH377" s="98"/>
      <c r="AI377" s="98"/>
      <c r="AJ377" s="98"/>
      <c r="AK377" s="98"/>
      <c r="AL377" s="98"/>
      <c r="AM377" s="98"/>
      <c r="AN377" s="98"/>
      <c r="AO377" s="98"/>
      <c r="AP377" s="98"/>
      <c r="AQ377" s="98"/>
      <c r="AR377" s="98"/>
      <c r="AS377" s="98"/>
    </row>
    <row r="378" spans="1:45" s="4" customFormat="1">
      <c r="A378" s="111" t="s">
        <v>919</v>
      </c>
      <c r="B378" s="94">
        <v>680487086010</v>
      </c>
      <c r="C378" s="98" t="s">
        <v>920</v>
      </c>
      <c r="D378">
        <v>0</v>
      </c>
      <c r="E378" s="96"/>
      <c r="F378" s="97"/>
      <c r="G378" s="98"/>
      <c r="H378" s="99" t="s">
        <v>180</v>
      </c>
      <c r="I378" s="98"/>
      <c r="J378" s="101"/>
      <c r="K378" s="102"/>
      <c r="L378" s="102"/>
      <c r="M378" s="102"/>
      <c r="N378" s="98"/>
      <c r="O378" s="98"/>
      <c r="P378" s="98"/>
      <c r="Q378" s="98"/>
      <c r="R378" s="98"/>
      <c r="S378" s="98"/>
      <c r="T378" s="98"/>
      <c r="U378" s="109"/>
      <c r="V378" s="103"/>
      <c r="W378" s="96"/>
      <c r="X378" s="109" t="s">
        <v>1440</v>
      </c>
      <c r="Y378" s="96"/>
      <c r="Z378" s="98"/>
      <c r="AA378" s="98"/>
      <c r="AB378" s="98"/>
      <c r="AC378" s="98"/>
      <c r="AD378" s="98"/>
      <c r="AE378" s="98"/>
      <c r="AF378" s="98"/>
      <c r="AG378" s="98"/>
      <c r="AH378" s="98"/>
      <c r="AI378" s="98"/>
      <c r="AJ378" s="98"/>
      <c r="AK378" s="98"/>
      <c r="AL378" s="98"/>
      <c r="AM378" s="98"/>
      <c r="AN378" s="98"/>
      <c r="AO378" s="98"/>
      <c r="AP378" s="98"/>
      <c r="AQ378" s="98"/>
      <c r="AR378" s="98"/>
      <c r="AS378" s="98"/>
    </row>
    <row r="379" spans="1:45" s="4" customFormat="1">
      <c r="A379" s="111" t="s">
        <v>919</v>
      </c>
      <c r="B379" s="94">
        <v>680487043631</v>
      </c>
      <c r="C379" s="98" t="s">
        <v>920</v>
      </c>
      <c r="D379">
        <v>0</v>
      </c>
      <c r="E379" s="96"/>
      <c r="F379" s="97"/>
      <c r="G379" s="98"/>
      <c r="H379" s="99" t="s">
        <v>163</v>
      </c>
      <c r="I379" s="98"/>
      <c r="J379" s="101"/>
      <c r="K379" s="102"/>
      <c r="L379" s="102"/>
      <c r="M379" s="102"/>
      <c r="N379" s="98"/>
      <c r="O379" s="98"/>
      <c r="P379" s="98"/>
      <c r="Q379" s="98"/>
      <c r="R379" s="98"/>
      <c r="S379" s="98"/>
      <c r="T379" s="98"/>
      <c r="U379" s="109"/>
      <c r="V379" s="103"/>
      <c r="W379" s="96"/>
      <c r="X379" s="109" t="s">
        <v>1440</v>
      </c>
      <c r="Y379" s="96"/>
      <c r="Z379" s="98"/>
      <c r="AA379" s="98"/>
      <c r="AB379" s="98"/>
      <c r="AC379" s="98"/>
      <c r="AD379" s="98"/>
      <c r="AE379" s="98"/>
      <c r="AF379" s="98"/>
      <c r="AG379" s="98"/>
      <c r="AH379" s="98"/>
      <c r="AI379" s="98"/>
      <c r="AJ379" s="98"/>
      <c r="AK379" s="98"/>
      <c r="AL379" s="98"/>
      <c r="AM379" s="98"/>
      <c r="AN379" s="98"/>
      <c r="AO379" s="98"/>
      <c r="AP379" s="98"/>
      <c r="AQ379" s="98"/>
      <c r="AR379" s="98"/>
      <c r="AS379" s="98"/>
    </row>
    <row r="380" spans="1:45" s="4" customFormat="1">
      <c r="A380" s="111" t="s">
        <v>919</v>
      </c>
      <c r="B380" s="94">
        <v>680487043778</v>
      </c>
      <c r="C380" s="98" t="s">
        <v>920</v>
      </c>
      <c r="D380">
        <v>0</v>
      </c>
      <c r="E380" s="96"/>
      <c r="F380" s="97"/>
      <c r="G380" s="98"/>
      <c r="H380" s="99" t="s">
        <v>160</v>
      </c>
      <c r="I380" s="98"/>
      <c r="J380" s="101"/>
      <c r="K380" s="102"/>
      <c r="L380" s="102"/>
      <c r="M380" s="102"/>
      <c r="N380" s="98"/>
      <c r="O380" s="98"/>
      <c r="P380" s="98"/>
      <c r="Q380" s="98"/>
      <c r="R380" s="98"/>
      <c r="S380" s="98"/>
      <c r="T380" s="98"/>
      <c r="U380" s="109"/>
      <c r="V380" s="103"/>
      <c r="W380" s="96"/>
      <c r="X380" s="109" t="s">
        <v>1440</v>
      </c>
      <c r="Y380" s="96"/>
      <c r="Z380" s="98"/>
      <c r="AA380" s="98"/>
      <c r="AB380" s="98"/>
      <c r="AC380" s="98"/>
      <c r="AD380" s="98"/>
      <c r="AE380" s="98"/>
      <c r="AF380" s="98"/>
      <c r="AG380" s="98"/>
      <c r="AH380" s="98"/>
      <c r="AI380" s="98"/>
      <c r="AJ380" s="98"/>
      <c r="AK380" s="98"/>
      <c r="AL380" s="98"/>
      <c r="AM380" s="98"/>
      <c r="AN380" s="98"/>
      <c r="AO380" s="98"/>
      <c r="AP380" s="98"/>
      <c r="AQ380" s="98"/>
      <c r="AR380" s="98"/>
      <c r="AS380" s="98"/>
    </row>
    <row r="381" spans="1:45" s="4" customFormat="1">
      <c r="A381" s="111" t="s">
        <v>919</v>
      </c>
      <c r="B381" s="94">
        <v>680487086041</v>
      </c>
      <c r="C381" s="98" t="s">
        <v>920</v>
      </c>
      <c r="D381">
        <v>0</v>
      </c>
      <c r="E381" s="96"/>
      <c r="F381" s="97"/>
      <c r="G381" s="98"/>
      <c r="H381" s="99" t="s">
        <v>545</v>
      </c>
      <c r="I381" s="98"/>
      <c r="J381" s="101"/>
      <c r="K381" s="102"/>
      <c r="L381" s="102"/>
      <c r="M381" s="102"/>
      <c r="N381" s="98"/>
      <c r="O381" s="98"/>
      <c r="P381" s="98"/>
      <c r="Q381" s="98"/>
      <c r="R381" s="98"/>
      <c r="S381" s="98"/>
      <c r="T381" s="98"/>
      <c r="U381" s="109"/>
      <c r="V381" s="103"/>
      <c r="W381" s="96"/>
      <c r="X381" s="109" t="s">
        <v>1440</v>
      </c>
      <c r="Y381" s="96"/>
      <c r="Z381" s="98"/>
      <c r="AA381" s="98"/>
      <c r="AB381" s="98"/>
      <c r="AC381" s="98"/>
      <c r="AD381" s="98"/>
      <c r="AE381" s="98"/>
      <c r="AF381" s="98"/>
      <c r="AG381" s="98"/>
      <c r="AH381" s="98"/>
      <c r="AI381" s="98"/>
      <c r="AJ381" s="98"/>
      <c r="AK381" s="98"/>
      <c r="AL381" s="98"/>
      <c r="AM381" s="98"/>
      <c r="AN381" s="98"/>
      <c r="AO381" s="98"/>
      <c r="AP381" s="98"/>
      <c r="AQ381" s="98"/>
      <c r="AR381" s="98"/>
      <c r="AS381" s="98"/>
    </row>
    <row r="382" spans="1:45" s="4" customFormat="1">
      <c r="A382" s="111" t="s">
        <v>919</v>
      </c>
      <c r="B382" s="94">
        <v>680487043662</v>
      </c>
      <c r="C382" s="98" t="s">
        <v>920</v>
      </c>
      <c r="D382">
        <v>0</v>
      </c>
      <c r="E382" s="96"/>
      <c r="F382" s="97"/>
      <c r="G382" s="98"/>
      <c r="H382" s="99" t="s">
        <v>186</v>
      </c>
      <c r="I382" s="98"/>
      <c r="J382" s="101"/>
      <c r="K382" s="102"/>
      <c r="L382" s="102"/>
      <c r="M382" s="102"/>
      <c r="N382" s="98"/>
      <c r="O382" s="98"/>
      <c r="P382" s="98"/>
      <c r="Q382" s="98"/>
      <c r="R382" s="98"/>
      <c r="S382" s="98"/>
      <c r="T382" s="98"/>
      <c r="U382" s="109"/>
      <c r="V382" s="103"/>
      <c r="W382" s="96"/>
      <c r="X382" s="109" t="s">
        <v>1440</v>
      </c>
      <c r="Y382" s="96"/>
      <c r="Z382" s="98"/>
      <c r="AA382" s="98"/>
      <c r="AB382" s="98"/>
      <c r="AC382" s="98"/>
      <c r="AD382" s="98"/>
      <c r="AE382" s="98"/>
      <c r="AF382" s="98"/>
      <c r="AG382" s="98"/>
      <c r="AH382" s="98"/>
      <c r="AI382" s="98"/>
      <c r="AJ382" s="98"/>
      <c r="AK382" s="98"/>
      <c r="AL382" s="98"/>
      <c r="AM382" s="98"/>
      <c r="AN382" s="98"/>
      <c r="AO382" s="98"/>
      <c r="AP382" s="98"/>
      <c r="AQ382" s="98"/>
      <c r="AR382" s="98"/>
      <c r="AS382" s="98"/>
    </row>
    <row r="383" spans="1:45" s="4" customFormat="1">
      <c r="A383" s="111" t="s">
        <v>919</v>
      </c>
      <c r="B383" s="94">
        <v>680487043495</v>
      </c>
      <c r="C383" s="98" t="s">
        <v>920</v>
      </c>
      <c r="D383">
        <v>0</v>
      </c>
      <c r="E383" s="96"/>
      <c r="F383" s="97"/>
      <c r="G383" s="98"/>
      <c r="H383" s="99" t="s">
        <v>176</v>
      </c>
      <c r="I383" s="98"/>
      <c r="J383" s="101"/>
      <c r="K383" s="102"/>
      <c r="L383" s="102"/>
      <c r="M383" s="102"/>
      <c r="N383" s="98"/>
      <c r="O383" s="98"/>
      <c r="P383" s="98"/>
      <c r="Q383" s="98"/>
      <c r="R383" s="98"/>
      <c r="S383" s="98"/>
      <c r="T383" s="98"/>
      <c r="U383" s="109"/>
      <c r="V383" s="103"/>
      <c r="W383" s="96"/>
      <c r="X383" s="109" t="s">
        <v>1440</v>
      </c>
      <c r="Y383" s="96"/>
      <c r="Z383" s="98"/>
      <c r="AA383" s="98"/>
      <c r="AB383" s="98"/>
      <c r="AC383" s="98"/>
      <c r="AD383" s="98"/>
      <c r="AE383" s="98"/>
      <c r="AF383" s="98"/>
      <c r="AG383" s="98"/>
      <c r="AH383" s="98"/>
      <c r="AI383" s="98"/>
      <c r="AJ383" s="98"/>
      <c r="AK383" s="98"/>
      <c r="AL383" s="98"/>
      <c r="AM383" s="98"/>
      <c r="AN383" s="98"/>
      <c r="AO383" s="98"/>
      <c r="AP383" s="98"/>
      <c r="AQ383" s="98"/>
      <c r="AR383" s="98"/>
      <c r="AS383" s="98"/>
    </row>
    <row r="384" spans="1:45" s="4" customFormat="1">
      <c r="A384" s="111" t="s">
        <v>919</v>
      </c>
      <c r="B384" s="94">
        <v>680487046342</v>
      </c>
      <c r="C384" s="98" t="s">
        <v>920</v>
      </c>
      <c r="D384">
        <v>0</v>
      </c>
      <c r="E384" s="96"/>
      <c r="F384" s="97"/>
      <c r="G384" s="98"/>
      <c r="H384" s="99" t="s">
        <v>177</v>
      </c>
      <c r="I384" s="98"/>
      <c r="J384" s="101"/>
      <c r="K384" s="102"/>
      <c r="L384" s="102"/>
      <c r="M384" s="102"/>
      <c r="N384" s="98"/>
      <c r="O384" s="98"/>
      <c r="P384" s="98"/>
      <c r="Q384" s="98"/>
      <c r="R384" s="98"/>
      <c r="S384" s="98"/>
      <c r="T384" s="98"/>
      <c r="U384" s="109"/>
      <c r="V384" s="103"/>
      <c r="W384" s="96"/>
      <c r="X384" s="109" t="s">
        <v>1440</v>
      </c>
      <c r="Y384" s="96"/>
      <c r="Z384" s="98"/>
      <c r="AA384" s="98"/>
      <c r="AB384" s="98"/>
      <c r="AC384" s="98"/>
      <c r="AD384" s="98"/>
      <c r="AE384" s="98"/>
      <c r="AF384" s="98"/>
      <c r="AG384" s="98"/>
      <c r="AH384" s="98"/>
      <c r="AI384" s="98"/>
      <c r="AJ384" s="98"/>
      <c r="AK384" s="98"/>
      <c r="AL384" s="98"/>
      <c r="AM384" s="98"/>
      <c r="AN384" s="98"/>
      <c r="AO384" s="98"/>
      <c r="AP384" s="98"/>
      <c r="AQ384" s="98"/>
      <c r="AR384" s="98"/>
      <c r="AS384" s="98"/>
    </row>
    <row r="385" spans="1:45" s="4" customFormat="1">
      <c r="A385" s="111" t="s">
        <v>919</v>
      </c>
      <c r="B385" s="94">
        <v>680487086027</v>
      </c>
      <c r="C385" s="98" t="s">
        <v>920</v>
      </c>
      <c r="D385">
        <v>0</v>
      </c>
      <c r="E385" s="96"/>
      <c r="F385" s="97"/>
      <c r="G385" s="98"/>
      <c r="H385" s="99" t="s">
        <v>552</v>
      </c>
      <c r="I385" s="98"/>
      <c r="J385" s="101"/>
      <c r="K385" s="102"/>
      <c r="L385" s="102"/>
      <c r="M385" s="102"/>
      <c r="N385" s="98"/>
      <c r="O385" s="98"/>
      <c r="P385" s="98"/>
      <c r="Q385" s="98"/>
      <c r="R385" s="98"/>
      <c r="S385" s="98"/>
      <c r="T385" s="98"/>
      <c r="U385" s="109"/>
      <c r="V385" s="103"/>
      <c r="W385" s="96"/>
      <c r="X385" s="109" t="s">
        <v>1440</v>
      </c>
      <c r="Y385" s="96"/>
      <c r="Z385" s="98"/>
      <c r="AA385" s="98"/>
      <c r="AB385" s="98"/>
      <c r="AC385" s="98"/>
      <c r="AD385" s="98"/>
      <c r="AE385" s="98"/>
      <c r="AF385" s="98"/>
      <c r="AG385" s="98"/>
      <c r="AH385" s="98"/>
      <c r="AI385" s="98"/>
      <c r="AJ385" s="98"/>
      <c r="AK385" s="98"/>
      <c r="AL385" s="98"/>
      <c r="AM385" s="98"/>
      <c r="AN385" s="98"/>
      <c r="AO385" s="98"/>
      <c r="AP385" s="98"/>
      <c r="AQ385" s="98"/>
      <c r="AR385" s="98"/>
      <c r="AS385" s="98"/>
    </row>
    <row r="386" spans="1:45" s="4" customFormat="1">
      <c r="A386" s="111" t="s">
        <v>919</v>
      </c>
      <c r="B386" s="94">
        <v>680487167450</v>
      </c>
      <c r="C386" s="98" t="s">
        <v>920</v>
      </c>
      <c r="D386">
        <v>0</v>
      </c>
      <c r="E386" s="96"/>
      <c r="F386" s="97"/>
      <c r="G386" s="98"/>
      <c r="H386" s="99" t="s">
        <v>694</v>
      </c>
      <c r="I386" s="98"/>
      <c r="J386" s="101"/>
      <c r="K386" s="102"/>
      <c r="L386" s="102"/>
      <c r="M386" s="102"/>
      <c r="N386" s="98"/>
      <c r="O386" s="98"/>
      <c r="P386" s="98"/>
      <c r="Q386" s="98"/>
      <c r="R386" s="98"/>
      <c r="S386" s="98"/>
      <c r="T386" s="98"/>
      <c r="U386" s="109"/>
      <c r="V386" s="103"/>
      <c r="W386" s="96"/>
      <c r="X386" s="109" t="s">
        <v>1440</v>
      </c>
      <c r="Y386" s="96"/>
      <c r="Z386" s="98"/>
      <c r="AA386" s="98"/>
      <c r="AB386" s="98"/>
      <c r="AC386" s="98"/>
      <c r="AD386" s="98"/>
      <c r="AE386" s="98"/>
      <c r="AF386" s="98"/>
      <c r="AG386" s="98"/>
      <c r="AH386" s="98"/>
      <c r="AI386" s="98"/>
      <c r="AJ386" s="98"/>
      <c r="AK386" s="98"/>
      <c r="AL386" s="98"/>
      <c r="AM386" s="98"/>
      <c r="AN386" s="98"/>
      <c r="AO386" s="98"/>
      <c r="AP386" s="98"/>
      <c r="AQ386" s="98"/>
      <c r="AR386" s="98"/>
      <c r="AS386" s="98"/>
    </row>
    <row r="387" spans="1:45" s="4" customFormat="1">
      <c r="A387" s="111" t="s">
        <v>919</v>
      </c>
      <c r="B387" s="94">
        <v>680487167467</v>
      </c>
      <c r="C387" s="98" t="s">
        <v>920</v>
      </c>
      <c r="D387">
        <v>0</v>
      </c>
      <c r="E387" s="96"/>
      <c r="F387" s="97"/>
      <c r="G387" s="98"/>
      <c r="H387" s="99" t="s">
        <v>536</v>
      </c>
      <c r="I387" s="98"/>
      <c r="J387" s="101"/>
      <c r="K387" s="102"/>
      <c r="L387" s="102"/>
      <c r="M387" s="102"/>
      <c r="N387" s="98"/>
      <c r="O387" s="98"/>
      <c r="P387" s="98"/>
      <c r="Q387" s="98"/>
      <c r="R387" s="98"/>
      <c r="S387" s="98"/>
      <c r="T387" s="98"/>
      <c r="U387" s="109"/>
      <c r="V387" s="103"/>
      <c r="W387" s="96"/>
      <c r="X387" s="109" t="s">
        <v>1440</v>
      </c>
      <c r="Y387" s="96"/>
      <c r="Z387" s="98"/>
      <c r="AA387" s="98"/>
      <c r="AB387" s="98"/>
      <c r="AC387" s="98"/>
      <c r="AD387" s="98"/>
      <c r="AE387" s="98"/>
      <c r="AF387" s="98"/>
      <c r="AG387" s="98"/>
      <c r="AH387" s="98"/>
      <c r="AI387" s="98"/>
      <c r="AJ387" s="98"/>
      <c r="AK387" s="98"/>
      <c r="AL387" s="98"/>
      <c r="AM387" s="98"/>
      <c r="AN387" s="98"/>
      <c r="AO387" s="98"/>
      <c r="AP387" s="98"/>
      <c r="AQ387" s="98"/>
      <c r="AR387" s="98"/>
      <c r="AS387" s="98"/>
    </row>
    <row r="388" spans="1:45" s="4" customFormat="1">
      <c r="A388" s="111" t="s">
        <v>919</v>
      </c>
      <c r="B388" s="94">
        <v>680487167436</v>
      </c>
      <c r="C388" s="98" t="s">
        <v>920</v>
      </c>
      <c r="D388">
        <v>0</v>
      </c>
      <c r="E388" s="96"/>
      <c r="F388" s="97"/>
      <c r="G388" s="98"/>
      <c r="H388" s="99" t="s">
        <v>687</v>
      </c>
      <c r="I388" s="98"/>
      <c r="J388" s="101"/>
      <c r="K388" s="102"/>
      <c r="L388" s="102"/>
      <c r="M388" s="102"/>
      <c r="N388" s="98"/>
      <c r="O388" s="98"/>
      <c r="P388" s="98"/>
      <c r="Q388" s="98"/>
      <c r="R388" s="98"/>
      <c r="S388" s="98"/>
      <c r="T388" s="98"/>
      <c r="U388" s="109"/>
      <c r="V388" s="103"/>
      <c r="W388" s="96"/>
      <c r="X388" s="109" t="s">
        <v>1440</v>
      </c>
      <c r="Y388" s="96"/>
      <c r="Z388" s="98"/>
      <c r="AA388" s="98"/>
      <c r="AB388" s="98"/>
      <c r="AC388" s="98"/>
      <c r="AD388" s="98"/>
      <c r="AE388" s="98"/>
      <c r="AF388" s="98"/>
      <c r="AG388" s="98"/>
      <c r="AH388" s="98"/>
      <c r="AI388" s="98"/>
      <c r="AJ388" s="98"/>
      <c r="AK388" s="98"/>
      <c r="AL388" s="98"/>
      <c r="AM388" s="98"/>
      <c r="AN388" s="98"/>
      <c r="AO388" s="98"/>
      <c r="AP388" s="98"/>
      <c r="AQ388" s="98"/>
      <c r="AR388" s="98"/>
      <c r="AS388" s="98"/>
    </row>
    <row r="389" spans="1:45" s="4" customFormat="1">
      <c r="A389" s="111" t="s">
        <v>919</v>
      </c>
      <c r="B389" s="94">
        <v>680487167443</v>
      </c>
      <c r="C389" s="98" t="s">
        <v>920</v>
      </c>
      <c r="D389">
        <v>0</v>
      </c>
      <c r="E389" s="96"/>
      <c r="F389" s="97"/>
      <c r="G389" s="98"/>
      <c r="H389" s="99" t="s">
        <v>537</v>
      </c>
      <c r="I389" s="98"/>
      <c r="J389" s="101"/>
      <c r="K389" s="102"/>
      <c r="L389" s="102"/>
      <c r="M389" s="102"/>
      <c r="N389" s="98"/>
      <c r="O389" s="98"/>
      <c r="P389" s="98"/>
      <c r="Q389" s="98"/>
      <c r="R389" s="98"/>
      <c r="S389" s="98"/>
      <c r="T389" s="98"/>
      <c r="U389" s="109"/>
      <c r="V389" s="103"/>
      <c r="W389" s="96"/>
      <c r="X389" s="109" t="s">
        <v>1440</v>
      </c>
      <c r="Y389" s="96"/>
      <c r="Z389" s="98"/>
      <c r="AA389" s="98"/>
      <c r="AB389" s="98"/>
      <c r="AC389" s="98"/>
      <c r="AD389" s="98"/>
      <c r="AE389" s="98"/>
      <c r="AF389" s="98"/>
      <c r="AG389" s="98"/>
      <c r="AH389" s="98"/>
      <c r="AI389" s="98"/>
      <c r="AJ389" s="98"/>
      <c r="AK389" s="98"/>
      <c r="AL389" s="98"/>
      <c r="AM389" s="98"/>
      <c r="AN389" s="98"/>
      <c r="AO389" s="98"/>
      <c r="AP389" s="98"/>
      <c r="AQ389" s="98"/>
      <c r="AR389" s="98"/>
      <c r="AS389" s="98"/>
    </row>
    <row r="390" spans="1:45" s="4" customFormat="1">
      <c r="A390" s="111" t="s">
        <v>919</v>
      </c>
      <c r="B390" s="94">
        <v>680487167450</v>
      </c>
      <c r="C390" s="98" t="s">
        <v>920</v>
      </c>
      <c r="D390">
        <v>0</v>
      </c>
      <c r="E390" s="96"/>
      <c r="F390" s="97"/>
      <c r="G390" s="98"/>
      <c r="H390" s="99" t="s">
        <v>686</v>
      </c>
      <c r="I390" s="98"/>
      <c r="J390" s="101"/>
      <c r="K390" s="102"/>
      <c r="L390" s="102"/>
      <c r="M390" s="102"/>
      <c r="N390" s="98"/>
      <c r="O390" s="98"/>
      <c r="P390" s="98"/>
      <c r="Q390" s="98"/>
      <c r="R390" s="98"/>
      <c r="S390" s="98"/>
      <c r="T390" s="98"/>
      <c r="U390" s="109"/>
      <c r="V390" s="103"/>
      <c r="W390" s="96"/>
      <c r="X390" s="109" t="s">
        <v>1440</v>
      </c>
      <c r="Y390" s="96"/>
      <c r="Z390" s="98"/>
      <c r="AA390" s="98"/>
      <c r="AB390" s="98"/>
      <c r="AC390" s="98"/>
      <c r="AD390" s="98"/>
      <c r="AE390" s="98"/>
      <c r="AF390" s="98"/>
      <c r="AG390" s="98"/>
      <c r="AH390" s="98"/>
      <c r="AI390" s="98"/>
      <c r="AJ390" s="98"/>
      <c r="AK390" s="98"/>
      <c r="AL390" s="98"/>
      <c r="AM390" s="98"/>
      <c r="AN390" s="98"/>
      <c r="AO390" s="98"/>
      <c r="AP390" s="98"/>
      <c r="AQ390" s="98"/>
      <c r="AR390" s="98"/>
      <c r="AS390" s="98"/>
    </row>
    <row r="391" spans="1:45" s="4" customFormat="1">
      <c r="A391" s="111" t="s">
        <v>919</v>
      </c>
      <c r="B391" s="94">
        <v>680487167481</v>
      </c>
      <c r="C391" s="98" t="s">
        <v>920</v>
      </c>
      <c r="D391">
        <v>0</v>
      </c>
      <c r="E391" s="96"/>
      <c r="F391" s="97"/>
      <c r="G391" s="98"/>
      <c r="H391" s="99" t="s">
        <v>693</v>
      </c>
      <c r="I391" s="98"/>
      <c r="J391" s="101"/>
      <c r="K391" s="102"/>
      <c r="L391" s="102"/>
      <c r="M391" s="102"/>
      <c r="N391" s="98"/>
      <c r="O391" s="98"/>
      <c r="P391" s="98"/>
      <c r="Q391" s="98"/>
      <c r="R391" s="98"/>
      <c r="S391" s="98"/>
      <c r="T391" s="98"/>
      <c r="U391" s="109"/>
      <c r="V391" s="103"/>
      <c r="W391" s="96"/>
      <c r="X391" s="109" t="s">
        <v>1440</v>
      </c>
      <c r="Y391" s="96"/>
      <c r="Z391" s="98"/>
      <c r="AA391" s="98"/>
      <c r="AB391" s="98"/>
      <c r="AC391" s="98"/>
      <c r="AD391" s="98"/>
      <c r="AE391" s="98"/>
      <c r="AF391" s="98"/>
      <c r="AG391" s="98"/>
      <c r="AH391" s="98"/>
      <c r="AI391" s="98"/>
      <c r="AJ391" s="98"/>
      <c r="AK391" s="98"/>
      <c r="AL391" s="98"/>
      <c r="AM391" s="98"/>
      <c r="AN391" s="98"/>
      <c r="AO391" s="98"/>
      <c r="AP391" s="98"/>
      <c r="AQ391" s="98"/>
      <c r="AR391" s="98"/>
      <c r="AS391" s="98"/>
    </row>
    <row r="392" spans="1:45" s="4" customFormat="1">
      <c r="A392" s="111" t="s">
        <v>919</v>
      </c>
      <c r="B392" s="94">
        <v>680487183344</v>
      </c>
      <c r="C392" s="98" t="s">
        <v>920</v>
      </c>
      <c r="D392">
        <v>0</v>
      </c>
      <c r="E392" s="96"/>
      <c r="F392" s="97"/>
      <c r="G392" s="98"/>
      <c r="H392" s="99" t="s">
        <v>1274</v>
      </c>
      <c r="I392" s="98"/>
      <c r="J392" s="101"/>
      <c r="K392" s="102"/>
      <c r="L392" s="102"/>
      <c r="M392" s="102"/>
      <c r="N392" s="98"/>
      <c r="O392" s="98"/>
      <c r="P392" s="98"/>
      <c r="Q392" s="98"/>
      <c r="R392" s="98"/>
      <c r="S392" s="98"/>
      <c r="T392" s="98"/>
      <c r="U392" s="109"/>
      <c r="V392" s="103"/>
      <c r="W392" s="96"/>
      <c r="X392" s="109" t="s">
        <v>1440</v>
      </c>
      <c r="Y392" s="96"/>
      <c r="Z392" s="98"/>
      <c r="AA392" s="98"/>
      <c r="AB392" s="98"/>
      <c r="AC392" s="98"/>
      <c r="AD392" s="98"/>
      <c r="AE392" s="98"/>
      <c r="AF392" s="98"/>
      <c r="AG392" s="98"/>
      <c r="AH392" s="98"/>
      <c r="AI392" s="98"/>
      <c r="AJ392" s="98"/>
      <c r="AK392" s="98"/>
      <c r="AL392" s="98"/>
      <c r="AM392" s="98"/>
      <c r="AN392" s="98"/>
      <c r="AO392" s="98"/>
      <c r="AP392" s="98"/>
      <c r="AQ392" s="98"/>
      <c r="AR392" s="98"/>
      <c r="AS392" s="98"/>
    </row>
    <row r="393" spans="1:45" s="4" customFormat="1">
      <c r="A393" s="111" t="s">
        <v>919</v>
      </c>
      <c r="B393" s="94">
        <v>680487183351</v>
      </c>
      <c r="C393" s="98" t="s">
        <v>920</v>
      </c>
      <c r="D393">
        <v>0</v>
      </c>
      <c r="E393" s="96"/>
      <c r="F393" s="97"/>
      <c r="G393" s="98"/>
      <c r="H393" s="99" t="s">
        <v>1275</v>
      </c>
      <c r="I393" s="98"/>
      <c r="J393" s="101"/>
      <c r="K393" s="102"/>
      <c r="L393" s="102"/>
      <c r="M393" s="102"/>
      <c r="N393" s="98"/>
      <c r="O393" s="98"/>
      <c r="P393" s="98"/>
      <c r="Q393" s="98"/>
      <c r="R393" s="98"/>
      <c r="S393" s="98"/>
      <c r="T393" s="98"/>
      <c r="U393" s="109"/>
      <c r="V393" s="103"/>
      <c r="W393" s="96"/>
      <c r="X393" s="109" t="s">
        <v>1440</v>
      </c>
      <c r="Y393" s="96"/>
      <c r="Z393" s="98"/>
      <c r="AA393" s="98"/>
      <c r="AB393" s="98"/>
      <c r="AC393" s="98"/>
      <c r="AD393" s="98"/>
      <c r="AE393" s="98"/>
      <c r="AF393" s="98"/>
      <c r="AG393" s="98"/>
      <c r="AH393" s="98"/>
      <c r="AI393" s="98"/>
      <c r="AJ393" s="98"/>
      <c r="AK393" s="98"/>
      <c r="AL393" s="98"/>
      <c r="AM393" s="98"/>
      <c r="AN393" s="98"/>
      <c r="AO393" s="98"/>
      <c r="AP393" s="98"/>
      <c r="AQ393" s="98"/>
      <c r="AR393" s="98"/>
      <c r="AS393" s="98"/>
    </row>
    <row r="394" spans="1:45" s="4" customFormat="1">
      <c r="A394" s="111" t="s">
        <v>919</v>
      </c>
      <c r="B394" s="94">
        <v>680487183368</v>
      </c>
      <c r="C394" s="98" t="s">
        <v>920</v>
      </c>
      <c r="D394">
        <v>0</v>
      </c>
      <c r="E394" s="96"/>
      <c r="F394" s="97"/>
      <c r="G394" s="98"/>
      <c r="H394" s="99" t="s">
        <v>1276</v>
      </c>
      <c r="I394" s="98"/>
      <c r="J394" s="101"/>
      <c r="K394" s="102"/>
      <c r="L394" s="102"/>
      <c r="M394" s="102"/>
      <c r="N394" s="98"/>
      <c r="O394" s="98"/>
      <c r="P394" s="98"/>
      <c r="Q394" s="98"/>
      <c r="R394" s="98"/>
      <c r="S394" s="98"/>
      <c r="T394" s="98"/>
      <c r="U394" s="109"/>
      <c r="V394" s="103"/>
      <c r="W394" s="96"/>
      <c r="X394" s="109" t="s">
        <v>1440</v>
      </c>
      <c r="Y394" s="96"/>
      <c r="Z394" s="98"/>
      <c r="AA394" s="98"/>
      <c r="AB394" s="98"/>
      <c r="AC394" s="98"/>
      <c r="AD394" s="98"/>
      <c r="AE394" s="98"/>
      <c r="AF394" s="98"/>
      <c r="AG394" s="98"/>
      <c r="AH394" s="98"/>
      <c r="AI394" s="98"/>
      <c r="AJ394" s="98"/>
      <c r="AK394" s="98"/>
      <c r="AL394" s="98"/>
      <c r="AM394" s="98"/>
      <c r="AN394" s="98"/>
      <c r="AO394" s="98"/>
      <c r="AP394" s="98"/>
      <c r="AQ394" s="98"/>
      <c r="AR394" s="98"/>
      <c r="AS394" s="98"/>
    </row>
    <row r="395" spans="1:45" s="4" customFormat="1">
      <c r="A395" s="111" t="s">
        <v>919</v>
      </c>
      <c r="B395" s="94">
        <v>680487183375</v>
      </c>
      <c r="C395" s="98" t="s">
        <v>920</v>
      </c>
      <c r="D395">
        <v>0</v>
      </c>
      <c r="E395" s="96"/>
      <c r="F395" s="97"/>
      <c r="G395" s="98"/>
      <c r="H395" s="99" t="s">
        <v>1277</v>
      </c>
      <c r="I395" s="98"/>
      <c r="J395" s="101"/>
      <c r="K395" s="102"/>
      <c r="L395" s="102"/>
      <c r="M395" s="102"/>
      <c r="N395" s="98"/>
      <c r="O395" s="98"/>
      <c r="P395" s="98"/>
      <c r="Q395" s="98"/>
      <c r="R395" s="98"/>
      <c r="S395" s="98"/>
      <c r="T395" s="98"/>
      <c r="U395" s="109"/>
      <c r="V395" s="103"/>
      <c r="W395" s="96"/>
      <c r="X395" s="109" t="s">
        <v>1440</v>
      </c>
      <c r="Y395" s="96"/>
      <c r="Z395" s="98"/>
      <c r="AA395" s="98"/>
      <c r="AB395" s="98"/>
      <c r="AC395" s="98"/>
      <c r="AD395" s="98"/>
      <c r="AE395" s="98"/>
      <c r="AF395" s="98"/>
      <c r="AG395" s="98"/>
      <c r="AH395" s="98"/>
      <c r="AI395" s="98"/>
      <c r="AJ395" s="98"/>
      <c r="AK395" s="98"/>
      <c r="AL395" s="98"/>
      <c r="AM395" s="98"/>
      <c r="AN395" s="98"/>
      <c r="AO395" s="98"/>
      <c r="AP395" s="98"/>
      <c r="AQ395" s="98"/>
      <c r="AR395" s="98"/>
      <c r="AS395" s="98"/>
    </row>
    <row r="396" spans="1:45" s="4" customFormat="1">
      <c r="A396" s="111" t="s">
        <v>919</v>
      </c>
      <c r="B396" s="94">
        <v>680487198102</v>
      </c>
      <c r="C396" s="98" t="s">
        <v>920</v>
      </c>
      <c r="D396">
        <v>0</v>
      </c>
      <c r="E396" s="96"/>
      <c r="F396" s="97"/>
      <c r="G396" s="98"/>
      <c r="H396" s="99" t="s">
        <v>579</v>
      </c>
      <c r="I396" s="98"/>
      <c r="J396" s="101"/>
      <c r="K396" s="102"/>
      <c r="L396" s="102"/>
      <c r="M396" s="102"/>
      <c r="N396" s="98"/>
      <c r="O396" s="98"/>
      <c r="P396" s="98"/>
      <c r="Q396" s="98"/>
      <c r="R396" s="98"/>
      <c r="S396" s="98"/>
      <c r="T396" s="98"/>
      <c r="U396" s="109"/>
      <c r="V396" s="103"/>
      <c r="W396" s="96"/>
      <c r="X396" s="109" t="s">
        <v>1440</v>
      </c>
      <c r="Y396" s="96"/>
      <c r="Z396" s="98"/>
      <c r="AA396" s="98"/>
      <c r="AB396" s="98"/>
      <c r="AC396" s="98"/>
      <c r="AD396" s="98"/>
      <c r="AE396" s="98"/>
      <c r="AF396" s="98"/>
      <c r="AG396" s="98"/>
      <c r="AH396" s="98"/>
      <c r="AI396" s="98"/>
      <c r="AJ396" s="98"/>
      <c r="AK396" s="98"/>
      <c r="AL396" s="98"/>
      <c r="AM396" s="98"/>
      <c r="AN396" s="98"/>
      <c r="AO396" s="98"/>
      <c r="AP396" s="98"/>
      <c r="AQ396" s="98"/>
      <c r="AR396" s="98"/>
      <c r="AS396" s="98"/>
    </row>
    <row r="397" spans="1:45" s="4" customFormat="1">
      <c r="A397" s="111" t="s">
        <v>919</v>
      </c>
      <c r="B397" s="94">
        <v>680487198119</v>
      </c>
      <c r="C397" s="98" t="s">
        <v>920</v>
      </c>
      <c r="D397">
        <v>0</v>
      </c>
      <c r="E397" s="96"/>
      <c r="F397" s="97"/>
      <c r="G397" s="98"/>
      <c r="H397" s="99" t="s">
        <v>580</v>
      </c>
      <c r="I397" s="98"/>
      <c r="J397" s="101"/>
      <c r="K397" s="102"/>
      <c r="L397" s="102"/>
      <c r="M397" s="102"/>
      <c r="N397" s="98"/>
      <c r="O397" s="98"/>
      <c r="P397" s="98"/>
      <c r="Q397" s="98"/>
      <c r="R397" s="98"/>
      <c r="S397" s="98"/>
      <c r="T397" s="98"/>
      <c r="U397" s="109"/>
      <c r="V397" s="103"/>
      <c r="W397" s="96"/>
      <c r="X397" s="109" t="s">
        <v>1440</v>
      </c>
      <c r="Y397" s="96"/>
      <c r="Z397" s="98"/>
      <c r="AA397" s="98"/>
      <c r="AB397" s="98"/>
      <c r="AC397" s="98"/>
      <c r="AD397" s="98"/>
      <c r="AE397" s="98"/>
      <c r="AF397" s="98"/>
      <c r="AG397" s="98"/>
      <c r="AH397" s="98"/>
      <c r="AI397" s="98"/>
      <c r="AJ397" s="98"/>
      <c r="AK397" s="98"/>
      <c r="AL397" s="98"/>
      <c r="AM397" s="98"/>
      <c r="AN397" s="98"/>
      <c r="AO397" s="98"/>
      <c r="AP397" s="98"/>
      <c r="AQ397" s="98"/>
      <c r="AR397" s="98"/>
      <c r="AS397" s="98"/>
    </row>
    <row r="398" spans="1:45" s="4" customFormat="1">
      <c r="A398" s="111" t="s">
        <v>919</v>
      </c>
      <c r="B398" s="94">
        <v>680487198126</v>
      </c>
      <c r="C398" s="98" t="s">
        <v>920</v>
      </c>
      <c r="D398">
        <v>0</v>
      </c>
      <c r="E398" s="96"/>
      <c r="F398" s="97"/>
      <c r="G398" s="98"/>
      <c r="H398" s="99" t="s">
        <v>581</v>
      </c>
      <c r="I398" s="98"/>
      <c r="J398" s="101"/>
      <c r="K398" s="102"/>
      <c r="L398" s="102"/>
      <c r="M398" s="102"/>
      <c r="N398" s="98"/>
      <c r="O398" s="98"/>
      <c r="P398" s="98"/>
      <c r="Q398" s="98"/>
      <c r="R398" s="98"/>
      <c r="S398" s="98"/>
      <c r="T398" s="98"/>
      <c r="U398" s="109"/>
      <c r="V398" s="103"/>
      <c r="W398" s="96"/>
      <c r="X398" s="109" t="s">
        <v>1440</v>
      </c>
      <c r="Y398" s="96"/>
      <c r="Z398" s="98"/>
      <c r="AA398" s="98"/>
      <c r="AB398" s="98"/>
      <c r="AC398" s="98"/>
      <c r="AD398" s="98"/>
      <c r="AE398" s="98"/>
      <c r="AF398" s="98"/>
      <c r="AG398" s="98"/>
      <c r="AH398" s="98"/>
      <c r="AI398" s="98"/>
      <c r="AJ398" s="98"/>
      <c r="AK398" s="98"/>
      <c r="AL398" s="98"/>
      <c r="AM398" s="98"/>
      <c r="AN398" s="98"/>
      <c r="AO398" s="98"/>
      <c r="AP398" s="98"/>
      <c r="AQ398" s="98"/>
      <c r="AR398" s="98"/>
      <c r="AS398" s="98"/>
    </row>
    <row r="399" spans="1:45" s="4" customFormat="1">
      <c r="A399" s="111" t="s">
        <v>919</v>
      </c>
      <c r="B399" s="94">
        <v>680487198133</v>
      </c>
      <c r="C399" s="98" t="s">
        <v>920</v>
      </c>
      <c r="D399">
        <v>0</v>
      </c>
      <c r="E399" s="96"/>
      <c r="F399" s="97"/>
      <c r="G399" s="98"/>
      <c r="H399" s="99" t="s">
        <v>582</v>
      </c>
      <c r="I399" s="98"/>
      <c r="J399" s="101"/>
      <c r="K399" s="102"/>
      <c r="L399" s="102"/>
      <c r="M399" s="102"/>
      <c r="N399" s="98"/>
      <c r="O399" s="98"/>
      <c r="P399" s="98"/>
      <c r="Q399" s="98"/>
      <c r="R399" s="98"/>
      <c r="S399" s="98"/>
      <c r="T399" s="98"/>
      <c r="U399" s="109"/>
      <c r="V399" s="103"/>
      <c r="W399" s="96"/>
      <c r="X399" s="109" t="s">
        <v>1440</v>
      </c>
      <c r="Y399" s="96"/>
      <c r="Z399" s="98"/>
      <c r="AA399" s="98"/>
      <c r="AB399" s="98"/>
      <c r="AC399" s="98"/>
      <c r="AD399" s="98"/>
      <c r="AE399" s="98"/>
      <c r="AF399" s="98"/>
      <c r="AG399" s="98"/>
      <c r="AH399" s="98"/>
      <c r="AI399" s="98"/>
      <c r="AJ399" s="98"/>
      <c r="AK399" s="98"/>
      <c r="AL399" s="98"/>
      <c r="AM399" s="98"/>
      <c r="AN399" s="98"/>
      <c r="AO399" s="98"/>
      <c r="AP399" s="98"/>
      <c r="AQ399" s="98"/>
      <c r="AR399" s="98"/>
      <c r="AS399" s="98"/>
    </row>
    <row r="400" spans="1:45" s="4" customFormat="1">
      <c r="A400" s="111" t="s">
        <v>919</v>
      </c>
      <c r="B400" s="94">
        <v>680487198140</v>
      </c>
      <c r="C400" s="98" t="s">
        <v>920</v>
      </c>
      <c r="D400">
        <v>0</v>
      </c>
      <c r="E400" s="96"/>
      <c r="F400" s="97"/>
      <c r="G400" s="98"/>
      <c r="H400" s="99" t="s">
        <v>689</v>
      </c>
      <c r="I400" s="98"/>
      <c r="J400" s="101"/>
      <c r="K400" s="102"/>
      <c r="L400" s="102"/>
      <c r="M400" s="102"/>
      <c r="N400" s="98"/>
      <c r="O400" s="98"/>
      <c r="P400" s="98"/>
      <c r="Q400" s="98"/>
      <c r="R400" s="98"/>
      <c r="S400" s="98"/>
      <c r="T400" s="98"/>
      <c r="U400" s="109"/>
      <c r="V400" s="103"/>
      <c r="W400" s="96"/>
      <c r="X400" s="109" t="s">
        <v>1440</v>
      </c>
      <c r="Y400" s="96"/>
      <c r="Z400" s="98"/>
      <c r="AA400" s="98"/>
      <c r="AB400" s="98"/>
      <c r="AC400" s="98"/>
      <c r="AD400" s="98"/>
      <c r="AE400" s="98"/>
      <c r="AF400" s="98"/>
      <c r="AG400" s="98"/>
      <c r="AH400" s="98"/>
      <c r="AI400" s="98"/>
      <c r="AJ400" s="98"/>
      <c r="AK400" s="98"/>
      <c r="AL400" s="98"/>
      <c r="AM400" s="98"/>
      <c r="AN400" s="98"/>
      <c r="AO400" s="98"/>
      <c r="AP400" s="98"/>
      <c r="AQ400" s="98"/>
      <c r="AR400" s="98"/>
      <c r="AS400" s="98"/>
    </row>
    <row r="401" spans="1:45" s="4" customFormat="1">
      <c r="A401" s="111" t="s">
        <v>919</v>
      </c>
      <c r="B401" s="94">
        <v>680487198157</v>
      </c>
      <c r="C401" s="98" t="s">
        <v>920</v>
      </c>
      <c r="D401">
        <v>0</v>
      </c>
      <c r="E401" s="96"/>
      <c r="F401" s="97"/>
      <c r="G401" s="98"/>
      <c r="H401" s="99" t="s">
        <v>690</v>
      </c>
      <c r="I401" s="98"/>
      <c r="J401" s="101"/>
      <c r="K401" s="102"/>
      <c r="L401" s="102"/>
      <c r="M401" s="102"/>
      <c r="N401" s="98"/>
      <c r="O401" s="98"/>
      <c r="P401" s="98"/>
      <c r="Q401" s="98"/>
      <c r="R401" s="98"/>
      <c r="S401" s="98"/>
      <c r="T401" s="98"/>
      <c r="U401" s="109"/>
      <c r="V401" s="103"/>
      <c r="W401" s="96"/>
      <c r="X401" s="109" t="s">
        <v>1440</v>
      </c>
      <c r="Y401" s="96"/>
      <c r="Z401" s="98"/>
      <c r="AA401" s="98"/>
      <c r="AB401" s="98"/>
      <c r="AC401" s="98"/>
      <c r="AD401" s="98"/>
      <c r="AE401" s="98"/>
      <c r="AF401" s="98"/>
      <c r="AG401" s="98"/>
      <c r="AH401" s="98"/>
      <c r="AI401" s="98"/>
      <c r="AJ401" s="98"/>
      <c r="AK401" s="98"/>
      <c r="AL401" s="98"/>
      <c r="AM401" s="98"/>
      <c r="AN401" s="98"/>
      <c r="AO401" s="98"/>
      <c r="AP401" s="98"/>
      <c r="AQ401" s="98"/>
      <c r="AR401" s="98"/>
      <c r="AS401" s="98"/>
    </row>
    <row r="402" spans="1:45" s="4" customFormat="1">
      <c r="A402" s="111" t="s">
        <v>919</v>
      </c>
      <c r="B402" s="94">
        <v>680487198164</v>
      </c>
      <c r="C402" s="98" t="s">
        <v>920</v>
      </c>
      <c r="D402">
        <v>0</v>
      </c>
      <c r="E402" s="96"/>
      <c r="F402" s="97"/>
      <c r="G402" s="98"/>
      <c r="H402" s="99" t="s">
        <v>583</v>
      </c>
      <c r="I402" s="98"/>
      <c r="J402" s="101"/>
      <c r="K402" s="102"/>
      <c r="L402" s="102"/>
      <c r="M402" s="102"/>
      <c r="N402" s="98"/>
      <c r="O402" s="98"/>
      <c r="P402" s="98"/>
      <c r="Q402" s="98"/>
      <c r="R402" s="98"/>
      <c r="S402" s="98"/>
      <c r="T402" s="98"/>
      <c r="U402" s="109"/>
      <c r="V402" s="103"/>
      <c r="W402" s="96"/>
      <c r="X402" s="109" t="s">
        <v>1440</v>
      </c>
      <c r="Y402" s="96"/>
      <c r="Z402" s="98"/>
      <c r="AA402" s="98"/>
      <c r="AB402" s="98"/>
      <c r="AC402" s="98"/>
      <c r="AD402" s="98"/>
      <c r="AE402" s="98"/>
      <c r="AF402" s="98"/>
      <c r="AG402" s="98"/>
      <c r="AH402" s="98"/>
      <c r="AI402" s="98"/>
      <c r="AJ402" s="98"/>
      <c r="AK402" s="98"/>
      <c r="AL402" s="98"/>
      <c r="AM402" s="98"/>
      <c r="AN402" s="98"/>
      <c r="AO402" s="98"/>
      <c r="AP402" s="98"/>
      <c r="AQ402" s="98"/>
      <c r="AR402" s="98"/>
      <c r="AS402" s="98"/>
    </row>
    <row r="403" spans="1:45" s="4" customFormat="1">
      <c r="A403" s="111" t="s">
        <v>919</v>
      </c>
      <c r="B403" s="94">
        <v>680487198171</v>
      </c>
      <c r="C403" s="98" t="s">
        <v>920</v>
      </c>
      <c r="D403">
        <v>0</v>
      </c>
      <c r="E403" s="96"/>
      <c r="F403" s="97"/>
      <c r="G403" s="98"/>
      <c r="H403" s="99" t="s">
        <v>584</v>
      </c>
      <c r="I403" s="98"/>
      <c r="J403" s="101"/>
      <c r="K403" s="102"/>
      <c r="L403" s="102"/>
      <c r="M403" s="102"/>
      <c r="N403" s="98"/>
      <c r="O403" s="98"/>
      <c r="P403" s="98"/>
      <c r="Q403" s="98"/>
      <c r="R403" s="98"/>
      <c r="S403" s="98"/>
      <c r="T403" s="98"/>
      <c r="U403" s="109"/>
      <c r="V403" s="103"/>
      <c r="W403" s="96"/>
      <c r="X403" s="109" t="s">
        <v>1440</v>
      </c>
      <c r="Y403" s="96"/>
      <c r="Z403" s="98"/>
      <c r="AA403" s="98"/>
      <c r="AB403" s="98"/>
      <c r="AC403" s="98"/>
      <c r="AD403" s="98"/>
      <c r="AE403" s="98"/>
      <c r="AF403" s="98"/>
      <c r="AG403" s="98"/>
      <c r="AH403" s="98"/>
      <c r="AI403" s="98"/>
      <c r="AJ403" s="98"/>
      <c r="AK403" s="98"/>
      <c r="AL403" s="98"/>
      <c r="AM403" s="98"/>
      <c r="AN403" s="98"/>
      <c r="AO403" s="98"/>
      <c r="AP403" s="98"/>
      <c r="AQ403" s="98"/>
      <c r="AR403" s="98"/>
      <c r="AS403" s="98"/>
    </row>
    <row r="404" spans="1:45" s="4" customFormat="1">
      <c r="A404" s="111" t="s">
        <v>919</v>
      </c>
      <c r="B404" s="94">
        <v>680487182828</v>
      </c>
      <c r="C404" s="98" t="s">
        <v>920</v>
      </c>
      <c r="D404">
        <v>0</v>
      </c>
      <c r="E404" s="96"/>
      <c r="F404" s="97"/>
      <c r="G404" s="98"/>
      <c r="H404" s="99" t="s">
        <v>668</v>
      </c>
      <c r="I404" s="98"/>
      <c r="J404" s="101"/>
      <c r="K404" s="102"/>
      <c r="L404" s="102"/>
      <c r="M404" s="102"/>
      <c r="N404" s="98"/>
      <c r="O404" s="98"/>
      <c r="P404" s="98"/>
      <c r="Q404" s="98"/>
      <c r="R404" s="98"/>
      <c r="S404" s="98"/>
      <c r="T404" s="98"/>
      <c r="U404" s="109"/>
      <c r="V404" s="103"/>
      <c r="W404" s="96"/>
      <c r="X404" s="109" t="s">
        <v>1440</v>
      </c>
      <c r="Y404" s="96"/>
      <c r="Z404" s="98"/>
      <c r="AA404" s="98"/>
      <c r="AB404" s="98"/>
      <c r="AC404" s="98"/>
      <c r="AD404" s="98"/>
      <c r="AE404" s="98"/>
      <c r="AF404" s="98"/>
      <c r="AG404" s="98"/>
      <c r="AH404" s="98"/>
      <c r="AI404" s="98"/>
      <c r="AJ404" s="98"/>
      <c r="AK404" s="98"/>
      <c r="AL404" s="98"/>
      <c r="AM404" s="98"/>
      <c r="AN404" s="98"/>
      <c r="AO404" s="98"/>
      <c r="AP404" s="98"/>
      <c r="AQ404" s="98"/>
      <c r="AR404" s="98"/>
      <c r="AS404" s="98"/>
    </row>
    <row r="405" spans="1:45" s="4" customFormat="1">
      <c r="A405" s="111" t="s">
        <v>919</v>
      </c>
      <c r="B405" s="94">
        <v>680487182835</v>
      </c>
      <c r="C405" s="98" t="s">
        <v>920</v>
      </c>
      <c r="D405">
        <v>0</v>
      </c>
      <c r="E405" s="96"/>
      <c r="F405" s="97"/>
      <c r="G405" s="98"/>
      <c r="H405" s="99" t="s">
        <v>669</v>
      </c>
      <c r="I405" s="98"/>
      <c r="J405" s="101"/>
      <c r="K405" s="102"/>
      <c r="L405" s="102"/>
      <c r="M405" s="102"/>
      <c r="N405" s="98"/>
      <c r="O405" s="98"/>
      <c r="P405" s="98"/>
      <c r="Q405" s="98"/>
      <c r="R405" s="98"/>
      <c r="S405" s="98"/>
      <c r="T405" s="98"/>
      <c r="U405" s="109"/>
      <c r="V405" s="103"/>
      <c r="W405" s="96"/>
      <c r="X405" s="109" t="s">
        <v>1440</v>
      </c>
      <c r="Y405" s="96"/>
      <c r="Z405" s="98"/>
      <c r="AA405" s="98"/>
      <c r="AB405" s="98"/>
      <c r="AC405" s="98"/>
      <c r="AD405" s="98"/>
      <c r="AE405" s="98"/>
      <c r="AF405" s="98"/>
      <c r="AG405" s="98"/>
      <c r="AH405" s="98"/>
      <c r="AI405" s="98"/>
      <c r="AJ405" s="98"/>
      <c r="AK405" s="98"/>
      <c r="AL405" s="98"/>
      <c r="AM405" s="98"/>
      <c r="AN405" s="98"/>
      <c r="AO405" s="98"/>
      <c r="AP405" s="98"/>
      <c r="AQ405" s="98"/>
      <c r="AR405" s="98"/>
      <c r="AS405" s="98"/>
    </row>
    <row r="406" spans="1:45" s="4" customFormat="1">
      <c r="A406" s="111" t="s">
        <v>919</v>
      </c>
      <c r="B406" s="94">
        <v>680487198201</v>
      </c>
      <c r="C406" s="98" t="s">
        <v>920</v>
      </c>
      <c r="D406">
        <v>0</v>
      </c>
      <c r="E406" s="96"/>
      <c r="F406" s="97"/>
      <c r="G406" s="98"/>
      <c r="H406" s="99" t="s">
        <v>591</v>
      </c>
      <c r="I406" s="98"/>
      <c r="J406" s="101"/>
      <c r="K406" s="102"/>
      <c r="L406" s="102"/>
      <c r="M406" s="102"/>
      <c r="N406" s="98"/>
      <c r="O406" s="98"/>
      <c r="P406" s="98"/>
      <c r="Q406" s="98"/>
      <c r="R406" s="98"/>
      <c r="S406" s="98"/>
      <c r="T406" s="98"/>
      <c r="U406" s="109"/>
      <c r="V406" s="103"/>
      <c r="W406" s="96"/>
      <c r="X406" s="109" t="s">
        <v>1440</v>
      </c>
      <c r="Y406" s="96"/>
      <c r="Z406" s="98"/>
      <c r="AA406" s="98"/>
      <c r="AB406" s="98"/>
      <c r="AC406" s="98"/>
      <c r="AD406" s="98"/>
      <c r="AE406" s="98"/>
      <c r="AF406" s="98"/>
      <c r="AG406" s="98"/>
      <c r="AH406" s="98"/>
      <c r="AI406" s="98"/>
      <c r="AJ406" s="98"/>
      <c r="AK406" s="98"/>
      <c r="AL406" s="98"/>
      <c r="AM406" s="98"/>
      <c r="AN406" s="98"/>
      <c r="AO406" s="98"/>
      <c r="AP406" s="98"/>
      <c r="AQ406" s="98"/>
      <c r="AR406" s="98"/>
      <c r="AS406" s="98"/>
    </row>
    <row r="407" spans="1:45" s="4" customFormat="1">
      <c r="A407" s="111" t="s">
        <v>919</v>
      </c>
      <c r="B407" s="94">
        <v>680487198218</v>
      </c>
      <c r="C407" s="98" t="s">
        <v>920</v>
      </c>
      <c r="D407">
        <v>0</v>
      </c>
      <c r="E407" s="96"/>
      <c r="F407" s="97"/>
      <c r="G407" s="98"/>
      <c r="H407" s="99" t="s">
        <v>592</v>
      </c>
      <c r="I407" s="98"/>
      <c r="J407" s="101"/>
      <c r="K407" s="102"/>
      <c r="L407" s="102"/>
      <c r="M407" s="102"/>
      <c r="N407" s="98"/>
      <c r="O407" s="98"/>
      <c r="P407" s="98"/>
      <c r="Q407" s="98"/>
      <c r="R407" s="98"/>
      <c r="S407" s="98"/>
      <c r="T407" s="98"/>
      <c r="U407" s="109"/>
      <c r="V407" s="103"/>
      <c r="W407" s="96"/>
      <c r="X407" s="109" t="s">
        <v>1440</v>
      </c>
      <c r="Y407" s="96"/>
      <c r="Z407" s="98"/>
      <c r="AA407" s="98"/>
      <c r="AB407" s="98"/>
      <c r="AC407" s="98"/>
      <c r="AD407" s="98"/>
      <c r="AE407" s="98"/>
      <c r="AF407" s="98"/>
      <c r="AG407" s="98"/>
      <c r="AH407" s="98"/>
      <c r="AI407" s="98"/>
      <c r="AJ407" s="98"/>
      <c r="AK407" s="98"/>
      <c r="AL407" s="98"/>
      <c r="AM407" s="98"/>
      <c r="AN407" s="98"/>
      <c r="AO407" s="98"/>
      <c r="AP407" s="98"/>
      <c r="AQ407" s="98"/>
      <c r="AR407" s="98"/>
      <c r="AS407" s="98"/>
    </row>
    <row r="408" spans="1:45" s="4" customFormat="1">
      <c r="A408" s="111" t="s">
        <v>919</v>
      </c>
      <c r="B408" s="94">
        <v>680487198225</v>
      </c>
      <c r="C408" s="98" t="s">
        <v>920</v>
      </c>
      <c r="D408">
        <v>0</v>
      </c>
      <c r="E408" s="96"/>
      <c r="F408" s="97"/>
      <c r="G408" s="98"/>
      <c r="H408" s="99" t="s">
        <v>585</v>
      </c>
      <c r="I408" s="98"/>
      <c r="J408" s="101"/>
      <c r="K408" s="102"/>
      <c r="L408" s="102"/>
      <c r="M408" s="102"/>
      <c r="N408" s="98"/>
      <c r="O408" s="98"/>
      <c r="P408" s="98"/>
      <c r="Q408" s="98"/>
      <c r="R408" s="98"/>
      <c r="S408" s="98"/>
      <c r="T408" s="98"/>
      <c r="U408" s="109"/>
      <c r="V408" s="103"/>
      <c r="W408" s="96"/>
      <c r="X408" s="109" t="s">
        <v>1440</v>
      </c>
      <c r="Y408" s="96"/>
      <c r="Z408" s="98"/>
      <c r="AA408" s="98"/>
      <c r="AB408" s="98"/>
      <c r="AC408" s="98"/>
      <c r="AD408" s="98"/>
      <c r="AE408" s="98"/>
      <c r="AF408" s="98"/>
      <c r="AG408" s="98"/>
      <c r="AH408" s="98"/>
      <c r="AI408" s="98"/>
      <c r="AJ408" s="98"/>
      <c r="AK408" s="98"/>
      <c r="AL408" s="98"/>
      <c r="AM408" s="98"/>
      <c r="AN408" s="98"/>
      <c r="AO408" s="98"/>
      <c r="AP408" s="98"/>
      <c r="AQ408" s="98"/>
      <c r="AR408" s="98"/>
      <c r="AS408" s="98"/>
    </row>
    <row r="409" spans="1:45" s="4" customFormat="1">
      <c r="A409" s="111" t="s">
        <v>919</v>
      </c>
      <c r="B409" s="94">
        <v>680487198232</v>
      </c>
      <c r="C409" s="98" t="s">
        <v>920</v>
      </c>
      <c r="D409">
        <v>0</v>
      </c>
      <c r="E409" s="96"/>
      <c r="F409" s="97"/>
      <c r="G409" s="98"/>
      <c r="H409" s="99" t="s">
        <v>586</v>
      </c>
      <c r="I409" s="98"/>
      <c r="J409" s="101"/>
      <c r="K409" s="102"/>
      <c r="L409" s="102"/>
      <c r="M409" s="102"/>
      <c r="N409" s="98"/>
      <c r="O409" s="98"/>
      <c r="P409" s="98"/>
      <c r="Q409" s="98"/>
      <c r="R409" s="98"/>
      <c r="S409" s="98"/>
      <c r="T409" s="98"/>
      <c r="U409" s="109"/>
      <c r="V409" s="103"/>
      <c r="W409" s="96"/>
      <c r="X409" s="109" t="s">
        <v>1440</v>
      </c>
      <c r="Y409" s="96"/>
      <c r="Z409" s="98"/>
      <c r="AA409" s="98"/>
      <c r="AB409" s="98"/>
      <c r="AC409" s="98"/>
      <c r="AD409" s="98"/>
      <c r="AE409" s="98"/>
      <c r="AF409" s="98"/>
      <c r="AG409" s="98"/>
      <c r="AH409" s="98"/>
      <c r="AI409" s="98"/>
      <c r="AJ409" s="98"/>
      <c r="AK409" s="98"/>
      <c r="AL409" s="98"/>
      <c r="AM409" s="98"/>
      <c r="AN409" s="98"/>
      <c r="AO409" s="98"/>
      <c r="AP409" s="98"/>
      <c r="AQ409" s="98"/>
      <c r="AR409" s="98"/>
      <c r="AS409" s="98"/>
    </row>
    <row r="410" spans="1:45" s="4" customFormat="1">
      <c r="A410" s="111" t="s">
        <v>919</v>
      </c>
      <c r="B410" s="94">
        <v>680487198249</v>
      </c>
      <c r="C410" s="98" t="s">
        <v>920</v>
      </c>
      <c r="D410">
        <v>0</v>
      </c>
      <c r="E410" s="96"/>
      <c r="F410" s="97"/>
      <c r="G410" s="98"/>
      <c r="H410" s="99" t="s">
        <v>587</v>
      </c>
      <c r="I410" s="98"/>
      <c r="J410" s="101"/>
      <c r="K410" s="102"/>
      <c r="L410" s="102"/>
      <c r="M410" s="102"/>
      <c r="N410" s="98"/>
      <c r="O410" s="98"/>
      <c r="P410" s="98"/>
      <c r="Q410" s="98"/>
      <c r="R410" s="98"/>
      <c r="S410" s="98"/>
      <c r="T410" s="98"/>
      <c r="U410" s="109"/>
      <c r="V410" s="103"/>
      <c r="W410" s="96"/>
      <c r="X410" s="109" t="s">
        <v>1440</v>
      </c>
      <c r="Y410" s="96"/>
      <c r="Z410" s="98"/>
      <c r="AA410" s="98"/>
      <c r="AB410" s="98"/>
      <c r="AC410" s="98"/>
      <c r="AD410" s="98"/>
      <c r="AE410" s="98"/>
      <c r="AF410" s="98"/>
      <c r="AG410" s="98"/>
      <c r="AH410" s="98"/>
      <c r="AI410" s="98"/>
      <c r="AJ410" s="98"/>
      <c r="AK410" s="98"/>
      <c r="AL410" s="98"/>
      <c r="AM410" s="98"/>
      <c r="AN410" s="98"/>
      <c r="AO410" s="98"/>
      <c r="AP410" s="98"/>
      <c r="AQ410" s="98"/>
      <c r="AR410" s="98"/>
      <c r="AS410" s="98"/>
    </row>
    <row r="411" spans="1:45" s="4" customFormat="1">
      <c r="A411" s="111" t="s">
        <v>919</v>
      </c>
      <c r="B411" s="94">
        <v>680487198256</v>
      </c>
      <c r="C411" s="98" t="s">
        <v>920</v>
      </c>
      <c r="D411">
        <v>0</v>
      </c>
      <c r="E411" s="96"/>
      <c r="F411" s="97"/>
      <c r="G411" s="98"/>
      <c r="H411" s="99" t="s">
        <v>588</v>
      </c>
      <c r="I411" s="98"/>
      <c r="J411" s="101"/>
      <c r="K411" s="102"/>
      <c r="L411" s="102"/>
      <c r="M411" s="102"/>
      <c r="N411" s="98"/>
      <c r="O411" s="98"/>
      <c r="P411" s="98"/>
      <c r="Q411" s="98"/>
      <c r="R411" s="98"/>
      <c r="S411" s="98"/>
      <c r="T411" s="98"/>
      <c r="U411" s="109"/>
      <c r="V411" s="103"/>
      <c r="W411" s="96"/>
      <c r="X411" s="109" t="s">
        <v>1440</v>
      </c>
      <c r="Y411" s="96"/>
      <c r="Z411" s="98"/>
      <c r="AA411" s="98"/>
      <c r="AB411" s="98"/>
      <c r="AC411" s="98"/>
      <c r="AD411" s="98"/>
      <c r="AE411" s="98"/>
      <c r="AF411" s="98"/>
      <c r="AG411" s="98"/>
      <c r="AH411" s="98"/>
      <c r="AI411" s="98"/>
      <c r="AJ411" s="98"/>
      <c r="AK411" s="98"/>
      <c r="AL411" s="98"/>
      <c r="AM411" s="98"/>
      <c r="AN411" s="98"/>
      <c r="AO411" s="98"/>
      <c r="AP411" s="98"/>
      <c r="AQ411" s="98"/>
      <c r="AR411" s="98"/>
      <c r="AS411" s="98"/>
    </row>
    <row r="412" spans="1:45" s="4" customFormat="1">
      <c r="A412" s="111" t="s">
        <v>919</v>
      </c>
      <c r="B412" s="94">
        <v>680487198263</v>
      </c>
      <c r="C412" s="98" t="s">
        <v>920</v>
      </c>
      <c r="D412">
        <v>0</v>
      </c>
      <c r="E412" s="96"/>
      <c r="F412" s="97"/>
      <c r="G412" s="98"/>
      <c r="H412" s="99" t="s">
        <v>589</v>
      </c>
      <c r="I412" s="98"/>
      <c r="J412" s="101"/>
      <c r="K412" s="102"/>
      <c r="L412" s="102"/>
      <c r="M412" s="102"/>
      <c r="N412" s="98"/>
      <c r="O412" s="98"/>
      <c r="P412" s="98"/>
      <c r="Q412" s="98"/>
      <c r="R412" s="98"/>
      <c r="S412" s="98"/>
      <c r="T412" s="98"/>
      <c r="U412" s="109"/>
      <c r="V412" s="103"/>
      <c r="W412" s="96"/>
      <c r="X412" s="109" t="s">
        <v>1440</v>
      </c>
      <c r="Y412" s="96"/>
      <c r="Z412" s="98"/>
      <c r="AA412" s="98"/>
      <c r="AB412" s="98"/>
      <c r="AC412" s="98"/>
      <c r="AD412" s="98"/>
      <c r="AE412" s="98"/>
      <c r="AF412" s="98"/>
      <c r="AG412" s="98"/>
      <c r="AH412" s="98"/>
      <c r="AI412" s="98"/>
      <c r="AJ412" s="98"/>
      <c r="AK412" s="98"/>
      <c r="AL412" s="98"/>
      <c r="AM412" s="98"/>
      <c r="AN412" s="98"/>
      <c r="AO412" s="98"/>
      <c r="AP412" s="98"/>
      <c r="AQ412" s="98"/>
      <c r="AR412" s="98"/>
      <c r="AS412" s="98"/>
    </row>
    <row r="413" spans="1:45" s="4" customFormat="1">
      <c r="A413" s="111" t="s">
        <v>919</v>
      </c>
      <c r="B413" s="94">
        <v>680487198270</v>
      </c>
      <c r="C413" s="98" t="s">
        <v>920</v>
      </c>
      <c r="D413">
        <v>0</v>
      </c>
      <c r="E413" s="96"/>
      <c r="F413" s="97"/>
      <c r="G413" s="98"/>
      <c r="H413" s="99" t="s">
        <v>590</v>
      </c>
      <c r="I413" s="98"/>
      <c r="J413" s="101"/>
      <c r="K413" s="102"/>
      <c r="L413" s="102"/>
      <c r="M413" s="102"/>
      <c r="N413" s="98"/>
      <c r="O413" s="98"/>
      <c r="P413" s="98"/>
      <c r="Q413" s="98"/>
      <c r="R413" s="98"/>
      <c r="S413" s="98"/>
      <c r="T413" s="98"/>
      <c r="U413" s="109"/>
      <c r="V413" s="103"/>
      <c r="W413" s="96"/>
      <c r="X413" s="109" t="s">
        <v>1440</v>
      </c>
      <c r="Y413" s="96"/>
      <c r="Z413" s="98"/>
      <c r="AA413" s="98"/>
      <c r="AB413" s="98"/>
      <c r="AC413" s="98"/>
      <c r="AD413" s="98"/>
      <c r="AE413" s="98"/>
      <c r="AF413" s="98"/>
      <c r="AG413" s="98"/>
      <c r="AH413" s="98"/>
      <c r="AI413" s="98"/>
      <c r="AJ413" s="98"/>
      <c r="AK413" s="98"/>
      <c r="AL413" s="98"/>
      <c r="AM413" s="98"/>
      <c r="AN413" s="98"/>
      <c r="AO413" s="98"/>
      <c r="AP413" s="98"/>
      <c r="AQ413" s="98"/>
      <c r="AR413" s="98"/>
      <c r="AS413" s="98"/>
    </row>
    <row r="414" spans="1:45" s="4" customFormat="1">
      <c r="A414" s="111" t="s">
        <v>919</v>
      </c>
      <c r="B414" s="94">
        <v>680487198287</v>
      </c>
      <c r="C414" s="98" t="s">
        <v>920</v>
      </c>
      <c r="D414">
        <v>0</v>
      </c>
      <c r="E414" s="96"/>
      <c r="F414" s="97"/>
      <c r="G414" s="98"/>
      <c r="H414" s="99" t="s">
        <v>593</v>
      </c>
      <c r="I414" s="98"/>
      <c r="J414" s="101"/>
      <c r="K414" s="102"/>
      <c r="L414" s="102"/>
      <c r="M414" s="102"/>
      <c r="N414" s="98"/>
      <c r="O414" s="98"/>
      <c r="P414" s="98"/>
      <c r="Q414" s="98"/>
      <c r="R414" s="98"/>
      <c r="S414" s="98"/>
      <c r="T414" s="98"/>
      <c r="U414" s="109"/>
      <c r="V414" s="103"/>
      <c r="W414" s="96"/>
      <c r="X414" s="109" t="s">
        <v>1440</v>
      </c>
      <c r="Y414" s="96"/>
      <c r="Z414" s="98"/>
      <c r="AA414" s="98"/>
      <c r="AB414" s="98"/>
      <c r="AC414" s="98"/>
      <c r="AD414" s="98"/>
      <c r="AE414" s="98"/>
      <c r="AF414" s="98"/>
      <c r="AG414" s="98"/>
      <c r="AH414" s="98"/>
      <c r="AI414" s="98"/>
      <c r="AJ414" s="98"/>
      <c r="AK414" s="98"/>
      <c r="AL414" s="98"/>
      <c r="AM414" s="98"/>
      <c r="AN414" s="98"/>
      <c r="AO414" s="98"/>
      <c r="AP414" s="98"/>
      <c r="AQ414" s="98"/>
      <c r="AR414" s="98"/>
      <c r="AS414" s="98"/>
    </row>
    <row r="415" spans="1:45" s="4" customFormat="1">
      <c r="A415" s="111" t="s">
        <v>919</v>
      </c>
      <c r="B415" s="94">
        <v>680487198294</v>
      </c>
      <c r="C415" s="98" t="s">
        <v>920</v>
      </c>
      <c r="D415">
        <v>0</v>
      </c>
      <c r="E415" s="96"/>
      <c r="F415" s="97"/>
      <c r="G415" s="98"/>
      <c r="H415" s="99" t="s">
        <v>594</v>
      </c>
      <c r="I415" s="98"/>
      <c r="J415" s="101"/>
      <c r="K415" s="102"/>
      <c r="L415" s="102"/>
      <c r="M415" s="102"/>
      <c r="N415" s="98"/>
      <c r="O415" s="98"/>
      <c r="P415" s="98"/>
      <c r="Q415" s="98"/>
      <c r="R415" s="98"/>
      <c r="S415" s="98"/>
      <c r="T415" s="98"/>
      <c r="U415" s="109"/>
      <c r="V415" s="103"/>
      <c r="W415" s="96"/>
      <c r="X415" s="109" t="s">
        <v>1440</v>
      </c>
      <c r="Y415" s="96"/>
      <c r="Z415" s="98"/>
      <c r="AA415" s="98"/>
      <c r="AB415" s="98"/>
      <c r="AC415" s="98"/>
      <c r="AD415" s="98"/>
      <c r="AE415" s="98"/>
      <c r="AF415" s="98"/>
      <c r="AG415" s="98"/>
      <c r="AH415" s="98"/>
      <c r="AI415" s="98"/>
      <c r="AJ415" s="98"/>
      <c r="AK415" s="98"/>
      <c r="AL415" s="98"/>
      <c r="AM415" s="98"/>
      <c r="AN415" s="98"/>
      <c r="AO415" s="98"/>
      <c r="AP415" s="98"/>
      <c r="AQ415" s="98"/>
      <c r="AR415" s="98"/>
      <c r="AS415" s="98"/>
    </row>
    <row r="416" spans="1:45" s="4" customFormat="1">
      <c r="A416" s="111" t="s">
        <v>919</v>
      </c>
      <c r="B416" s="94">
        <v>680487198300</v>
      </c>
      <c r="C416" s="98" t="s">
        <v>920</v>
      </c>
      <c r="D416">
        <v>0</v>
      </c>
      <c r="E416" s="96"/>
      <c r="F416" s="97"/>
      <c r="G416" s="98"/>
      <c r="H416" s="99" t="s">
        <v>595</v>
      </c>
      <c r="I416" s="98"/>
      <c r="J416" s="101"/>
      <c r="K416" s="102"/>
      <c r="L416" s="102"/>
      <c r="M416" s="102"/>
      <c r="N416" s="98"/>
      <c r="O416" s="98"/>
      <c r="P416" s="98"/>
      <c r="Q416" s="98"/>
      <c r="R416" s="98"/>
      <c r="S416" s="98"/>
      <c r="T416" s="98"/>
      <c r="U416" s="109"/>
      <c r="V416" s="103"/>
      <c r="W416" s="96"/>
      <c r="X416" s="109" t="s">
        <v>1440</v>
      </c>
      <c r="Y416" s="96"/>
      <c r="Z416" s="98"/>
      <c r="AA416" s="98"/>
      <c r="AB416" s="98"/>
      <c r="AC416" s="98"/>
      <c r="AD416" s="98"/>
      <c r="AE416" s="98"/>
      <c r="AF416" s="98"/>
      <c r="AG416" s="98"/>
      <c r="AH416" s="98"/>
      <c r="AI416" s="98"/>
      <c r="AJ416" s="98"/>
      <c r="AK416" s="98"/>
      <c r="AL416" s="98"/>
      <c r="AM416" s="98"/>
      <c r="AN416" s="98"/>
      <c r="AO416" s="98"/>
      <c r="AP416" s="98"/>
      <c r="AQ416" s="98"/>
      <c r="AR416" s="98"/>
      <c r="AS416" s="98"/>
    </row>
    <row r="417" spans="1:45" s="4" customFormat="1">
      <c r="A417" s="111" t="s">
        <v>919</v>
      </c>
      <c r="B417" s="94">
        <v>680487198317</v>
      </c>
      <c r="C417" s="98" t="s">
        <v>920</v>
      </c>
      <c r="D417">
        <v>0</v>
      </c>
      <c r="E417" s="96"/>
      <c r="F417" s="97"/>
      <c r="G417" s="98"/>
      <c r="H417" s="99" t="s">
        <v>596</v>
      </c>
      <c r="I417" s="98"/>
      <c r="J417" s="101"/>
      <c r="K417" s="102"/>
      <c r="L417" s="102"/>
      <c r="M417" s="102"/>
      <c r="N417" s="98"/>
      <c r="O417" s="98"/>
      <c r="P417" s="98"/>
      <c r="Q417" s="98"/>
      <c r="R417" s="98"/>
      <c r="S417" s="98"/>
      <c r="T417" s="98"/>
      <c r="U417" s="109"/>
      <c r="V417" s="103"/>
      <c r="W417" s="96"/>
      <c r="X417" s="109" t="s">
        <v>1440</v>
      </c>
      <c r="Y417" s="96"/>
      <c r="Z417" s="98"/>
      <c r="AA417" s="98"/>
      <c r="AB417" s="98"/>
      <c r="AC417" s="98"/>
      <c r="AD417" s="98"/>
      <c r="AE417" s="98"/>
      <c r="AF417" s="98"/>
      <c r="AG417" s="98"/>
      <c r="AH417" s="98"/>
      <c r="AI417" s="98"/>
      <c r="AJ417" s="98"/>
      <c r="AK417" s="98"/>
      <c r="AL417" s="98"/>
      <c r="AM417" s="98"/>
      <c r="AN417" s="98"/>
      <c r="AO417" s="98"/>
      <c r="AP417" s="98"/>
      <c r="AQ417" s="98"/>
      <c r="AR417" s="98"/>
      <c r="AS417" s="98"/>
    </row>
    <row r="418" spans="1:45" s="4" customFormat="1">
      <c r="A418" s="111" t="s">
        <v>919</v>
      </c>
      <c r="B418" s="94">
        <v>680487198324</v>
      </c>
      <c r="C418" s="98" t="s">
        <v>920</v>
      </c>
      <c r="D418">
        <v>0</v>
      </c>
      <c r="E418" s="96"/>
      <c r="F418" s="97"/>
      <c r="G418" s="98"/>
      <c r="H418" s="99" t="s">
        <v>597</v>
      </c>
      <c r="I418" s="98"/>
      <c r="J418" s="101"/>
      <c r="K418" s="102"/>
      <c r="L418" s="102"/>
      <c r="M418" s="102"/>
      <c r="N418" s="98"/>
      <c r="O418" s="98"/>
      <c r="P418" s="98"/>
      <c r="Q418" s="98"/>
      <c r="R418" s="98"/>
      <c r="S418" s="98"/>
      <c r="T418" s="98"/>
      <c r="U418" s="109"/>
      <c r="V418" s="103"/>
      <c r="W418" s="96"/>
      <c r="X418" s="109" t="s">
        <v>1440</v>
      </c>
      <c r="Y418" s="96"/>
      <c r="Z418" s="98"/>
      <c r="AA418" s="98"/>
      <c r="AB418" s="98"/>
      <c r="AC418" s="98"/>
      <c r="AD418" s="98"/>
      <c r="AE418" s="98"/>
      <c r="AF418" s="98"/>
      <c r="AG418" s="98"/>
      <c r="AH418" s="98"/>
      <c r="AI418" s="98"/>
      <c r="AJ418" s="98"/>
      <c r="AK418" s="98"/>
      <c r="AL418" s="98"/>
      <c r="AM418" s="98"/>
      <c r="AN418" s="98"/>
      <c r="AO418" s="98"/>
      <c r="AP418" s="98"/>
      <c r="AQ418" s="98"/>
      <c r="AR418" s="98"/>
      <c r="AS418" s="98"/>
    </row>
    <row r="419" spans="1:45" s="4" customFormat="1">
      <c r="A419" s="111" t="s">
        <v>919</v>
      </c>
      <c r="B419" s="94">
        <v>680487198331</v>
      </c>
      <c r="C419" s="98" t="s">
        <v>920</v>
      </c>
      <c r="D419">
        <v>0</v>
      </c>
      <c r="E419" s="96"/>
      <c r="F419" s="97"/>
      <c r="G419" s="98"/>
      <c r="H419" s="99" t="s">
        <v>598</v>
      </c>
      <c r="I419" s="98"/>
      <c r="J419" s="101"/>
      <c r="K419" s="102"/>
      <c r="L419" s="102"/>
      <c r="M419" s="102"/>
      <c r="N419" s="98"/>
      <c r="O419" s="98"/>
      <c r="P419" s="98"/>
      <c r="Q419" s="98"/>
      <c r="R419" s="98"/>
      <c r="S419" s="98"/>
      <c r="T419" s="98"/>
      <c r="U419" s="109"/>
      <c r="V419" s="103"/>
      <c r="W419" s="96"/>
      <c r="X419" s="109" t="s">
        <v>1440</v>
      </c>
      <c r="Y419" s="96"/>
      <c r="Z419" s="98"/>
      <c r="AA419" s="98"/>
      <c r="AB419" s="98"/>
      <c r="AC419" s="98"/>
      <c r="AD419" s="98"/>
      <c r="AE419" s="98"/>
      <c r="AF419" s="98"/>
      <c r="AG419" s="98"/>
      <c r="AH419" s="98"/>
      <c r="AI419" s="98"/>
      <c r="AJ419" s="98"/>
      <c r="AK419" s="98"/>
      <c r="AL419" s="98"/>
      <c r="AM419" s="98"/>
      <c r="AN419" s="98"/>
      <c r="AO419" s="98"/>
      <c r="AP419" s="98"/>
      <c r="AQ419" s="98"/>
      <c r="AR419" s="98"/>
      <c r="AS419" s="98"/>
    </row>
    <row r="420" spans="1:45" s="4" customFormat="1">
      <c r="A420" s="111" t="s">
        <v>919</v>
      </c>
      <c r="B420" s="94">
        <v>680487198348</v>
      </c>
      <c r="C420" s="98" t="s">
        <v>920</v>
      </c>
      <c r="D420">
        <v>0</v>
      </c>
      <c r="E420" s="96"/>
      <c r="F420" s="97"/>
      <c r="G420" s="98"/>
      <c r="H420" s="99" t="s">
        <v>599</v>
      </c>
      <c r="I420" s="98"/>
      <c r="J420" s="101"/>
      <c r="K420" s="102"/>
      <c r="L420" s="102"/>
      <c r="M420" s="102"/>
      <c r="N420" s="98"/>
      <c r="O420" s="98"/>
      <c r="P420" s="98"/>
      <c r="Q420" s="98"/>
      <c r="R420" s="98"/>
      <c r="S420" s="98"/>
      <c r="T420" s="98"/>
      <c r="U420" s="109"/>
      <c r="V420" s="103"/>
      <c r="W420" s="96"/>
      <c r="X420" s="109" t="s">
        <v>1440</v>
      </c>
      <c r="Y420" s="96"/>
      <c r="Z420" s="98"/>
      <c r="AA420" s="98"/>
      <c r="AB420" s="98"/>
      <c r="AC420" s="98"/>
      <c r="AD420" s="98"/>
      <c r="AE420" s="98"/>
      <c r="AF420" s="98"/>
      <c r="AG420" s="98"/>
      <c r="AH420" s="98"/>
      <c r="AI420" s="98"/>
      <c r="AJ420" s="98"/>
      <c r="AK420" s="98"/>
      <c r="AL420" s="98"/>
      <c r="AM420" s="98"/>
      <c r="AN420" s="98"/>
      <c r="AO420" s="98"/>
      <c r="AP420" s="98"/>
      <c r="AQ420" s="98"/>
      <c r="AR420" s="98"/>
      <c r="AS420" s="98"/>
    </row>
    <row r="421" spans="1:45" s="4" customFormat="1">
      <c r="A421" s="111" t="s">
        <v>919</v>
      </c>
      <c r="B421" s="94">
        <v>680487198355</v>
      </c>
      <c r="C421" s="98" t="s">
        <v>920</v>
      </c>
      <c r="D421">
        <v>0</v>
      </c>
      <c r="E421" s="96"/>
      <c r="F421" s="97"/>
      <c r="G421" s="98"/>
      <c r="H421" s="99" t="s">
        <v>600</v>
      </c>
      <c r="I421" s="98"/>
      <c r="J421" s="101"/>
      <c r="K421" s="102"/>
      <c r="L421" s="102"/>
      <c r="M421" s="102"/>
      <c r="N421" s="98"/>
      <c r="O421" s="98"/>
      <c r="P421" s="98"/>
      <c r="Q421" s="98"/>
      <c r="R421" s="98"/>
      <c r="S421" s="98"/>
      <c r="T421" s="98"/>
      <c r="U421" s="109"/>
      <c r="V421" s="103"/>
      <c r="W421" s="96"/>
      <c r="X421" s="109" t="s">
        <v>1440</v>
      </c>
      <c r="Y421" s="96"/>
      <c r="Z421" s="98"/>
      <c r="AA421" s="98"/>
      <c r="AB421" s="98"/>
      <c r="AC421" s="98"/>
      <c r="AD421" s="98"/>
      <c r="AE421" s="98"/>
      <c r="AF421" s="98"/>
      <c r="AG421" s="98"/>
      <c r="AH421" s="98"/>
      <c r="AI421" s="98"/>
      <c r="AJ421" s="98"/>
      <c r="AK421" s="98"/>
      <c r="AL421" s="98"/>
      <c r="AM421" s="98"/>
      <c r="AN421" s="98"/>
      <c r="AO421" s="98"/>
      <c r="AP421" s="98"/>
      <c r="AQ421" s="98"/>
      <c r="AR421" s="98"/>
      <c r="AS421" s="98"/>
    </row>
    <row r="422" spans="1:45" s="4" customFormat="1">
      <c r="A422" s="111" t="s">
        <v>919</v>
      </c>
      <c r="B422" s="94">
        <v>680487183009</v>
      </c>
      <c r="C422" s="98" t="s">
        <v>920</v>
      </c>
      <c r="D422">
        <v>0</v>
      </c>
      <c r="E422" s="96"/>
      <c r="F422" s="97"/>
      <c r="G422" s="98"/>
      <c r="H422" s="99" t="s">
        <v>670</v>
      </c>
      <c r="I422" s="98"/>
      <c r="J422" s="101"/>
      <c r="K422" s="102"/>
      <c r="L422" s="102"/>
      <c r="M422" s="102"/>
      <c r="N422" s="98"/>
      <c r="O422" s="98"/>
      <c r="P422" s="98"/>
      <c r="Q422" s="98"/>
      <c r="R422" s="98"/>
      <c r="S422" s="98"/>
      <c r="T422" s="98"/>
      <c r="U422" s="109"/>
      <c r="V422" s="103"/>
      <c r="W422" s="96"/>
      <c r="X422" s="109" t="s">
        <v>1440</v>
      </c>
      <c r="Y422" s="96"/>
      <c r="Z422" s="98"/>
      <c r="AA422" s="98"/>
      <c r="AB422" s="98"/>
      <c r="AC422" s="98"/>
      <c r="AD422" s="98"/>
      <c r="AE422" s="98"/>
      <c r="AF422" s="98"/>
      <c r="AG422" s="98"/>
      <c r="AH422" s="98"/>
      <c r="AI422" s="98"/>
      <c r="AJ422" s="98"/>
      <c r="AK422" s="98"/>
      <c r="AL422" s="98"/>
      <c r="AM422" s="98"/>
      <c r="AN422" s="98"/>
      <c r="AO422" s="98"/>
      <c r="AP422" s="98"/>
      <c r="AQ422" s="98"/>
      <c r="AR422" s="98"/>
      <c r="AS422" s="98"/>
    </row>
    <row r="423" spans="1:45" s="4" customFormat="1">
      <c r="A423" s="111" t="s">
        <v>919</v>
      </c>
      <c r="B423" s="94">
        <v>680487183016</v>
      </c>
      <c r="C423" s="98" t="s">
        <v>920</v>
      </c>
      <c r="D423">
        <v>0</v>
      </c>
      <c r="E423" s="96"/>
      <c r="F423" s="97"/>
      <c r="G423" s="98"/>
      <c r="H423" s="99" t="s">
        <v>671</v>
      </c>
      <c r="I423" s="98"/>
      <c r="J423" s="101"/>
      <c r="K423" s="102"/>
      <c r="L423" s="102"/>
      <c r="M423" s="102"/>
      <c r="N423" s="98"/>
      <c r="O423" s="98"/>
      <c r="P423" s="98"/>
      <c r="Q423" s="98"/>
      <c r="R423" s="98"/>
      <c r="S423" s="98"/>
      <c r="T423" s="98"/>
      <c r="U423" s="109"/>
      <c r="V423" s="103"/>
      <c r="W423" s="96"/>
      <c r="X423" s="109" t="s">
        <v>1440</v>
      </c>
      <c r="Y423" s="96"/>
      <c r="Z423" s="98"/>
      <c r="AA423" s="98"/>
      <c r="AB423" s="98"/>
      <c r="AC423" s="98"/>
      <c r="AD423" s="98"/>
      <c r="AE423" s="98"/>
      <c r="AF423" s="98"/>
      <c r="AG423" s="98"/>
      <c r="AH423" s="98"/>
      <c r="AI423" s="98"/>
      <c r="AJ423" s="98"/>
      <c r="AK423" s="98"/>
      <c r="AL423" s="98"/>
      <c r="AM423" s="98"/>
      <c r="AN423" s="98"/>
      <c r="AO423" s="98"/>
      <c r="AP423" s="98"/>
      <c r="AQ423" s="98"/>
      <c r="AR423" s="98"/>
      <c r="AS423" s="98"/>
    </row>
    <row r="424" spans="1:45" s="4" customFormat="1">
      <c r="A424" s="111" t="s">
        <v>919</v>
      </c>
      <c r="B424" s="94">
        <v>680487198386</v>
      </c>
      <c r="C424" s="98" t="s">
        <v>920</v>
      </c>
      <c r="D424">
        <v>0</v>
      </c>
      <c r="E424" s="96"/>
      <c r="F424" s="97"/>
      <c r="G424" s="98"/>
      <c r="H424" s="99" t="s">
        <v>601</v>
      </c>
      <c r="I424" s="98"/>
      <c r="J424" s="101"/>
      <c r="K424" s="102"/>
      <c r="L424" s="102"/>
      <c r="M424" s="102"/>
      <c r="N424" s="98"/>
      <c r="O424" s="98"/>
      <c r="P424" s="98"/>
      <c r="Q424" s="98"/>
      <c r="R424" s="98"/>
      <c r="S424" s="98"/>
      <c r="T424" s="98"/>
      <c r="U424" s="109"/>
      <c r="V424" s="103"/>
      <c r="W424" s="96"/>
      <c r="X424" s="109" t="s">
        <v>1440</v>
      </c>
      <c r="Y424" s="96"/>
      <c r="Z424" s="98"/>
      <c r="AA424" s="98"/>
      <c r="AB424" s="98"/>
      <c r="AC424" s="98"/>
      <c r="AD424" s="98"/>
      <c r="AE424" s="98"/>
      <c r="AF424" s="98"/>
      <c r="AG424" s="98"/>
      <c r="AH424" s="98"/>
      <c r="AI424" s="98"/>
      <c r="AJ424" s="98"/>
      <c r="AK424" s="98"/>
      <c r="AL424" s="98"/>
      <c r="AM424" s="98"/>
      <c r="AN424" s="98"/>
      <c r="AO424" s="98"/>
      <c r="AP424" s="98"/>
      <c r="AQ424" s="98"/>
      <c r="AR424" s="98"/>
      <c r="AS424" s="98"/>
    </row>
    <row r="425" spans="1:45" s="4" customFormat="1">
      <c r="A425" s="111" t="s">
        <v>919</v>
      </c>
      <c r="B425" s="94">
        <v>680487198393</v>
      </c>
      <c r="C425" s="98" t="s">
        <v>920</v>
      </c>
      <c r="D425">
        <v>0</v>
      </c>
      <c r="E425" s="96"/>
      <c r="F425" s="97"/>
      <c r="G425" s="98"/>
      <c r="H425" s="99" t="s">
        <v>602</v>
      </c>
      <c r="I425" s="98"/>
      <c r="J425" s="101"/>
      <c r="K425" s="102"/>
      <c r="L425" s="102"/>
      <c r="M425" s="102"/>
      <c r="N425" s="98"/>
      <c r="O425" s="98"/>
      <c r="P425" s="98"/>
      <c r="Q425" s="98"/>
      <c r="R425" s="98"/>
      <c r="S425" s="98"/>
      <c r="T425" s="98"/>
      <c r="U425" s="109"/>
      <c r="V425" s="103"/>
      <c r="W425" s="96"/>
      <c r="X425" s="109" t="s">
        <v>1440</v>
      </c>
      <c r="Y425" s="96"/>
      <c r="Z425" s="98"/>
      <c r="AA425" s="98"/>
      <c r="AB425" s="98"/>
      <c r="AC425" s="98"/>
      <c r="AD425" s="98"/>
      <c r="AE425" s="98"/>
      <c r="AF425" s="98"/>
      <c r="AG425" s="98"/>
      <c r="AH425" s="98"/>
      <c r="AI425" s="98"/>
      <c r="AJ425" s="98"/>
      <c r="AK425" s="98"/>
      <c r="AL425" s="98"/>
      <c r="AM425" s="98"/>
      <c r="AN425" s="98"/>
      <c r="AO425" s="98"/>
      <c r="AP425" s="98"/>
      <c r="AQ425" s="98"/>
      <c r="AR425" s="98"/>
      <c r="AS425" s="98"/>
    </row>
    <row r="426" spans="1:45" s="4" customFormat="1">
      <c r="A426" s="111" t="s">
        <v>919</v>
      </c>
      <c r="B426" s="94">
        <v>680487198409</v>
      </c>
      <c r="C426" s="98" t="s">
        <v>920</v>
      </c>
      <c r="D426">
        <v>0</v>
      </c>
      <c r="E426" s="96"/>
      <c r="F426" s="97"/>
      <c r="G426" s="98"/>
      <c r="H426" s="99" t="s">
        <v>603</v>
      </c>
      <c r="I426" s="98"/>
      <c r="J426" s="101"/>
      <c r="K426" s="102"/>
      <c r="L426" s="102"/>
      <c r="M426" s="102"/>
      <c r="N426" s="98"/>
      <c r="O426" s="98"/>
      <c r="P426" s="98"/>
      <c r="Q426" s="98"/>
      <c r="R426" s="98"/>
      <c r="S426" s="98"/>
      <c r="T426" s="98"/>
      <c r="U426" s="109"/>
      <c r="V426" s="103"/>
      <c r="W426" s="96"/>
      <c r="X426" s="109" t="s">
        <v>1440</v>
      </c>
      <c r="Y426" s="96"/>
      <c r="Z426" s="98"/>
      <c r="AA426" s="98"/>
      <c r="AB426" s="98"/>
      <c r="AC426" s="98"/>
      <c r="AD426" s="98"/>
      <c r="AE426" s="98"/>
      <c r="AF426" s="98"/>
      <c r="AG426" s="98"/>
      <c r="AH426" s="98"/>
      <c r="AI426" s="98"/>
      <c r="AJ426" s="98"/>
      <c r="AK426" s="98"/>
      <c r="AL426" s="98"/>
      <c r="AM426" s="98"/>
      <c r="AN426" s="98"/>
      <c r="AO426" s="98"/>
      <c r="AP426" s="98"/>
      <c r="AQ426" s="98"/>
      <c r="AR426" s="98"/>
      <c r="AS426" s="98"/>
    </row>
    <row r="427" spans="1:45" s="4" customFormat="1">
      <c r="A427" s="111" t="s">
        <v>919</v>
      </c>
      <c r="B427" s="94">
        <v>680487198416</v>
      </c>
      <c r="C427" s="98" t="s">
        <v>920</v>
      </c>
      <c r="D427">
        <v>0</v>
      </c>
      <c r="E427" s="96"/>
      <c r="F427" s="97"/>
      <c r="G427" s="98"/>
      <c r="H427" s="99" t="s">
        <v>604</v>
      </c>
      <c r="I427" s="98"/>
      <c r="J427" s="101"/>
      <c r="K427" s="102"/>
      <c r="L427" s="102"/>
      <c r="M427" s="102"/>
      <c r="N427" s="98"/>
      <c r="O427" s="98"/>
      <c r="P427" s="98"/>
      <c r="Q427" s="98"/>
      <c r="R427" s="98"/>
      <c r="S427" s="98"/>
      <c r="T427" s="98"/>
      <c r="U427" s="109"/>
      <c r="V427" s="103"/>
      <c r="W427" s="96"/>
      <c r="X427" s="109" t="s">
        <v>1440</v>
      </c>
      <c r="Y427" s="96"/>
      <c r="Z427" s="98"/>
      <c r="AA427" s="98"/>
      <c r="AB427" s="98"/>
      <c r="AC427" s="98"/>
      <c r="AD427" s="98"/>
      <c r="AE427" s="98"/>
      <c r="AF427" s="98"/>
      <c r="AG427" s="98"/>
      <c r="AH427" s="98"/>
      <c r="AI427" s="98"/>
      <c r="AJ427" s="98"/>
      <c r="AK427" s="98"/>
      <c r="AL427" s="98"/>
      <c r="AM427" s="98"/>
      <c r="AN427" s="98"/>
      <c r="AO427" s="98"/>
      <c r="AP427" s="98"/>
      <c r="AQ427" s="98"/>
      <c r="AR427" s="98"/>
      <c r="AS427" s="98"/>
    </row>
    <row r="428" spans="1:45" s="4" customFormat="1">
      <c r="A428" s="111" t="s">
        <v>919</v>
      </c>
      <c r="B428" s="94">
        <v>680487198423</v>
      </c>
      <c r="C428" s="98" t="s">
        <v>920</v>
      </c>
      <c r="D428">
        <v>0</v>
      </c>
      <c r="E428" s="96"/>
      <c r="F428" s="97"/>
      <c r="G428" s="98"/>
      <c r="H428" s="99" t="s">
        <v>605</v>
      </c>
      <c r="I428" s="98"/>
      <c r="J428" s="101"/>
      <c r="K428" s="102"/>
      <c r="L428" s="102"/>
      <c r="M428" s="102"/>
      <c r="N428" s="98"/>
      <c r="O428" s="98"/>
      <c r="P428" s="98"/>
      <c r="Q428" s="98"/>
      <c r="R428" s="98"/>
      <c r="S428" s="98"/>
      <c r="T428" s="98"/>
      <c r="U428" s="109"/>
      <c r="V428" s="103"/>
      <c r="W428" s="96"/>
      <c r="X428" s="109" t="s">
        <v>1440</v>
      </c>
      <c r="Y428" s="96"/>
      <c r="Z428" s="98"/>
      <c r="AA428" s="98"/>
      <c r="AB428" s="98"/>
      <c r="AC428" s="98"/>
      <c r="AD428" s="98"/>
      <c r="AE428" s="98"/>
      <c r="AF428" s="98"/>
      <c r="AG428" s="98"/>
      <c r="AH428" s="98"/>
      <c r="AI428" s="98"/>
      <c r="AJ428" s="98"/>
      <c r="AK428" s="98"/>
      <c r="AL428" s="98"/>
      <c r="AM428" s="98"/>
      <c r="AN428" s="98"/>
      <c r="AO428" s="98"/>
      <c r="AP428" s="98"/>
      <c r="AQ428" s="98"/>
      <c r="AR428" s="98"/>
      <c r="AS428" s="98"/>
    </row>
    <row r="429" spans="1:45" s="4" customFormat="1">
      <c r="A429" s="111" t="s">
        <v>919</v>
      </c>
      <c r="B429" s="94">
        <v>680487198430</v>
      </c>
      <c r="C429" s="98" t="s">
        <v>920</v>
      </c>
      <c r="D429">
        <v>0</v>
      </c>
      <c r="E429" s="96"/>
      <c r="F429" s="97"/>
      <c r="G429" s="98"/>
      <c r="H429" s="99" t="s">
        <v>606</v>
      </c>
      <c r="I429" s="98"/>
      <c r="J429" s="101"/>
      <c r="K429" s="102"/>
      <c r="L429" s="102"/>
      <c r="M429" s="102"/>
      <c r="N429" s="98"/>
      <c r="O429" s="98"/>
      <c r="P429" s="98"/>
      <c r="Q429" s="98"/>
      <c r="R429" s="98"/>
      <c r="S429" s="98"/>
      <c r="T429" s="98"/>
      <c r="U429" s="109"/>
      <c r="V429" s="103"/>
      <c r="W429" s="96"/>
      <c r="X429" s="109" t="s">
        <v>1440</v>
      </c>
      <c r="Y429" s="96"/>
      <c r="Z429" s="98"/>
      <c r="AA429" s="98"/>
      <c r="AB429" s="98"/>
      <c r="AC429" s="98"/>
      <c r="AD429" s="98"/>
      <c r="AE429" s="98"/>
      <c r="AF429" s="98"/>
      <c r="AG429" s="98"/>
      <c r="AH429" s="98"/>
      <c r="AI429" s="98"/>
      <c r="AJ429" s="98"/>
      <c r="AK429" s="98"/>
      <c r="AL429" s="98"/>
      <c r="AM429" s="98"/>
      <c r="AN429" s="98"/>
      <c r="AO429" s="98"/>
      <c r="AP429" s="98"/>
      <c r="AQ429" s="98"/>
      <c r="AR429" s="98"/>
      <c r="AS429" s="98"/>
    </row>
    <row r="430" spans="1:45" s="4" customFormat="1">
      <c r="A430" s="111" t="s">
        <v>919</v>
      </c>
      <c r="B430" s="94">
        <v>680487198447</v>
      </c>
      <c r="C430" s="98" t="s">
        <v>920</v>
      </c>
      <c r="D430">
        <v>0</v>
      </c>
      <c r="E430" s="96"/>
      <c r="F430" s="97"/>
      <c r="G430" s="98"/>
      <c r="H430" s="99" t="s">
        <v>607</v>
      </c>
      <c r="I430" s="98"/>
      <c r="J430" s="101"/>
      <c r="K430" s="102"/>
      <c r="L430" s="102"/>
      <c r="M430" s="102"/>
      <c r="N430" s="98"/>
      <c r="O430" s="98"/>
      <c r="P430" s="98"/>
      <c r="Q430" s="98"/>
      <c r="R430" s="98"/>
      <c r="S430" s="98"/>
      <c r="T430" s="98"/>
      <c r="U430" s="109"/>
      <c r="V430" s="103"/>
      <c r="W430" s="96"/>
      <c r="X430" s="109" t="s">
        <v>1440</v>
      </c>
      <c r="Y430" s="96"/>
      <c r="Z430" s="98"/>
      <c r="AA430" s="98"/>
      <c r="AB430" s="98"/>
      <c r="AC430" s="98"/>
      <c r="AD430" s="98"/>
      <c r="AE430" s="98"/>
      <c r="AF430" s="98"/>
      <c r="AG430" s="98"/>
      <c r="AH430" s="98"/>
      <c r="AI430" s="98"/>
      <c r="AJ430" s="98"/>
      <c r="AK430" s="98"/>
      <c r="AL430" s="98"/>
      <c r="AM430" s="98"/>
      <c r="AN430" s="98"/>
      <c r="AO430" s="98"/>
      <c r="AP430" s="98"/>
      <c r="AQ430" s="98"/>
      <c r="AR430" s="98"/>
      <c r="AS430" s="98"/>
    </row>
    <row r="431" spans="1:45" s="4" customFormat="1">
      <c r="A431" s="111" t="s">
        <v>919</v>
      </c>
      <c r="B431" s="94">
        <v>680487198454</v>
      </c>
      <c r="C431" s="98" t="s">
        <v>920</v>
      </c>
      <c r="D431">
        <v>0</v>
      </c>
      <c r="E431" s="96"/>
      <c r="F431" s="97"/>
      <c r="G431" s="98"/>
      <c r="H431" s="99" t="s">
        <v>608</v>
      </c>
      <c r="I431" s="98"/>
      <c r="J431" s="101"/>
      <c r="K431" s="102"/>
      <c r="L431" s="102"/>
      <c r="M431" s="102"/>
      <c r="N431" s="98"/>
      <c r="O431" s="98"/>
      <c r="P431" s="98"/>
      <c r="Q431" s="98"/>
      <c r="R431" s="98"/>
      <c r="S431" s="98"/>
      <c r="T431" s="98"/>
      <c r="U431" s="109"/>
      <c r="V431" s="103"/>
      <c r="W431" s="96"/>
      <c r="X431" s="109" t="s">
        <v>1440</v>
      </c>
      <c r="Y431" s="96"/>
      <c r="Z431" s="98"/>
      <c r="AA431" s="98"/>
      <c r="AB431" s="98"/>
      <c r="AC431" s="98"/>
      <c r="AD431" s="98"/>
      <c r="AE431" s="98"/>
      <c r="AF431" s="98"/>
      <c r="AG431" s="98"/>
      <c r="AH431" s="98"/>
      <c r="AI431" s="98"/>
      <c r="AJ431" s="98"/>
      <c r="AK431" s="98"/>
      <c r="AL431" s="98"/>
      <c r="AM431" s="98"/>
      <c r="AN431" s="98"/>
      <c r="AO431" s="98"/>
      <c r="AP431" s="98"/>
      <c r="AQ431" s="98"/>
      <c r="AR431" s="98"/>
      <c r="AS431" s="98"/>
    </row>
    <row r="432" spans="1:45" s="4" customFormat="1">
      <c r="A432" s="111" t="s">
        <v>919</v>
      </c>
      <c r="B432" s="94">
        <v>680487198461</v>
      </c>
      <c r="C432" s="98" t="s">
        <v>920</v>
      </c>
      <c r="D432">
        <v>0</v>
      </c>
      <c r="E432" s="96"/>
      <c r="F432" s="97"/>
      <c r="G432" s="98"/>
      <c r="H432" s="99" t="s">
        <v>672</v>
      </c>
      <c r="I432" s="98"/>
      <c r="J432" s="101"/>
      <c r="K432" s="102"/>
      <c r="L432" s="102"/>
      <c r="M432" s="102"/>
      <c r="N432" s="98"/>
      <c r="O432" s="98"/>
      <c r="P432" s="98"/>
      <c r="Q432" s="98"/>
      <c r="R432" s="98"/>
      <c r="S432" s="98"/>
      <c r="T432" s="98"/>
      <c r="U432" s="109"/>
      <c r="V432" s="103"/>
      <c r="W432" s="96"/>
      <c r="X432" s="109" t="s">
        <v>1440</v>
      </c>
      <c r="Y432" s="96"/>
      <c r="Z432" s="98"/>
      <c r="AA432" s="98"/>
      <c r="AB432" s="98"/>
      <c r="AC432" s="98"/>
      <c r="AD432" s="98"/>
      <c r="AE432" s="98"/>
      <c r="AF432" s="98"/>
      <c r="AG432" s="98"/>
      <c r="AH432" s="98"/>
      <c r="AI432" s="98"/>
      <c r="AJ432" s="98"/>
      <c r="AK432" s="98"/>
      <c r="AL432" s="98"/>
      <c r="AM432" s="98"/>
      <c r="AN432" s="98"/>
      <c r="AO432" s="98"/>
      <c r="AP432" s="98"/>
      <c r="AQ432" s="98"/>
      <c r="AR432" s="98"/>
      <c r="AS432" s="98"/>
    </row>
    <row r="433" spans="1:45" s="4" customFormat="1">
      <c r="A433" s="111" t="s">
        <v>919</v>
      </c>
      <c r="B433" s="94">
        <v>680487198478</v>
      </c>
      <c r="C433" s="98" t="s">
        <v>920</v>
      </c>
      <c r="D433">
        <v>0</v>
      </c>
      <c r="E433" s="96"/>
      <c r="F433" s="97"/>
      <c r="G433" s="98"/>
      <c r="H433" s="99" t="s">
        <v>673</v>
      </c>
      <c r="I433" s="98"/>
      <c r="J433" s="101"/>
      <c r="K433" s="102"/>
      <c r="L433" s="102"/>
      <c r="M433" s="102"/>
      <c r="N433" s="98"/>
      <c r="O433" s="98"/>
      <c r="P433" s="98"/>
      <c r="Q433" s="98"/>
      <c r="R433" s="98"/>
      <c r="S433" s="98"/>
      <c r="T433" s="98"/>
      <c r="U433" s="109"/>
      <c r="V433" s="103"/>
      <c r="W433" s="96"/>
      <c r="X433" s="109" t="s">
        <v>1440</v>
      </c>
      <c r="Y433" s="96"/>
      <c r="Z433" s="98"/>
      <c r="AA433" s="98"/>
      <c r="AB433" s="98"/>
      <c r="AC433" s="98"/>
      <c r="AD433" s="98"/>
      <c r="AE433" s="98"/>
      <c r="AF433" s="98"/>
      <c r="AG433" s="98"/>
      <c r="AH433" s="98"/>
      <c r="AI433" s="98"/>
      <c r="AJ433" s="98"/>
      <c r="AK433" s="98"/>
      <c r="AL433" s="98"/>
      <c r="AM433" s="98"/>
      <c r="AN433" s="98"/>
      <c r="AO433" s="98"/>
      <c r="AP433" s="98"/>
      <c r="AQ433" s="98"/>
      <c r="AR433" s="98"/>
      <c r="AS433" s="98"/>
    </row>
    <row r="434" spans="1:45" s="4" customFormat="1">
      <c r="A434" s="111" t="s">
        <v>919</v>
      </c>
      <c r="B434" s="94">
        <v>680487198485</v>
      </c>
      <c r="C434" s="98" t="s">
        <v>920</v>
      </c>
      <c r="D434">
        <v>0</v>
      </c>
      <c r="E434" s="96"/>
      <c r="F434" s="97"/>
      <c r="G434" s="98"/>
      <c r="H434" s="99" t="s">
        <v>609</v>
      </c>
      <c r="I434" s="98"/>
      <c r="J434" s="101"/>
      <c r="K434" s="102"/>
      <c r="L434" s="102"/>
      <c r="M434" s="102"/>
      <c r="N434" s="98"/>
      <c r="O434" s="98"/>
      <c r="P434" s="98"/>
      <c r="Q434" s="98"/>
      <c r="R434" s="98"/>
      <c r="S434" s="98"/>
      <c r="T434" s="98"/>
      <c r="U434" s="109"/>
      <c r="V434" s="103"/>
      <c r="W434" s="96"/>
      <c r="X434" s="109" t="s">
        <v>1440</v>
      </c>
      <c r="Y434" s="96"/>
      <c r="Z434" s="98"/>
      <c r="AA434" s="98"/>
      <c r="AB434" s="98"/>
      <c r="AC434" s="98"/>
      <c r="AD434" s="98"/>
      <c r="AE434" s="98"/>
      <c r="AF434" s="98"/>
      <c r="AG434" s="98"/>
      <c r="AH434" s="98"/>
      <c r="AI434" s="98"/>
      <c r="AJ434" s="98"/>
      <c r="AK434" s="98"/>
      <c r="AL434" s="98"/>
      <c r="AM434" s="98"/>
      <c r="AN434" s="98"/>
      <c r="AO434" s="98"/>
      <c r="AP434" s="98"/>
      <c r="AQ434" s="98"/>
      <c r="AR434" s="98"/>
      <c r="AS434" s="98"/>
    </row>
    <row r="435" spans="1:45" s="4" customFormat="1">
      <c r="A435" s="111" t="s">
        <v>919</v>
      </c>
      <c r="B435" s="94">
        <v>680487198492</v>
      </c>
      <c r="C435" s="98" t="s">
        <v>920</v>
      </c>
      <c r="D435">
        <v>0</v>
      </c>
      <c r="E435" s="96"/>
      <c r="F435" s="97"/>
      <c r="G435" s="98"/>
      <c r="H435" s="99" t="s">
        <v>610</v>
      </c>
      <c r="I435" s="98"/>
      <c r="J435" s="101"/>
      <c r="K435" s="102"/>
      <c r="L435" s="102"/>
      <c r="M435" s="102"/>
      <c r="N435" s="98"/>
      <c r="O435" s="98"/>
      <c r="P435" s="98"/>
      <c r="Q435" s="98"/>
      <c r="R435" s="98"/>
      <c r="S435" s="98"/>
      <c r="T435" s="98"/>
      <c r="U435" s="109"/>
      <c r="V435" s="103"/>
      <c r="W435" s="96"/>
      <c r="X435" s="109" t="s">
        <v>1440</v>
      </c>
      <c r="Y435" s="96"/>
      <c r="Z435" s="98"/>
      <c r="AA435" s="98"/>
      <c r="AB435" s="98"/>
      <c r="AC435" s="98"/>
      <c r="AD435" s="98"/>
      <c r="AE435" s="98"/>
      <c r="AF435" s="98"/>
      <c r="AG435" s="98"/>
      <c r="AH435" s="98"/>
      <c r="AI435" s="98"/>
      <c r="AJ435" s="98"/>
      <c r="AK435" s="98"/>
      <c r="AL435" s="98"/>
      <c r="AM435" s="98"/>
      <c r="AN435" s="98"/>
      <c r="AO435" s="98"/>
      <c r="AP435" s="98"/>
      <c r="AQ435" s="98"/>
      <c r="AR435" s="98"/>
      <c r="AS435" s="98"/>
    </row>
    <row r="436" spans="1:45" s="4" customFormat="1">
      <c r="A436" s="111" t="s">
        <v>919</v>
      </c>
      <c r="B436" s="94">
        <v>680487198508</v>
      </c>
      <c r="C436" s="98" t="s">
        <v>920</v>
      </c>
      <c r="D436">
        <v>0</v>
      </c>
      <c r="E436" s="96"/>
      <c r="F436" s="97"/>
      <c r="G436" s="98"/>
      <c r="H436" s="99" t="s">
        <v>611</v>
      </c>
      <c r="I436" s="98"/>
      <c r="J436" s="101"/>
      <c r="K436" s="102"/>
      <c r="L436" s="102"/>
      <c r="M436" s="102"/>
      <c r="N436" s="98"/>
      <c r="O436" s="98"/>
      <c r="P436" s="98"/>
      <c r="Q436" s="98"/>
      <c r="R436" s="98"/>
      <c r="S436" s="98"/>
      <c r="T436" s="98"/>
      <c r="U436" s="109"/>
      <c r="V436" s="103"/>
      <c r="W436" s="96"/>
      <c r="X436" s="109" t="s">
        <v>1440</v>
      </c>
      <c r="Y436" s="96"/>
      <c r="Z436" s="98"/>
      <c r="AA436" s="98"/>
      <c r="AB436" s="98"/>
      <c r="AC436" s="98"/>
      <c r="AD436" s="98"/>
      <c r="AE436" s="98"/>
      <c r="AF436" s="98"/>
      <c r="AG436" s="98"/>
      <c r="AH436" s="98"/>
      <c r="AI436" s="98"/>
      <c r="AJ436" s="98"/>
      <c r="AK436" s="98"/>
      <c r="AL436" s="98"/>
      <c r="AM436" s="98"/>
      <c r="AN436" s="98"/>
      <c r="AO436" s="98"/>
      <c r="AP436" s="98"/>
      <c r="AQ436" s="98"/>
      <c r="AR436" s="98"/>
      <c r="AS436" s="98"/>
    </row>
    <row r="437" spans="1:45" s="4" customFormat="1">
      <c r="A437" s="111" t="s">
        <v>919</v>
      </c>
      <c r="B437" s="94">
        <v>680487198515</v>
      </c>
      <c r="C437" s="98" t="s">
        <v>920</v>
      </c>
      <c r="D437">
        <v>0</v>
      </c>
      <c r="E437" s="96"/>
      <c r="F437" s="97"/>
      <c r="G437" s="98"/>
      <c r="H437" s="99" t="s">
        <v>612</v>
      </c>
      <c r="I437" s="98"/>
      <c r="J437" s="101"/>
      <c r="K437" s="102"/>
      <c r="L437" s="102"/>
      <c r="M437" s="102"/>
      <c r="N437" s="98"/>
      <c r="O437" s="98"/>
      <c r="P437" s="98"/>
      <c r="Q437" s="98"/>
      <c r="R437" s="98"/>
      <c r="S437" s="98"/>
      <c r="T437" s="98"/>
      <c r="U437" s="109"/>
      <c r="V437" s="103"/>
      <c r="W437" s="96"/>
      <c r="X437" s="109" t="s">
        <v>1440</v>
      </c>
      <c r="Y437" s="96"/>
      <c r="Z437" s="98"/>
      <c r="AA437" s="98"/>
      <c r="AB437" s="98"/>
      <c r="AC437" s="98"/>
      <c r="AD437" s="98"/>
      <c r="AE437" s="98"/>
      <c r="AF437" s="98"/>
      <c r="AG437" s="98"/>
      <c r="AH437" s="98"/>
      <c r="AI437" s="98"/>
      <c r="AJ437" s="98"/>
      <c r="AK437" s="98"/>
      <c r="AL437" s="98"/>
      <c r="AM437" s="98"/>
      <c r="AN437" s="98"/>
      <c r="AO437" s="98"/>
      <c r="AP437" s="98"/>
      <c r="AQ437" s="98"/>
      <c r="AR437" s="98"/>
      <c r="AS437" s="98"/>
    </row>
    <row r="438" spans="1:45" s="4" customFormat="1">
      <c r="A438" s="111" t="s">
        <v>919</v>
      </c>
      <c r="B438" s="94">
        <v>680487198522</v>
      </c>
      <c r="C438" s="98" t="s">
        <v>920</v>
      </c>
      <c r="D438">
        <v>0</v>
      </c>
      <c r="E438" s="96"/>
      <c r="F438" s="97"/>
      <c r="G438" s="98"/>
      <c r="H438" s="99" t="s">
        <v>676</v>
      </c>
      <c r="I438" s="98"/>
      <c r="J438" s="101"/>
      <c r="K438" s="102"/>
      <c r="L438" s="102"/>
      <c r="M438" s="102"/>
      <c r="N438" s="98"/>
      <c r="O438" s="98"/>
      <c r="P438" s="98"/>
      <c r="Q438" s="98"/>
      <c r="R438" s="98"/>
      <c r="S438" s="98"/>
      <c r="T438" s="98"/>
      <c r="U438" s="109"/>
      <c r="V438" s="103"/>
      <c r="W438" s="96"/>
      <c r="X438" s="109" t="s">
        <v>1440</v>
      </c>
      <c r="Y438" s="96"/>
      <c r="Z438" s="98"/>
      <c r="AA438" s="98"/>
      <c r="AB438" s="98"/>
      <c r="AC438" s="98"/>
      <c r="AD438" s="98"/>
      <c r="AE438" s="98"/>
      <c r="AF438" s="98"/>
      <c r="AG438" s="98"/>
      <c r="AH438" s="98"/>
      <c r="AI438" s="98"/>
      <c r="AJ438" s="98"/>
      <c r="AK438" s="98"/>
      <c r="AL438" s="98"/>
      <c r="AM438" s="98"/>
      <c r="AN438" s="98"/>
      <c r="AO438" s="98"/>
      <c r="AP438" s="98"/>
      <c r="AQ438" s="98"/>
      <c r="AR438" s="98"/>
      <c r="AS438" s="98"/>
    </row>
    <row r="439" spans="1:45" s="4" customFormat="1">
      <c r="A439" s="111" t="s">
        <v>919</v>
      </c>
      <c r="B439" s="94">
        <v>680487198539</v>
      </c>
      <c r="C439" s="98" t="s">
        <v>920</v>
      </c>
      <c r="D439">
        <v>0</v>
      </c>
      <c r="E439" s="96"/>
      <c r="F439" s="97"/>
      <c r="G439" s="98"/>
      <c r="H439" s="99" t="s">
        <v>674</v>
      </c>
      <c r="I439" s="98"/>
      <c r="J439" s="101"/>
      <c r="K439" s="102"/>
      <c r="L439" s="102"/>
      <c r="M439" s="102"/>
      <c r="N439" s="98"/>
      <c r="O439" s="98"/>
      <c r="P439" s="98"/>
      <c r="Q439" s="98"/>
      <c r="R439" s="98"/>
      <c r="S439" s="98"/>
      <c r="T439" s="98"/>
      <c r="U439" s="109"/>
      <c r="V439" s="103"/>
      <c r="W439" s="96"/>
      <c r="X439" s="109" t="s">
        <v>1440</v>
      </c>
      <c r="Y439" s="96"/>
      <c r="Z439" s="98"/>
      <c r="AA439" s="98"/>
      <c r="AB439" s="98"/>
      <c r="AC439" s="98"/>
      <c r="AD439" s="98"/>
      <c r="AE439" s="98"/>
      <c r="AF439" s="98"/>
      <c r="AG439" s="98"/>
      <c r="AH439" s="98"/>
      <c r="AI439" s="98"/>
      <c r="AJ439" s="98"/>
      <c r="AK439" s="98"/>
      <c r="AL439" s="98"/>
      <c r="AM439" s="98"/>
      <c r="AN439" s="98"/>
      <c r="AO439" s="98"/>
      <c r="AP439" s="98"/>
      <c r="AQ439" s="98"/>
      <c r="AR439" s="98"/>
      <c r="AS439" s="98"/>
    </row>
    <row r="440" spans="1:45" s="4" customFormat="1">
      <c r="A440" s="111" t="s">
        <v>919</v>
      </c>
      <c r="B440" s="94">
        <v>680487198546</v>
      </c>
      <c r="C440" s="98" t="s">
        <v>920</v>
      </c>
      <c r="D440">
        <v>0</v>
      </c>
      <c r="E440" s="96"/>
      <c r="F440" s="97"/>
      <c r="G440" s="98"/>
      <c r="H440" s="99" t="s">
        <v>613</v>
      </c>
      <c r="I440" s="98"/>
      <c r="J440" s="101"/>
      <c r="K440" s="102"/>
      <c r="L440" s="102"/>
      <c r="M440" s="102"/>
      <c r="N440" s="98"/>
      <c r="O440" s="98"/>
      <c r="P440" s="98"/>
      <c r="Q440" s="98"/>
      <c r="R440" s="98"/>
      <c r="S440" s="98"/>
      <c r="T440" s="98"/>
      <c r="U440" s="109"/>
      <c r="V440" s="103"/>
      <c r="W440" s="96"/>
      <c r="X440" s="109" t="s">
        <v>1440</v>
      </c>
      <c r="Y440" s="96"/>
      <c r="Z440" s="98"/>
      <c r="AA440" s="98"/>
      <c r="AB440" s="98"/>
      <c r="AC440" s="98"/>
      <c r="AD440" s="98"/>
      <c r="AE440" s="98"/>
      <c r="AF440" s="98"/>
      <c r="AG440" s="98"/>
      <c r="AH440" s="98"/>
      <c r="AI440" s="98"/>
      <c r="AJ440" s="98"/>
      <c r="AK440" s="98"/>
      <c r="AL440" s="98"/>
      <c r="AM440" s="98"/>
      <c r="AN440" s="98"/>
      <c r="AO440" s="98"/>
      <c r="AP440" s="98"/>
      <c r="AQ440" s="98"/>
      <c r="AR440" s="98"/>
      <c r="AS440" s="98"/>
    </row>
    <row r="441" spans="1:45" s="4" customFormat="1">
      <c r="A441" s="111" t="s">
        <v>919</v>
      </c>
      <c r="B441" s="94">
        <v>680487198553</v>
      </c>
      <c r="C441" s="98" t="s">
        <v>920</v>
      </c>
      <c r="D441">
        <v>0</v>
      </c>
      <c r="E441" s="96"/>
      <c r="F441" s="97"/>
      <c r="G441" s="98"/>
      <c r="H441" s="99" t="s">
        <v>614</v>
      </c>
      <c r="I441" s="98"/>
      <c r="J441" s="101"/>
      <c r="K441" s="102"/>
      <c r="L441" s="102"/>
      <c r="M441" s="102"/>
      <c r="N441" s="98"/>
      <c r="O441" s="98"/>
      <c r="P441" s="98"/>
      <c r="Q441" s="98"/>
      <c r="R441" s="98"/>
      <c r="S441" s="98"/>
      <c r="T441" s="98"/>
      <c r="U441" s="109"/>
      <c r="V441" s="103"/>
      <c r="W441" s="96"/>
      <c r="X441" s="109" t="s">
        <v>1440</v>
      </c>
      <c r="Y441" s="96"/>
      <c r="Z441" s="98"/>
      <c r="AA441" s="98"/>
      <c r="AB441" s="98"/>
      <c r="AC441" s="98"/>
      <c r="AD441" s="98"/>
      <c r="AE441" s="98"/>
      <c r="AF441" s="98"/>
      <c r="AG441" s="98"/>
      <c r="AH441" s="98"/>
      <c r="AI441" s="98"/>
      <c r="AJ441" s="98"/>
      <c r="AK441" s="98"/>
      <c r="AL441" s="98"/>
      <c r="AM441" s="98"/>
      <c r="AN441" s="98"/>
      <c r="AO441" s="98"/>
      <c r="AP441" s="98"/>
      <c r="AQ441" s="98"/>
      <c r="AR441" s="98"/>
      <c r="AS441" s="98"/>
    </row>
    <row r="442" spans="1:45" s="4" customFormat="1">
      <c r="A442" s="111" t="s">
        <v>919</v>
      </c>
      <c r="B442" s="94">
        <v>680487198560</v>
      </c>
      <c r="C442" s="98" t="s">
        <v>920</v>
      </c>
      <c r="D442">
        <v>0</v>
      </c>
      <c r="E442" s="96"/>
      <c r="F442" s="97"/>
      <c r="G442" s="98"/>
      <c r="H442" s="99" t="s">
        <v>617</v>
      </c>
      <c r="I442" s="98"/>
      <c r="J442" s="101"/>
      <c r="K442" s="102"/>
      <c r="L442" s="102"/>
      <c r="M442" s="102"/>
      <c r="N442" s="98"/>
      <c r="O442" s="98"/>
      <c r="P442" s="98"/>
      <c r="Q442" s="98"/>
      <c r="R442" s="98"/>
      <c r="S442" s="98"/>
      <c r="T442" s="98"/>
      <c r="U442" s="109"/>
      <c r="V442" s="103"/>
      <c r="W442" s="96"/>
      <c r="X442" s="109" t="s">
        <v>1440</v>
      </c>
      <c r="Y442" s="96"/>
      <c r="Z442" s="98"/>
      <c r="AA442" s="98"/>
      <c r="AB442" s="98"/>
      <c r="AC442" s="98"/>
      <c r="AD442" s="98"/>
      <c r="AE442" s="98"/>
      <c r="AF442" s="98"/>
      <c r="AG442" s="98"/>
      <c r="AH442" s="98"/>
      <c r="AI442" s="98"/>
      <c r="AJ442" s="98"/>
      <c r="AK442" s="98"/>
      <c r="AL442" s="98"/>
      <c r="AM442" s="98"/>
      <c r="AN442" s="98"/>
      <c r="AO442" s="98"/>
      <c r="AP442" s="98"/>
      <c r="AQ442" s="98"/>
      <c r="AR442" s="98"/>
      <c r="AS442" s="98"/>
    </row>
    <row r="443" spans="1:45" s="4" customFormat="1">
      <c r="A443" s="111" t="s">
        <v>919</v>
      </c>
      <c r="B443" s="94">
        <v>680487198577</v>
      </c>
      <c r="C443" s="98" t="s">
        <v>920</v>
      </c>
      <c r="D443">
        <v>0</v>
      </c>
      <c r="E443" s="96"/>
      <c r="F443" s="97"/>
      <c r="G443" s="98"/>
      <c r="H443" s="99" t="s">
        <v>618</v>
      </c>
      <c r="I443" s="98"/>
      <c r="J443" s="101"/>
      <c r="K443" s="102"/>
      <c r="L443" s="102"/>
      <c r="M443" s="102"/>
      <c r="N443" s="98"/>
      <c r="O443" s="98"/>
      <c r="P443" s="98"/>
      <c r="Q443" s="98"/>
      <c r="R443" s="98"/>
      <c r="S443" s="98"/>
      <c r="T443" s="98"/>
      <c r="U443" s="109"/>
      <c r="V443" s="103"/>
      <c r="W443" s="96"/>
      <c r="X443" s="109" t="s">
        <v>1440</v>
      </c>
      <c r="Y443" s="96"/>
      <c r="Z443" s="98"/>
      <c r="AA443" s="98"/>
      <c r="AB443" s="98"/>
      <c r="AC443" s="98"/>
      <c r="AD443" s="98"/>
      <c r="AE443" s="98"/>
      <c r="AF443" s="98"/>
      <c r="AG443" s="98"/>
      <c r="AH443" s="98"/>
      <c r="AI443" s="98"/>
      <c r="AJ443" s="98"/>
      <c r="AK443" s="98"/>
      <c r="AL443" s="98"/>
      <c r="AM443" s="98"/>
      <c r="AN443" s="98"/>
      <c r="AO443" s="98"/>
      <c r="AP443" s="98"/>
      <c r="AQ443" s="98"/>
      <c r="AR443" s="98"/>
      <c r="AS443" s="98"/>
    </row>
    <row r="444" spans="1:45" s="4" customFormat="1">
      <c r="A444" s="111" t="s">
        <v>919</v>
      </c>
      <c r="B444" s="94">
        <v>680487198584</v>
      </c>
      <c r="C444" s="98" t="s">
        <v>920</v>
      </c>
      <c r="D444">
        <v>0</v>
      </c>
      <c r="E444" s="96"/>
      <c r="F444" s="97"/>
      <c r="G444" s="98"/>
      <c r="H444" s="99" t="s">
        <v>615</v>
      </c>
      <c r="I444" s="98"/>
      <c r="J444" s="101"/>
      <c r="K444" s="102"/>
      <c r="L444" s="102"/>
      <c r="M444" s="102"/>
      <c r="N444" s="98"/>
      <c r="O444" s="98"/>
      <c r="P444" s="98"/>
      <c r="Q444" s="98"/>
      <c r="R444" s="98"/>
      <c r="S444" s="98"/>
      <c r="T444" s="98"/>
      <c r="U444" s="109"/>
      <c r="V444" s="103"/>
      <c r="W444" s="96"/>
      <c r="X444" s="109" t="s">
        <v>1440</v>
      </c>
      <c r="Y444" s="96"/>
      <c r="Z444" s="98"/>
      <c r="AA444" s="98"/>
      <c r="AB444" s="98"/>
      <c r="AC444" s="98"/>
      <c r="AD444" s="98"/>
      <c r="AE444" s="98"/>
      <c r="AF444" s="98"/>
      <c r="AG444" s="98"/>
      <c r="AH444" s="98"/>
      <c r="AI444" s="98"/>
      <c r="AJ444" s="98"/>
      <c r="AK444" s="98"/>
      <c r="AL444" s="98"/>
      <c r="AM444" s="98"/>
      <c r="AN444" s="98"/>
      <c r="AO444" s="98"/>
      <c r="AP444" s="98"/>
      <c r="AQ444" s="98"/>
      <c r="AR444" s="98"/>
      <c r="AS444" s="98"/>
    </row>
    <row r="445" spans="1:45" s="4" customFormat="1">
      <c r="A445" s="111" t="s">
        <v>919</v>
      </c>
      <c r="B445" s="94">
        <v>680487198591</v>
      </c>
      <c r="C445" s="98" t="s">
        <v>920</v>
      </c>
      <c r="D445">
        <v>0</v>
      </c>
      <c r="E445" s="96"/>
      <c r="F445" s="97"/>
      <c r="G445" s="98"/>
      <c r="H445" s="99" t="s">
        <v>616</v>
      </c>
      <c r="I445" s="98"/>
      <c r="J445" s="101"/>
      <c r="K445" s="102"/>
      <c r="L445" s="102"/>
      <c r="M445" s="102"/>
      <c r="N445" s="98"/>
      <c r="O445" s="98"/>
      <c r="P445" s="98"/>
      <c r="Q445" s="98"/>
      <c r="R445" s="98"/>
      <c r="S445" s="98"/>
      <c r="T445" s="98"/>
      <c r="U445" s="109"/>
      <c r="V445" s="103"/>
      <c r="W445" s="96"/>
      <c r="X445" s="109" t="s">
        <v>1440</v>
      </c>
      <c r="Y445" s="96"/>
      <c r="Z445" s="98"/>
      <c r="AA445" s="98"/>
      <c r="AB445" s="98"/>
      <c r="AC445" s="98"/>
      <c r="AD445" s="98"/>
      <c r="AE445" s="98"/>
      <c r="AF445" s="98"/>
      <c r="AG445" s="98"/>
      <c r="AH445" s="98"/>
      <c r="AI445" s="98"/>
      <c r="AJ445" s="98"/>
      <c r="AK445" s="98"/>
      <c r="AL445" s="98"/>
      <c r="AM445" s="98"/>
      <c r="AN445" s="98"/>
      <c r="AO445" s="98"/>
      <c r="AP445" s="98"/>
      <c r="AQ445" s="98"/>
      <c r="AR445" s="98"/>
      <c r="AS445" s="98"/>
    </row>
    <row r="446" spans="1:45" s="4" customFormat="1">
      <c r="A446" s="111" t="s">
        <v>919</v>
      </c>
      <c r="B446" s="94">
        <v>680487198607</v>
      </c>
      <c r="C446" s="98" t="s">
        <v>920</v>
      </c>
      <c r="D446">
        <v>0</v>
      </c>
      <c r="E446" s="96"/>
      <c r="F446" s="97"/>
      <c r="G446" s="98"/>
      <c r="H446" s="99" t="s">
        <v>619</v>
      </c>
      <c r="I446" s="98"/>
      <c r="J446" s="101"/>
      <c r="K446" s="102"/>
      <c r="L446" s="102"/>
      <c r="M446" s="102"/>
      <c r="N446" s="98"/>
      <c r="O446" s="98"/>
      <c r="P446" s="98"/>
      <c r="Q446" s="98"/>
      <c r="R446" s="98"/>
      <c r="S446" s="98"/>
      <c r="T446" s="98"/>
      <c r="U446" s="109"/>
      <c r="V446" s="103"/>
      <c r="W446" s="96"/>
      <c r="X446" s="109" t="s">
        <v>1440</v>
      </c>
      <c r="Y446" s="96"/>
      <c r="Z446" s="98"/>
      <c r="AA446" s="98"/>
      <c r="AB446" s="98"/>
      <c r="AC446" s="98"/>
      <c r="AD446" s="98"/>
      <c r="AE446" s="98"/>
      <c r="AF446" s="98"/>
      <c r="AG446" s="98"/>
      <c r="AH446" s="98"/>
      <c r="AI446" s="98"/>
      <c r="AJ446" s="98"/>
      <c r="AK446" s="98"/>
      <c r="AL446" s="98"/>
      <c r="AM446" s="98"/>
      <c r="AN446" s="98"/>
      <c r="AO446" s="98"/>
      <c r="AP446" s="98"/>
      <c r="AQ446" s="98"/>
      <c r="AR446" s="98"/>
      <c r="AS446" s="98"/>
    </row>
    <row r="447" spans="1:45" s="4" customFormat="1">
      <c r="A447" s="111" t="s">
        <v>919</v>
      </c>
      <c r="B447" s="94">
        <v>680487198614</v>
      </c>
      <c r="C447" s="98" t="s">
        <v>920</v>
      </c>
      <c r="D447">
        <v>0</v>
      </c>
      <c r="E447" s="96"/>
      <c r="F447" s="97"/>
      <c r="G447" s="98"/>
      <c r="H447" s="99" t="s">
        <v>620</v>
      </c>
      <c r="I447" s="98"/>
      <c r="J447" s="101"/>
      <c r="K447" s="102"/>
      <c r="L447" s="102"/>
      <c r="M447" s="102"/>
      <c r="N447" s="98"/>
      <c r="O447" s="98"/>
      <c r="P447" s="98"/>
      <c r="Q447" s="98"/>
      <c r="R447" s="98"/>
      <c r="S447" s="98"/>
      <c r="T447" s="98"/>
      <c r="U447" s="109"/>
      <c r="V447" s="103"/>
      <c r="W447" s="96"/>
      <c r="X447" s="109" t="s">
        <v>1440</v>
      </c>
      <c r="Y447" s="96"/>
      <c r="Z447" s="98"/>
      <c r="AA447" s="98"/>
      <c r="AB447" s="98"/>
      <c r="AC447" s="98"/>
      <c r="AD447" s="98"/>
      <c r="AE447" s="98"/>
      <c r="AF447" s="98"/>
      <c r="AG447" s="98"/>
      <c r="AH447" s="98"/>
      <c r="AI447" s="98"/>
      <c r="AJ447" s="98"/>
      <c r="AK447" s="98"/>
      <c r="AL447" s="98"/>
      <c r="AM447" s="98"/>
      <c r="AN447" s="98"/>
      <c r="AO447" s="98"/>
      <c r="AP447" s="98"/>
      <c r="AQ447" s="98"/>
      <c r="AR447" s="98"/>
      <c r="AS447" s="98"/>
    </row>
    <row r="448" spans="1:45" s="4" customFormat="1">
      <c r="A448" s="111" t="s">
        <v>919</v>
      </c>
      <c r="B448" s="94">
        <v>680487198621</v>
      </c>
      <c r="C448" s="98" t="s">
        <v>920</v>
      </c>
      <c r="D448">
        <v>0</v>
      </c>
      <c r="E448" s="96"/>
      <c r="F448" s="97"/>
      <c r="G448" s="98"/>
      <c r="H448" s="99" t="s">
        <v>621</v>
      </c>
      <c r="I448" s="98"/>
      <c r="J448" s="101"/>
      <c r="K448" s="102"/>
      <c r="L448" s="102"/>
      <c r="M448" s="102"/>
      <c r="N448" s="98"/>
      <c r="O448" s="98"/>
      <c r="P448" s="98"/>
      <c r="Q448" s="98"/>
      <c r="R448" s="98"/>
      <c r="S448" s="98"/>
      <c r="T448" s="98"/>
      <c r="U448" s="109"/>
      <c r="V448" s="103"/>
      <c r="W448" s="96"/>
      <c r="X448" s="109" t="s">
        <v>1440</v>
      </c>
      <c r="Y448" s="96"/>
      <c r="Z448" s="98"/>
      <c r="AA448" s="98"/>
      <c r="AB448" s="98"/>
      <c r="AC448" s="98"/>
      <c r="AD448" s="98"/>
      <c r="AE448" s="98"/>
      <c r="AF448" s="98"/>
      <c r="AG448" s="98"/>
      <c r="AH448" s="98"/>
      <c r="AI448" s="98"/>
      <c r="AJ448" s="98"/>
      <c r="AK448" s="98"/>
      <c r="AL448" s="98"/>
      <c r="AM448" s="98"/>
      <c r="AN448" s="98"/>
      <c r="AO448" s="98"/>
      <c r="AP448" s="98"/>
      <c r="AQ448" s="98"/>
      <c r="AR448" s="98"/>
      <c r="AS448" s="98"/>
    </row>
    <row r="449" spans="1:45" s="4" customFormat="1">
      <c r="A449" s="111" t="s">
        <v>919</v>
      </c>
      <c r="B449" s="94">
        <v>680487198638</v>
      </c>
      <c r="C449" s="98" t="s">
        <v>920</v>
      </c>
      <c r="D449">
        <v>0</v>
      </c>
      <c r="E449" s="96"/>
      <c r="F449" s="97"/>
      <c r="G449" s="98"/>
      <c r="H449" s="99" t="s">
        <v>622</v>
      </c>
      <c r="I449" s="98"/>
      <c r="J449" s="101"/>
      <c r="K449" s="102"/>
      <c r="L449" s="102"/>
      <c r="M449" s="102"/>
      <c r="N449" s="98"/>
      <c r="O449" s="98"/>
      <c r="P449" s="98"/>
      <c r="Q449" s="98"/>
      <c r="R449" s="98"/>
      <c r="S449" s="98"/>
      <c r="T449" s="98"/>
      <c r="U449" s="109"/>
      <c r="V449" s="103"/>
      <c r="W449" s="96"/>
      <c r="X449" s="109" t="s">
        <v>1440</v>
      </c>
      <c r="Y449" s="96"/>
      <c r="Z449" s="98"/>
      <c r="AA449" s="98"/>
      <c r="AB449" s="98"/>
      <c r="AC449" s="98"/>
      <c r="AD449" s="98"/>
      <c r="AE449" s="98"/>
      <c r="AF449" s="98"/>
      <c r="AG449" s="98"/>
      <c r="AH449" s="98"/>
      <c r="AI449" s="98"/>
      <c r="AJ449" s="98"/>
      <c r="AK449" s="98"/>
      <c r="AL449" s="98"/>
      <c r="AM449" s="98"/>
      <c r="AN449" s="98"/>
      <c r="AO449" s="98"/>
      <c r="AP449" s="98"/>
      <c r="AQ449" s="98"/>
      <c r="AR449" s="98"/>
      <c r="AS449" s="98"/>
    </row>
    <row r="450" spans="1:45" s="4" customFormat="1">
      <c r="A450" s="111" t="s">
        <v>919</v>
      </c>
      <c r="B450" s="94">
        <v>680487198645</v>
      </c>
      <c r="C450" s="98" t="s">
        <v>920</v>
      </c>
      <c r="D450">
        <v>0</v>
      </c>
      <c r="E450" s="96"/>
      <c r="F450" s="97"/>
      <c r="G450" s="98"/>
      <c r="H450" s="99" t="s">
        <v>623</v>
      </c>
      <c r="I450" s="98"/>
      <c r="J450" s="101"/>
      <c r="K450" s="102"/>
      <c r="L450" s="102"/>
      <c r="M450" s="102"/>
      <c r="N450" s="98"/>
      <c r="O450" s="98"/>
      <c r="P450" s="98"/>
      <c r="Q450" s="98"/>
      <c r="R450" s="98"/>
      <c r="S450" s="98"/>
      <c r="T450" s="98"/>
      <c r="U450" s="109"/>
      <c r="V450" s="103"/>
      <c r="W450" s="96"/>
      <c r="X450" s="109" t="s">
        <v>1440</v>
      </c>
      <c r="Y450" s="96"/>
      <c r="Z450" s="98"/>
      <c r="AA450" s="98"/>
      <c r="AB450" s="98"/>
      <c r="AC450" s="98"/>
      <c r="AD450" s="98"/>
      <c r="AE450" s="98"/>
      <c r="AF450" s="98"/>
      <c r="AG450" s="98"/>
      <c r="AH450" s="98"/>
      <c r="AI450" s="98"/>
      <c r="AJ450" s="98"/>
      <c r="AK450" s="98"/>
      <c r="AL450" s="98"/>
      <c r="AM450" s="98"/>
      <c r="AN450" s="98"/>
      <c r="AO450" s="98"/>
      <c r="AP450" s="98"/>
      <c r="AQ450" s="98"/>
      <c r="AR450" s="98"/>
      <c r="AS450" s="98"/>
    </row>
    <row r="451" spans="1:45" s="4" customFormat="1">
      <c r="A451" s="111" t="s">
        <v>919</v>
      </c>
      <c r="B451" s="94">
        <v>680487198652</v>
      </c>
      <c r="C451" s="98" t="s">
        <v>920</v>
      </c>
      <c r="D451">
        <v>0</v>
      </c>
      <c r="E451" s="96"/>
      <c r="F451" s="97"/>
      <c r="G451" s="98"/>
      <c r="H451" s="99" t="s">
        <v>624</v>
      </c>
      <c r="I451" s="98"/>
      <c r="J451" s="101"/>
      <c r="K451" s="102"/>
      <c r="L451" s="102"/>
      <c r="M451" s="102"/>
      <c r="N451" s="98"/>
      <c r="O451" s="98"/>
      <c r="P451" s="98"/>
      <c r="Q451" s="98"/>
      <c r="R451" s="98"/>
      <c r="S451" s="98"/>
      <c r="T451" s="98"/>
      <c r="U451" s="109"/>
      <c r="V451" s="103"/>
      <c r="W451" s="96"/>
      <c r="X451" s="109" t="s">
        <v>1440</v>
      </c>
      <c r="Y451" s="96"/>
      <c r="Z451" s="98"/>
      <c r="AA451" s="98"/>
      <c r="AB451" s="98"/>
      <c r="AC451" s="98"/>
      <c r="AD451" s="98"/>
      <c r="AE451" s="98"/>
      <c r="AF451" s="98"/>
      <c r="AG451" s="98"/>
      <c r="AH451" s="98"/>
      <c r="AI451" s="98"/>
      <c r="AJ451" s="98"/>
      <c r="AK451" s="98"/>
      <c r="AL451" s="98"/>
      <c r="AM451" s="98"/>
      <c r="AN451" s="98"/>
      <c r="AO451" s="98"/>
      <c r="AP451" s="98"/>
      <c r="AQ451" s="98"/>
      <c r="AR451" s="98"/>
      <c r="AS451" s="98"/>
    </row>
    <row r="452" spans="1:45" s="4" customFormat="1">
      <c r="A452" s="111" t="s">
        <v>919</v>
      </c>
      <c r="B452" s="94">
        <v>680487198669</v>
      </c>
      <c r="C452" s="98" t="s">
        <v>920</v>
      </c>
      <c r="D452">
        <v>0</v>
      </c>
      <c r="E452" s="96"/>
      <c r="F452" s="97"/>
      <c r="G452" s="98"/>
      <c r="H452" s="99" t="s">
        <v>625</v>
      </c>
      <c r="I452" s="98"/>
      <c r="J452" s="101"/>
      <c r="K452" s="102"/>
      <c r="L452" s="102"/>
      <c r="M452" s="102"/>
      <c r="N452" s="98"/>
      <c r="O452" s="98"/>
      <c r="P452" s="98"/>
      <c r="Q452" s="98"/>
      <c r="R452" s="98"/>
      <c r="S452" s="98"/>
      <c r="T452" s="98"/>
      <c r="U452" s="109"/>
      <c r="V452" s="103"/>
      <c r="W452" s="96"/>
      <c r="X452" s="109" t="s">
        <v>1440</v>
      </c>
      <c r="Y452" s="96"/>
      <c r="Z452" s="98"/>
      <c r="AA452" s="98"/>
      <c r="AB452" s="98"/>
      <c r="AC452" s="98"/>
      <c r="AD452" s="98"/>
      <c r="AE452" s="98"/>
      <c r="AF452" s="98"/>
      <c r="AG452" s="98"/>
      <c r="AH452" s="98"/>
      <c r="AI452" s="98"/>
      <c r="AJ452" s="98"/>
      <c r="AK452" s="98"/>
      <c r="AL452" s="98"/>
      <c r="AM452" s="98"/>
      <c r="AN452" s="98"/>
      <c r="AO452" s="98"/>
      <c r="AP452" s="98"/>
      <c r="AQ452" s="98"/>
      <c r="AR452" s="98"/>
      <c r="AS452" s="98"/>
    </row>
    <row r="453" spans="1:45" s="4" customFormat="1">
      <c r="A453" s="111" t="s">
        <v>919</v>
      </c>
      <c r="B453" s="94">
        <v>680487198676</v>
      </c>
      <c r="C453" s="98" t="s">
        <v>920</v>
      </c>
      <c r="D453">
        <v>0</v>
      </c>
      <c r="E453" s="96"/>
      <c r="F453" s="97"/>
      <c r="G453" s="98"/>
      <c r="H453" s="99" t="s">
        <v>626</v>
      </c>
      <c r="I453" s="98"/>
      <c r="J453" s="101"/>
      <c r="K453" s="102"/>
      <c r="L453" s="102"/>
      <c r="M453" s="102"/>
      <c r="N453" s="98"/>
      <c r="O453" s="98"/>
      <c r="P453" s="98"/>
      <c r="Q453" s="98"/>
      <c r="R453" s="98"/>
      <c r="S453" s="98"/>
      <c r="T453" s="98"/>
      <c r="U453" s="109"/>
      <c r="V453" s="103"/>
      <c r="W453" s="96"/>
      <c r="X453" s="109" t="s">
        <v>1440</v>
      </c>
      <c r="Y453" s="96"/>
      <c r="Z453" s="98"/>
      <c r="AA453" s="98"/>
      <c r="AB453" s="98"/>
      <c r="AC453" s="98"/>
      <c r="AD453" s="98"/>
      <c r="AE453" s="98"/>
      <c r="AF453" s="98"/>
      <c r="AG453" s="98"/>
      <c r="AH453" s="98"/>
      <c r="AI453" s="98"/>
      <c r="AJ453" s="98"/>
      <c r="AK453" s="98"/>
      <c r="AL453" s="98"/>
      <c r="AM453" s="98"/>
      <c r="AN453" s="98"/>
      <c r="AO453" s="98"/>
      <c r="AP453" s="98"/>
      <c r="AQ453" s="98"/>
      <c r="AR453" s="98"/>
      <c r="AS453" s="98"/>
    </row>
    <row r="454" spans="1:45" s="4" customFormat="1">
      <c r="A454" s="111" t="s">
        <v>919</v>
      </c>
      <c r="B454" s="94">
        <v>680487198683</v>
      </c>
      <c r="C454" s="98" t="s">
        <v>920</v>
      </c>
      <c r="D454">
        <v>0</v>
      </c>
      <c r="E454" s="96"/>
      <c r="F454" s="97"/>
      <c r="G454" s="98"/>
      <c r="H454" s="99" t="s">
        <v>691</v>
      </c>
      <c r="I454" s="98"/>
      <c r="J454" s="101"/>
      <c r="K454" s="102"/>
      <c r="L454" s="102"/>
      <c r="M454" s="102"/>
      <c r="N454" s="98"/>
      <c r="O454" s="98"/>
      <c r="P454" s="98"/>
      <c r="Q454" s="98"/>
      <c r="R454" s="98"/>
      <c r="S454" s="98"/>
      <c r="T454" s="98"/>
      <c r="U454" s="109"/>
      <c r="V454" s="103"/>
      <c r="W454" s="96"/>
      <c r="X454" s="109" t="s">
        <v>1440</v>
      </c>
      <c r="Y454" s="96"/>
      <c r="Z454" s="98"/>
      <c r="AA454" s="98"/>
      <c r="AB454" s="98"/>
      <c r="AC454" s="98"/>
      <c r="AD454" s="98"/>
      <c r="AE454" s="98"/>
      <c r="AF454" s="98"/>
      <c r="AG454" s="98"/>
      <c r="AH454" s="98"/>
      <c r="AI454" s="98"/>
      <c r="AJ454" s="98"/>
      <c r="AK454" s="98"/>
      <c r="AL454" s="98"/>
      <c r="AM454" s="98"/>
      <c r="AN454" s="98"/>
      <c r="AO454" s="98"/>
      <c r="AP454" s="98"/>
      <c r="AQ454" s="98"/>
      <c r="AR454" s="98"/>
      <c r="AS454" s="98"/>
    </row>
    <row r="455" spans="1:45" s="4" customFormat="1">
      <c r="A455" s="111" t="s">
        <v>919</v>
      </c>
      <c r="B455" s="94">
        <v>680487198690</v>
      </c>
      <c r="C455" s="98" t="s">
        <v>920</v>
      </c>
      <c r="D455">
        <v>0</v>
      </c>
      <c r="E455" s="96"/>
      <c r="F455" s="97"/>
      <c r="G455" s="98"/>
      <c r="H455" s="99" t="s">
        <v>692</v>
      </c>
      <c r="I455" s="98"/>
      <c r="J455" s="101"/>
      <c r="K455" s="102"/>
      <c r="L455" s="102"/>
      <c r="M455" s="102"/>
      <c r="N455" s="98"/>
      <c r="O455" s="98"/>
      <c r="P455" s="98"/>
      <c r="Q455" s="98"/>
      <c r="R455" s="98"/>
      <c r="S455" s="98"/>
      <c r="T455" s="98"/>
      <c r="U455" s="109"/>
      <c r="V455" s="103"/>
      <c r="W455" s="96"/>
      <c r="X455" s="109" t="s">
        <v>1440</v>
      </c>
      <c r="Y455" s="96"/>
      <c r="Z455" s="98"/>
      <c r="AA455" s="98"/>
      <c r="AB455" s="98"/>
      <c r="AC455" s="98"/>
      <c r="AD455" s="98"/>
      <c r="AE455" s="98"/>
      <c r="AF455" s="98"/>
      <c r="AG455" s="98"/>
      <c r="AH455" s="98"/>
      <c r="AI455" s="98"/>
      <c r="AJ455" s="98"/>
      <c r="AK455" s="98"/>
      <c r="AL455" s="98"/>
      <c r="AM455" s="98"/>
      <c r="AN455" s="98"/>
      <c r="AO455" s="98"/>
      <c r="AP455" s="98"/>
      <c r="AQ455" s="98"/>
      <c r="AR455" s="98"/>
      <c r="AS455" s="98"/>
    </row>
    <row r="456" spans="1:45" s="4" customFormat="1">
      <c r="A456" s="111" t="s">
        <v>919</v>
      </c>
      <c r="B456" s="94">
        <v>680487198706</v>
      </c>
      <c r="C456" s="98" t="s">
        <v>920</v>
      </c>
      <c r="D456">
        <v>0</v>
      </c>
      <c r="E456" s="96"/>
      <c r="F456" s="97"/>
      <c r="G456" s="98"/>
      <c r="H456" s="99" t="s">
        <v>555</v>
      </c>
      <c r="I456" s="98"/>
      <c r="J456" s="101"/>
      <c r="K456" s="102"/>
      <c r="L456" s="102"/>
      <c r="M456" s="102"/>
      <c r="N456" s="98"/>
      <c r="O456" s="98"/>
      <c r="P456" s="98"/>
      <c r="Q456" s="98"/>
      <c r="R456" s="98"/>
      <c r="S456" s="98"/>
      <c r="T456" s="98"/>
      <c r="U456" s="109"/>
      <c r="V456" s="103"/>
      <c r="W456" s="96"/>
      <c r="X456" s="109" t="s">
        <v>1440</v>
      </c>
      <c r="Y456" s="96"/>
      <c r="Z456" s="98"/>
      <c r="AA456" s="98"/>
      <c r="AB456" s="98"/>
      <c r="AC456" s="98"/>
      <c r="AD456" s="98"/>
      <c r="AE456" s="98"/>
      <c r="AF456" s="98"/>
      <c r="AG456" s="98"/>
      <c r="AH456" s="98"/>
      <c r="AI456" s="98"/>
      <c r="AJ456" s="98"/>
      <c r="AK456" s="98"/>
      <c r="AL456" s="98"/>
      <c r="AM456" s="98"/>
      <c r="AN456" s="98"/>
      <c r="AO456" s="98"/>
      <c r="AP456" s="98"/>
      <c r="AQ456" s="98"/>
      <c r="AR456" s="98"/>
      <c r="AS456" s="98"/>
    </row>
    <row r="457" spans="1:45" s="4" customFormat="1">
      <c r="A457" s="111" t="s">
        <v>919</v>
      </c>
      <c r="B457" s="94">
        <v>680487198713</v>
      </c>
      <c r="C457" s="98" t="s">
        <v>920</v>
      </c>
      <c r="D457">
        <v>0</v>
      </c>
      <c r="E457" s="96"/>
      <c r="F457" s="97"/>
      <c r="G457" s="98"/>
      <c r="H457" s="99" t="s">
        <v>556</v>
      </c>
      <c r="I457" s="98"/>
      <c r="J457" s="101"/>
      <c r="K457" s="102"/>
      <c r="L457" s="102"/>
      <c r="M457" s="102"/>
      <c r="N457" s="98"/>
      <c r="O457" s="98"/>
      <c r="P457" s="98"/>
      <c r="Q457" s="98"/>
      <c r="R457" s="98"/>
      <c r="S457" s="98"/>
      <c r="T457" s="98"/>
      <c r="U457" s="109"/>
      <c r="V457" s="103"/>
      <c r="W457" s="96"/>
      <c r="X457" s="109" t="s">
        <v>1440</v>
      </c>
      <c r="Y457" s="96"/>
      <c r="Z457" s="98"/>
      <c r="AA457" s="98"/>
      <c r="AB457" s="98"/>
      <c r="AC457" s="98"/>
      <c r="AD457" s="98"/>
      <c r="AE457" s="98"/>
      <c r="AF457" s="98"/>
      <c r="AG457" s="98"/>
      <c r="AH457" s="98"/>
      <c r="AI457" s="98"/>
      <c r="AJ457" s="98"/>
      <c r="AK457" s="98"/>
      <c r="AL457" s="98"/>
      <c r="AM457" s="98"/>
      <c r="AN457" s="98"/>
      <c r="AO457" s="98"/>
      <c r="AP457" s="98"/>
      <c r="AQ457" s="98"/>
      <c r="AR457" s="98"/>
      <c r="AS457" s="98"/>
    </row>
    <row r="458" spans="1:45" s="4" customFormat="1">
      <c r="A458" s="111" t="s">
        <v>919</v>
      </c>
      <c r="B458" s="94">
        <v>680487198720</v>
      </c>
      <c r="C458" s="98" t="s">
        <v>920</v>
      </c>
      <c r="D458">
        <v>0</v>
      </c>
      <c r="E458" s="96"/>
      <c r="F458" s="97"/>
      <c r="G458" s="98"/>
      <c r="H458" s="99" t="s">
        <v>680</v>
      </c>
      <c r="I458" s="98"/>
      <c r="J458" s="101"/>
      <c r="K458" s="102"/>
      <c r="L458" s="102"/>
      <c r="M458" s="102"/>
      <c r="N458" s="98"/>
      <c r="O458" s="98"/>
      <c r="P458" s="98"/>
      <c r="Q458" s="98"/>
      <c r="R458" s="98"/>
      <c r="S458" s="98"/>
      <c r="T458" s="98"/>
      <c r="U458" s="109"/>
      <c r="V458" s="103"/>
      <c r="W458" s="96"/>
      <c r="X458" s="109" t="s">
        <v>1440</v>
      </c>
      <c r="Y458" s="96"/>
      <c r="Z458" s="98"/>
      <c r="AA458" s="98"/>
      <c r="AB458" s="98"/>
      <c r="AC458" s="98"/>
      <c r="AD458" s="98"/>
      <c r="AE458" s="98"/>
      <c r="AF458" s="98"/>
      <c r="AG458" s="98"/>
      <c r="AH458" s="98"/>
      <c r="AI458" s="98"/>
      <c r="AJ458" s="98"/>
      <c r="AK458" s="98"/>
      <c r="AL458" s="98"/>
      <c r="AM458" s="98"/>
      <c r="AN458" s="98"/>
      <c r="AO458" s="98"/>
      <c r="AP458" s="98"/>
      <c r="AQ458" s="98"/>
      <c r="AR458" s="98"/>
      <c r="AS458" s="98"/>
    </row>
    <row r="459" spans="1:45" s="4" customFormat="1">
      <c r="A459" s="111" t="s">
        <v>919</v>
      </c>
      <c r="B459" s="94">
        <v>680487198737</v>
      </c>
      <c r="C459" s="98" t="s">
        <v>920</v>
      </c>
      <c r="D459">
        <v>0</v>
      </c>
      <c r="E459" s="96"/>
      <c r="F459" s="97"/>
      <c r="G459" s="98"/>
      <c r="H459" s="99" t="s">
        <v>557</v>
      </c>
      <c r="I459" s="98"/>
      <c r="J459" s="101"/>
      <c r="K459" s="102"/>
      <c r="L459" s="102"/>
      <c r="M459" s="102"/>
      <c r="N459" s="98"/>
      <c r="O459" s="98"/>
      <c r="P459" s="98"/>
      <c r="Q459" s="98"/>
      <c r="R459" s="98"/>
      <c r="S459" s="98"/>
      <c r="T459" s="98"/>
      <c r="U459" s="109"/>
      <c r="V459" s="103"/>
      <c r="W459" s="96"/>
      <c r="X459" s="109" t="s">
        <v>1440</v>
      </c>
      <c r="Y459" s="96"/>
      <c r="Z459" s="98"/>
      <c r="AA459" s="98"/>
      <c r="AB459" s="98"/>
      <c r="AC459" s="98"/>
      <c r="AD459" s="98"/>
      <c r="AE459" s="98"/>
      <c r="AF459" s="98"/>
      <c r="AG459" s="98"/>
      <c r="AH459" s="98"/>
      <c r="AI459" s="98"/>
      <c r="AJ459" s="98"/>
      <c r="AK459" s="98"/>
      <c r="AL459" s="98"/>
      <c r="AM459" s="98"/>
      <c r="AN459" s="98"/>
      <c r="AO459" s="98"/>
      <c r="AP459" s="98"/>
      <c r="AQ459" s="98"/>
      <c r="AR459" s="98"/>
      <c r="AS459" s="98"/>
    </row>
    <row r="460" spans="1:45" s="4" customFormat="1">
      <c r="A460" s="111" t="s">
        <v>919</v>
      </c>
      <c r="B460" s="94">
        <v>680487198744</v>
      </c>
      <c r="C460" s="98" t="s">
        <v>920</v>
      </c>
      <c r="D460">
        <v>0</v>
      </c>
      <c r="E460" s="96"/>
      <c r="F460" s="97"/>
      <c r="G460" s="98"/>
      <c r="H460" s="99" t="s">
        <v>664</v>
      </c>
      <c r="I460" s="98"/>
      <c r="J460" s="101"/>
      <c r="K460" s="102"/>
      <c r="L460" s="102"/>
      <c r="M460" s="102"/>
      <c r="N460" s="98"/>
      <c r="O460" s="98"/>
      <c r="P460" s="98"/>
      <c r="Q460" s="98"/>
      <c r="R460" s="98"/>
      <c r="S460" s="98"/>
      <c r="T460" s="98"/>
      <c r="U460" s="109"/>
      <c r="V460" s="103"/>
      <c r="W460" s="96"/>
      <c r="X460" s="109" t="s">
        <v>1440</v>
      </c>
      <c r="Y460" s="96"/>
      <c r="Z460" s="98"/>
      <c r="AA460" s="98"/>
      <c r="AB460" s="98"/>
      <c r="AC460" s="98"/>
      <c r="AD460" s="98"/>
      <c r="AE460" s="98"/>
      <c r="AF460" s="98"/>
      <c r="AG460" s="98"/>
      <c r="AH460" s="98"/>
      <c r="AI460" s="98"/>
      <c r="AJ460" s="98"/>
      <c r="AK460" s="98"/>
      <c r="AL460" s="98"/>
      <c r="AM460" s="98"/>
      <c r="AN460" s="98"/>
      <c r="AO460" s="98"/>
      <c r="AP460" s="98"/>
      <c r="AQ460" s="98"/>
      <c r="AR460" s="98"/>
      <c r="AS460" s="98"/>
    </row>
    <row r="461" spans="1:45" s="4" customFormat="1">
      <c r="A461" s="111" t="s">
        <v>919</v>
      </c>
      <c r="B461" s="94">
        <v>680487198751</v>
      </c>
      <c r="C461" s="98" t="s">
        <v>920</v>
      </c>
      <c r="D461">
        <v>0</v>
      </c>
      <c r="E461" s="96"/>
      <c r="F461" s="97"/>
      <c r="G461" s="98"/>
      <c r="H461" s="99" t="s">
        <v>561</v>
      </c>
      <c r="I461" s="98"/>
      <c r="J461" s="101"/>
      <c r="K461" s="102"/>
      <c r="L461" s="102"/>
      <c r="M461" s="102"/>
      <c r="N461" s="98"/>
      <c r="O461" s="98"/>
      <c r="P461" s="98"/>
      <c r="Q461" s="98"/>
      <c r="R461" s="98"/>
      <c r="S461" s="98"/>
      <c r="T461" s="98"/>
      <c r="U461" s="109"/>
      <c r="V461" s="103"/>
      <c r="W461" s="96"/>
      <c r="X461" s="109" t="s">
        <v>1440</v>
      </c>
      <c r="Y461" s="96"/>
      <c r="Z461" s="98"/>
      <c r="AA461" s="98"/>
      <c r="AB461" s="98"/>
      <c r="AC461" s="98"/>
      <c r="AD461" s="98"/>
      <c r="AE461" s="98"/>
      <c r="AF461" s="98"/>
      <c r="AG461" s="98"/>
      <c r="AH461" s="98"/>
      <c r="AI461" s="98"/>
      <c r="AJ461" s="98"/>
      <c r="AK461" s="98"/>
      <c r="AL461" s="98"/>
      <c r="AM461" s="98"/>
      <c r="AN461" s="98"/>
      <c r="AO461" s="98"/>
      <c r="AP461" s="98"/>
      <c r="AQ461" s="98"/>
      <c r="AR461" s="98"/>
      <c r="AS461" s="98"/>
    </row>
    <row r="462" spans="1:45" s="4" customFormat="1">
      <c r="A462" s="111" t="s">
        <v>919</v>
      </c>
      <c r="B462" s="94">
        <v>680487198768</v>
      </c>
      <c r="C462" s="98" t="s">
        <v>920</v>
      </c>
      <c r="D462">
        <v>0</v>
      </c>
      <c r="E462" s="96"/>
      <c r="F462" s="97"/>
      <c r="G462" s="98"/>
      <c r="H462" s="99" t="s">
        <v>558</v>
      </c>
      <c r="I462" s="98"/>
      <c r="J462" s="101"/>
      <c r="K462" s="102"/>
      <c r="L462" s="102"/>
      <c r="M462" s="102"/>
      <c r="N462" s="98"/>
      <c r="O462" s="98"/>
      <c r="P462" s="98"/>
      <c r="Q462" s="98"/>
      <c r="R462" s="98"/>
      <c r="S462" s="98"/>
      <c r="T462" s="98"/>
      <c r="U462" s="109"/>
      <c r="V462" s="103"/>
      <c r="W462" s="96"/>
      <c r="X462" s="109" t="s">
        <v>1440</v>
      </c>
      <c r="Y462" s="96"/>
      <c r="Z462" s="98"/>
      <c r="AA462" s="98"/>
      <c r="AB462" s="98"/>
      <c r="AC462" s="98"/>
      <c r="AD462" s="98"/>
      <c r="AE462" s="98"/>
      <c r="AF462" s="98"/>
      <c r="AG462" s="98"/>
      <c r="AH462" s="98"/>
      <c r="AI462" s="98"/>
      <c r="AJ462" s="98"/>
      <c r="AK462" s="98"/>
      <c r="AL462" s="98"/>
      <c r="AM462" s="98"/>
      <c r="AN462" s="98"/>
      <c r="AO462" s="98"/>
      <c r="AP462" s="98"/>
      <c r="AQ462" s="98"/>
      <c r="AR462" s="98"/>
      <c r="AS462" s="98"/>
    </row>
    <row r="463" spans="1:45" s="4" customFormat="1">
      <c r="A463" s="111" t="s">
        <v>919</v>
      </c>
      <c r="B463" s="94">
        <v>680487198775</v>
      </c>
      <c r="C463" s="98" t="s">
        <v>920</v>
      </c>
      <c r="D463">
        <v>0</v>
      </c>
      <c r="E463" s="96"/>
      <c r="F463" s="97"/>
      <c r="G463" s="98"/>
      <c r="H463" s="99" t="s">
        <v>559</v>
      </c>
      <c r="I463" s="98"/>
      <c r="J463" s="101"/>
      <c r="K463" s="102"/>
      <c r="L463" s="102"/>
      <c r="M463" s="102"/>
      <c r="N463" s="98"/>
      <c r="O463" s="98"/>
      <c r="P463" s="98"/>
      <c r="Q463" s="98"/>
      <c r="R463" s="98"/>
      <c r="S463" s="98"/>
      <c r="T463" s="98"/>
      <c r="U463" s="109"/>
      <c r="V463" s="103"/>
      <c r="W463" s="96"/>
      <c r="X463" s="109" t="s">
        <v>1440</v>
      </c>
      <c r="Y463" s="96"/>
      <c r="Z463" s="98"/>
      <c r="AA463" s="98"/>
      <c r="AB463" s="98"/>
      <c r="AC463" s="98"/>
      <c r="AD463" s="98"/>
      <c r="AE463" s="98"/>
      <c r="AF463" s="98"/>
      <c r="AG463" s="98"/>
      <c r="AH463" s="98"/>
      <c r="AI463" s="98"/>
      <c r="AJ463" s="98"/>
      <c r="AK463" s="98"/>
      <c r="AL463" s="98"/>
      <c r="AM463" s="98"/>
      <c r="AN463" s="98"/>
      <c r="AO463" s="98"/>
      <c r="AP463" s="98"/>
      <c r="AQ463" s="98"/>
      <c r="AR463" s="98"/>
      <c r="AS463" s="98"/>
    </row>
    <row r="464" spans="1:45" s="4" customFormat="1">
      <c r="A464" s="111" t="s">
        <v>919</v>
      </c>
      <c r="B464" s="94">
        <v>680487198782</v>
      </c>
      <c r="C464" s="98" t="s">
        <v>920</v>
      </c>
      <c r="D464">
        <v>0</v>
      </c>
      <c r="E464" s="96"/>
      <c r="F464" s="97"/>
      <c r="G464" s="98"/>
      <c r="H464" s="99" t="s">
        <v>560</v>
      </c>
      <c r="I464" s="98"/>
      <c r="J464" s="101"/>
      <c r="K464" s="102"/>
      <c r="L464" s="102"/>
      <c r="M464" s="102"/>
      <c r="N464" s="98"/>
      <c r="O464" s="98"/>
      <c r="P464" s="98"/>
      <c r="Q464" s="98"/>
      <c r="R464" s="98"/>
      <c r="S464" s="98"/>
      <c r="T464" s="98"/>
      <c r="U464" s="109"/>
      <c r="V464" s="103"/>
      <c r="W464" s="96"/>
      <c r="X464" s="109" t="s">
        <v>1440</v>
      </c>
      <c r="Y464" s="96"/>
      <c r="Z464" s="98"/>
      <c r="AA464" s="98"/>
      <c r="AB464" s="98"/>
      <c r="AC464" s="98"/>
      <c r="AD464" s="98"/>
      <c r="AE464" s="98"/>
      <c r="AF464" s="98"/>
      <c r="AG464" s="98"/>
      <c r="AH464" s="98"/>
      <c r="AI464" s="98"/>
      <c r="AJ464" s="98"/>
      <c r="AK464" s="98"/>
      <c r="AL464" s="98"/>
      <c r="AM464" s="98"/>
      <c r="AN464" s="98"/>
      <c r="AO464" s="98"/>
      <c r="AP464" s="98"/>
      <c r="AQ464" s="98"/>
      <c r="AR464" s="98"/>
      <c r="AS464" s="98"/>
    </row>
    <row r="465" spans="1:45" s="4" customFormat="1">
      <c r="A465" s="111" t="s">
        <v>919</v>
      </c>
      <c r="B465" s="94">
        <v>680487182262</v>
      </c>
      <c r="C465" s="98" t="s">
        <v>920</v>
      </c>
      <c r="D465">
        <v>0</v>
      </c>
      <c r="E465" s="96"/>
      <c r="F465" s="97"/>
      <c r="G465" s="98"/>
      <c r="H465" s="99" t="s">
        <v>562</v>
      </c>
      <c r="I465" s="98"/>
      <c r="J465" s="101"/>
      <c r="K465" s="102"/>
      <c r="L465" s="102"/>
      <c r="M465" s="102"/>
      <c r="N465" s="98"/>
      <c r="O465" s="98"/>
      <c r="P465" s="98"/>
      <c r="Q465" s="98"/>
      <c r="R465" s="98"/>
      <c r="S465" s="98"/>
      <c r="T465" s="98"/>
      <c r="U465" s="109"/>
      <c r="V465" s="103"/>
      <c r="W465" s="96"/>
      <c r="X465" s="109" t="s">
        <v>1440</v>
      </c>
      <c r="Y465" s="96"/>
      <c r="Z465" s="98"/>
      <c r="AA465" s="98"/>
      <c r="AB465" s="98"/>
      <c r="AC465" s="98"/>
      <c r="AD465" s="98"/>
      <c r="AE465" s="98"/>
      <c r="AF465" s="98"/>
      <c r="AG465" s="98"/>
      <c r="AH465" s="98"/>
      <c r="AI465" s="98"/>
      <c r="AJ465" s="98"/>
      <c r="AK465" s="98"/>
      <c r="AL465" s="98"/>
      <c r="AM465" s="98"/>
      <c r="AN465" s="98"/>
      <c r="AO465" s="98"/>
      <c r="AP465" s="98"/>
      <c r="AQ465" s="98"/>
      <c r="AR465" s="98"/>
      <c r="AS465" s="98"/>
    </row>
    <row r="466" spans="1:45" s="4" customFormat="1">
      <c r="A466" s="111" t="s">
        <v>919</v>
      </c>
      <c r="B466" s="94">
        <v>680487198805</v>
      </c>
      <c r="C466" s="98" t="s">
        <v>920</v>
      </c>
      <c r="D466">
        <v>0</v>
      </c>
      <c r="E466" s="96"/>
      <c r="F466" s="97"/>
      <c r="G466" s="98"/>
      <c r="H466" s="99" t="s">
        <v>563</v>
      </c>
      <c r="I466" s="98"/>
      <c r="J466" s="101"/>
      <c r="K466" s="102"/>
      <c r="L466" s="102"/>
      <c r="M466" s="102"/>
      <c r="N466" s="98"/>
      <c r="O466" s="98"/>
      <c r="P466" s="98"/>
      <c r="Q466" s="98"/>
      <c r="R466" s="98"/>
      <c r="S466" s="98"/>
      <c r="T466" s="98"/>
      <c r="U466" s="109"/>
      <c r="V466" s="103"/>
      <c r="W466" s="96"/>
      <c r="X466" s="109" t="s">
        <v>1440</v>
      </c>
      <c r="Y466" s="96"/>
      <c r="Z466" s="98"/>
      <c r="AA466" s="98"/>
      <c r="AB466" s="98"/>
      <c r="AC466" s="98"/>
      <c r="AD466" s="98"/>
      <c r="AE466" s="98"/>
      <c r="AF466" s="98"/>
      <c r="AG466" s="98"/>
      <c r="AH466" s="98"/>
      <c r="AI466" s="98"/>
      <c r="AJ466" s="98"/>
      <c r="AK466" s="98"/>
      <c r="AL466" s="98"/>
      <c r="AM466" s="98"/>
      <c r="AN466" s="98"/>
      <c r="AO466" s="98"/>
      <c r="AP466" s="98"/>
      <c r="AQ466" s="98"/>
      <c r="AR466" s="98"/>
      <c r="AS466" s="98"/>
    </row>
    <row r="467" spans="1:45" s="4" customFormat="1">
      <c r="A467" s="111" t="s">
        <v>919</v>
      </c>
      <c r="B467" s="94">
        <v>680487198812</v>
      </c>
      <c r="C467" s="98" t="s">
        <v>920</v>
      </c>
      <c r="D467">
        <v>0</v>
      </c>
      <c r="E467" s="96"/>
      <c r="F467" s="97"/>
      <c r="G467" s="98"/>
      <c r="H467" s="99" t="s">
        <v>564</v>
      </c>
      <c r="I467" s="98"/>
      <c r="J467" s="101"/>
      <c r="K467" s="102"/>
      <c r="L467" s="102"/>
      <c r="M467" s="102"/>
      <c r="N467" s="98"/>
      <c r="O467" s="98"/>
      <c r="P467" s="98"/>
      <c r="Q467" s="98"/>
      <c r="R467" s="98"/>
      <c r="S467" s="98"/>
      <c r="T467" s="98"/>
      <c r="U467" s="109"/>
      <c r="V467" s="103"/>
      <c r="W467" s="96"/>
      <c r="X467" s="109" t="s">
        <v>1440</v>
      </c>
      <c r="Y467" s="96"/>
      <c r="Z467" s="98"/>
      <c r="AA467" s="98"/>
      <c r="AB467" s="98"/>
      <c r="AC467" s="98"/>
      <c r="AD467" s="98"/>
      <c r="AE467" s="98"/>
      <c r="AF467" s="98"/>
      <c r="AG467" s="98"/>
      <c r="AH467" s="98"/>
      <c r="AI467" s="98"/>
      <c r="AJ467" s="98"/>
      <c r="AK467" s="98"/>
      <c r="AL467" s="98"/>
      <c r="AM467" s="98"/>
      <c r="AN467" s="98"/>
      <c r="AO467" s="98"/>
      <c r="AP467" s="98"/>
      <c r="AQ467" s="98"/>
      <c r="AR467" s="98"/>
      <c r="AS467" s="98"/>
    </row>
    <row r="468" spans="1:45" s="4" customFormat="1">
      <c r="A468" s="111" t="s">
        <v>919</v>
      </c>
      <c r="B468" s="94">
        <v>680487198829</v>
      </c>
      <c r="C468" s="98" t="s">
        <v>920</v>
      </c>
      <c r="D468">
        <v>0</v>
      </c>
      <c r="E468" s="96"/>
      <c r="F468" s="97"/>
      <c r="G468" s="98"/>
      <c r="H468" s="99" t="s">
        <v>565</v>
      </c>
      <c r="I468" s="98"/>
      <c r="J468" s="101"/>
      <c r="K468" s="102"/>
      <c r="L468" s="102"/>
      <c r="M468" s="102"/>
      <c r="N468" s="98"/>
      <c r="O468" s="98"/>
      <c r="P468" s="98"/>
      <c r="Q468" s="98"/>
      <c r="R468" s="98"/>
      <c r="S468" s="98"/>
      <c r="T468" s="98"/>
      <c r="U468" s="109"/>
      <c r="V468" s="103"/>
      <c r="W468" s="96"/>
      <c r="X468" s="109" t="s">
        <v>1440</v>
      </c>
      <c r="Y468" s="96"/>
      <c r="Z468" s="98"/>
      <c r="AA468" s="98"/>
      <c r="AB468" s="98"/>
      <c r="AC468" s="98"/>
      <c r="AD468" s="98"/>
      <c r="AE468" s="98"/>
      <c r="AF468" s="98"/>
      <c r="AG468" s="98"/>
      <c r="AH468" s="98"/>
      <c r="AI468" s="98"/>
      <c r="AJ468" s="98"/>
      <c r="AK468" s="98"/>
      <c r="AL468" s="98"/>
      <c r="AM468" s="98"/>
      <c r="AN468" s="98"/>
      <c r="AO468" s="98"/>
      <c r="AP468" s="98"/>
      <c r="AQ468" s="98"/>
      <c r="AR468" s="98"/>
      <c r="AS468" s="98"/>
    </row>
    <row r="469" spans="1:45" s="4" customFormat="1">
      <c r="A469" s="111" t="s">
        <v>919</v>
      </c>
      <c r="B469" s="94">
        <v>680487198836</v>
      </c>
      <c r="C469" s="98" t="s">
        <v>920</v>
      </c>
      <c r="D469">
        <v>0</v>
      </c>
      <c r="E469" s="96"/>
      <c r="F469" s="97"/>
      <c r="G469" s="98"/>
      <c r="H469" s="99" t="s">
        <v>665</v>
      </c>
      <c r="I469" s="98"/>
      <c r="J469" s="101"/>
      <c r="K469" s="102"/>
      <c r="L469" s="102"/>
      <c r="M469" s="102"/>
      <c r="N469" s="98"/>
      <c r="O469" s="98"/>
      <c r="P469" s="98"/>
      <c r="Q469" s="98"/>
      <c r="R469" s="98"/>
      <c r="S469" s="98"/>
      <c r="T469" s="98"/>
      <c r="U469" s="109"/>
      <c r="V469" s="103"/>
      <c r="W469" s="96"/>
      <c r="X469" s="109" t="s">
        <v>1440</v>
      </c>
      <c r="Y469" s="96"/>
      <c r="Z469" s="98"/>
      <c r="AA469" s="98"/>
      <c r="AB469" s="98"/>
      <c r="AC469" s="98"/>
      <c r="AD469" s="98"/>
      <c r="AE469" s="98"/>
      <c r="AF469" s="98"/>
      <c r="AG469" s="98"/>
      <c r="AH469" s="98"/>
      <c r="AI469" s="98"/>
      <c r="AJ469" s="98"/>
      <c r="AK469" s="98"/>
      <c r="AL469" s="98"/>
      <c r="AM469" s="98"/>
      <c r="AN469" s="98"/>
      <c r="AO469" s="98"/>
      <c r="AP469" s="98"/>
      <c r="AQ469" s="98"/>
      <c r="AR469" s="98"/>
      <c r="AS469" s="98"/>
    </row>
    <row r="470" spans="1:45" s="4" customFormat="1">
      <c r="A470" s="111" t="s">
        <v>919</v>
      </c>
      <c r="B470" s="94">
        <v>680487198843</v>
      </c>
      <c r="C470" s="98" t="s">
        <v>920</v>
      </c>
      <c r="D470">
        <v>0</v>
      </c>
      <c r="E470" s="96"/>
      <c r="F470" s="97"/>
      <c r="G470" s="98"/>
      <c r="H470" s="99" t="s">
        <v>566</v>
      </c>
      <c r="I470" s="98"/>
      <c r="J470" s="101"/>
      <c r="K470" s="102"/>
      <c r="L470" s="102"/>
      <c r="M470" s="102"/>
      <c r="N470" s="98"/>
      <c r="O470" s="98"/>
      <c r="P470" s="98"/>
      <c r="Q470" s="98"/>
      <c r="R470" s="98"/>
      <c r="S470" s="98"/>
      <c r="T470" s="98"/>
      <c r="U470" s="109"/>
      <c r="V470" s="103"/>
      <c r="W470" s="96"/>
      <c r="X470" s="109" t="s">
        <v>1440</v>
      </c>
      <c r="Y470" s="96"/>
      <c r="Z470" s="98"/>
      <c r="AA470" s="98"/>
      <c r="AB470" s="98"/>
      <c r="AC470" s="98"/>
      <c r="AD470" s="98"/>
      <c r="AE470" s="98"/>
      <c r="AF470" s="98"/>
      <c r="AG470" s="98"/>
      <c r="AH470" s="98"/>
      <c r="AI470" s="98"/>
      <c r="AJ470" s="98"/>
      <c r="AK470" s="98"/>
      <c r="AL470" s="98"/>
      <c r="AM470" s="98"/>
      <c r="AN470" s="98"/>
      <c r="AO470" s="98"/>
      <c r="AP470" s="98"/>
      <c r="AQ470" s="98"/>
      <c r="AR470" s="98"/>
      <c r="AS470" s="98"/>
    </row>
    <row r="471" spans="1:45" s="4" customFormat="1">
      <c r="A471" s="111" t="s">
        <v>919</v>
      </c>
      <c r="B471" s="94">
        <v>680487198850</v>
      </c>
      <c r="C471" s="98" t="s">
        <v>920</v>
      </c>
      <c r="D471">
        <v>0</v>
      </c>
      <c r="E471" s="96"/>
      <c r="F471" s="97"/>
      <c r="G471" s="98"/>
      <c r="H471" s="99" t="s">
        <v>567</v>
      </c>
      <c r="I471" s="98"/>
      <c r="J471" s="101"/>
      <c r="K471" s="102"/>
      <c r="L471" s="102"/>
      <c r="M471" s="102"/>
      <c r="N471" s="98"/>
      <c r="O471" s="98"/>
      <c r="P471" s="98"/>
      <c r="Q471" s="98"/>
      <c r="R471" s="98"/>
      <c r="S471" s="98"/>
      <c r="T471" s="98"/>
      <c r="U471" s="109"/>
      <c r="V471" s="103"/>
      <c r="W471" s="96"/>
      <c r="X471" s="109" t="s">
        <v>1440</v>
      </c>
      <c r="Y471" s="96"/>
      <c r="Z471" s="98"/>
      <c r="AA471" s="98"/>
      <c r="AB471" s="98"/>
      <c r="AC471" s="98"/>
      <c r="AD471" s="98"/>
      <c r="AE471" s="98"/>
      <c r="AF471" s="98"/>
      <c r="AG471" s="98"/>
      <c r="AH471" s="98"/>
      <c r="AI471" s="98"/>
      <c r="AJ471" s="98"/>
      <c r="AK471" s="98"/>
      <c r="AL471" s="98"/>
      <c r="AM471" s="98"/>
      <c r="AN471" s="98"/>
      <c r="AO471" s="98"/>
      <c r="AP471" s="98"/>
      <c r="AQ471" s="98"/>
      <c r="AR471" s="98"/>
      <c r="AS471" s="98"/>
    </row>
    <row r="472" spans="1:45" s="4" customFormat="1">
      <c r="A472" s="111" t="s">
        <v>919</v>
      </c>
      <c r="B472" s="94">
        <v>680487198867</v>
      </c>
      <c r="C472" s="98" t="s">
        <v>920</v>
      </c>
      <c r="D472">
        <v>0</v>
      </c>
      <c r="E472" s="96"/>
      <c r="F472" s="97"/>
      <c r="G472" s="98"/>
      <c r="H472" s="99" t="s">
        <v>568</v>
      </c>
      <c r="I472" s="98"/>
      <c r="J472" s="101"/>
      <c r="K472" s="102"/>
      <c r="L472" s="102"/>
      <c r="M472" s="102"/>
      <c r="N472" s="98"/>
      <c r="O472" s="98"/>
      <c r="P472" s="98"/>
      <c r="Q472" s="98"/>
      <c r="R472" s="98"/>
      <c r="S472" s="98"/>
      <c r="T472" s="98"/>
      <c r="U472" s="109"/>
      <c r="V472" s="103"/>
      <c r="W472" s="96"/>
      <c r="X472" s="109" t="s">
        <v>1440</v>
      </c>
      <c r="Y472" s="96"/>
      <c r="Z472" s="98"/>
      <c r="AA472" s="98"/>
      <c r="AB472" s="98"/>
      <c r="AC472" s="98"/>
      <c r="AD472" s="98"/>
      <c r="AE472" s="98"/>
      <c r="AF472" s="98"/>
      <c r="AG472" s="98"/>
      <c r="AH472" s="98"/>
      <c r="AI472" s="98"/>
      <c r="AJ472" s="98"/>
      <c r="AK472" s="98"/>
      <c r="AL472" s="98"/>
      <c r="AM472" s="98"/>
      <c r="AN472" s="98"/>
      <c r="AO472" s="98"/>
      <c r="AP472" s="98"/>
      <c r="AQ472" s="98"/>
      <c r="AR472" s="98"/>
      <c r="AS472" s="98"/>
    </row>
    <row r="473" spans="1:45" s="4" customFormat="1">
      <c r="A473" s="111" t="s">
        <v>919</v>
      </c>
      <c r="B473" s="94">
        <v>680487198874</v>
      </c>
      <c r="C473" s="98" t="s">
        <v>920</v>
      </c>
      <c r="D473">
        <v>0</v>
      </c>
      <c r="E473" s="96"/>
      <c r="F473" s="97"/>
      <c r="G473" s="98"/>
      <c r="H473" s="99" t="s">
        <v>569</v>
      </c>
      <c r="I473" s="98"/>
      <c r="J473" s="101"/>
      <c r="K473" s="102"/>
      <c r="L473" s="102"/>
      <c r="M473" s="102"/>
      <c r="N473" s="98"/>
      <c r="O473" s="98"/>
      <c r="P473" s="98"/>
      <c r="Q473" s="98"/>
      <c r="R473" s="98"/>
      <c r="S473" s="98"/>
      <c r="T473" s="98"/>
      <c r="U473" s="109"/>
      <c r="V473" s="103"/>
      <c r="W473" s="96"/>
      <c r="X473" s="109" t="s">
        <v>1440</v>
      </c>
      <c r="Y473" s="96"/>
      <c r="Z473" s="98"/>
      <c r="AA473" s="98"/>
      <c r="AB473" s="98"/>
      <c r="AC473" s="98"/>
      <c r="AD473" s="98"/>
      <c r="AE473" s="98"/>
      <c r="AF473" s="98"/>
      <c r="AG473" s="98"/>
      <c r="AH473" s="98"/>
      <c r="AI473" s="98"/>
      <c r="AJ473" s="98"/>
      <c r="AK473" s="98"/>
      <c r="AL473" s="98"/>
      <c r="AM473" s="98"/>
      <c r="AN473" s="98"/>
      <c r="AO473" s="98"/>
      <c r="AP473" s="98"/>
      <c r="AQ473" s="98"/>
      <c r="AR473" s="98"/>
      <c r="AS473" s="98"/>
    </row>
    <row r="474" spans="1:45" s="4" customFormat="1">
      <c r="A474" s="111" t="s">
        <v>919</v>
      </c>
      <c r="B474" s="94">
        <v>680487198881</v>
      </c>
      <c r="C474" s="98" t="s">
        <v>920</v>
      </c>
      <c r="D474">
        <v>0</v>
      </c>
      <c r="E474" s="96"/>
      <c r="F474" s="97"/>
      <c r="G474" s="98"/>
      <c r="H474" s="99" t="s">
        <v>666</v>
      </c>
      <c r="I474" s="98"/>
      <c r="J474" s="101"/>
      <c r="K474" s="102"/>
      <c r="L474" s="102"/>
      <c r="M474" s="102"/>
      <c r="N474" s="98"/>
      <c r="O474" s="98"/>
      <c r="P474" s="98"/>
      <c r="Q474" s="98"/>
      <c r="R474" s="98"/>
      <c r="S474" s="98"/>
      <c r="T474" s="98"/>
      <c r="U474" s="109"/>
      <c r="V474" s="103"/>
      <c r="W474" s="96"/>
      <c r="X474" s="109" t="s">
        <v>1440</v>
      </c>
      <c r="Y474" s="96"/>
      <c r="Z474" s="98"/>
      <c r="AA474" s="98"/>
      <c r="AB474" s="98"/>
      <c r="AC474" s="98"/>
      <c r="AD474" s="98"/>
      <c r="AE474" s="98"/>
      <c r="AF474" s="98"/>
      <c r="AG474" s="98"/>
      <c r="AH474" s="98"/>
      <c r="AI474" s="98"/>
      <c r="AJ474" s="98"/>
      <c r="AK474" s="98"/>
      <c r="AL474" s="98"/>
      <c r="AM474" s="98"/>
      <c r="AN474" s="98"/>
      <c r="AO474" s="98"/>
      <c r="AP474" s="98"/>
      <c r="AQ474" s="98"/>
      <c r="AR474" s="98"/>
      <c r="AS474" s="98"/>
    </row>
    <row r="475" spans="1:45" s="4" customFormat="1">
      <c r="A475" s="111" t="s">
        <v>919</v>
      </c>
      <c r="B475" s="94">
        <v>680487198898</v>
      </c>
      <c r="C475" s="98" t="s">
        <v>920</v>
      </c>
      <c r="D475">
        <v>0</v>
      </c>
      <c r="E475" s="96"/>
      <c r="F475" s="97"/>
      <c r="G475" s="98"/>
      <c r="H475" s="99" t="s">
        <v>570</v>
      </c>
      <c r="I475" s="98"/>
      <c r="J475" s="101"/>
      <c r="K475" s="102"/>
      <c r="L475" s="102"/>
      <c r="M475" s="102"/>
      <c r="N475" s="98"/>
      <c r="O475" s="98"/>
      <c r="P475" s="98"/>
      <c r="Q475" s="98"/>
      <c r="R475" s="98"/>
      <c r="S475" s="98"/>
      <c r="T475" s="98"/>
      <c r="U475" s="109"/>
      <c r="V475" s="103"/>
      <c r="W475" s="96"/>
      <c r="X475" s="109" t="s">
        <v>1440</v>
      </c>
      <c r="Y475" s="96"/>
      <c r="Z475" s="98"/>
      <c r="AA475" s="98"/>
      <c r="AB475" s="98"/>
      <c r="AC475" s="98"/>
      <c r="AD475" s="98"/>
      <c r="AE475" s="98"/>
      <c r="AF475" s="98"/>
      <c r="AG475" s="98"/>
      <c r="AH475" s="98"/>
      <c r="AI475" s="98"/>
      <c r="AJ475" s="98"/>
      <c r="AK475" s="98"/>
      <c r="AL475" s="98"/>
      <c r="AM475" s="98"/>
      <c r="AN475" s="98"/>
      <c r="AO475" s="98"/>
      <c r="AP475" s="98"/>
      <c r="AQ475" s="98"/>
      <c r="AR475" s="98"/>
      <c r="AS475" s="98"/>
    </row>
    <row r="476" spans="1:45" s="4" customFormat="1">
      <c r="A476" s="111" t="s">
        <v>919</v>
      </c>
      <c r="B476" s="94">
        <v>680487198904</v>
      </c>
      <c r="C476" s="98" t="s">
        <v>920</v>
      </c>
      <c r="D476">
        <v>0</v>
      </c>
      <c r="E476" s="96"/>
      <c r="F476" s="97"/>
      <c r="G476" s="98"/>
      <c r="H476" s="99" t="s">
        <v>571</v>
      </c>
      <c r="I476" s="98"/>
      <c r="J476" s="101"/>
      <c r="K476" s="102"/>
      <c r="L476" s="102"/>
      <c r="M476" s="102"/>
      <c r="N476" s="98"/>
      <c r="O476" s="98"/>
      <c r="P476" s="98"/>
      <c r="Q476" s="98"/>
      <c r="R476" s="98"/>
      <c r="S476" s="98"/>
      <c r="T476" s="98"/>
      <c r="U476" s="109"/>
      <c r="V476" s="103"/>
      <c r="W476" s="96"/>
      <c r="X476" s="109" t="s">
        <v>1440</v>
      </c>
      <c r="Y476" s="96"/>
      <c r="Z476" s="98"/>
      <c r="AA476" s="98"/>
      <c r="AB476" s="98"/>
      <c r="AC476" s="98"/>
      <c r="AD476" s="98"/>
      <c r="AE476" s="98"/>
      <c r="AF476" s="98"/>
      <c r="AG476" s="98"/>
      <c r="AH476" s="98"/>
      <c r="AI476" s="98"/>
      <c r="AJ476" s="98"/>
      <c r="AK476" s="98"/>
      <c r="AL476" s="98"/>
      <c r="AM476" s="98"/>
      <c r="AN476" s="98"/>
      <c r="AO476" s="98"/>
      <c r="AP476" s="98"/>
      <c r="AQ476" s="98"/>
      <c r="AR476" s="98"/>
      <c r="AS476" s="98"/>
    </row>
    <row r="477" spans="1:45" s="4" customFormat="1">
      <c r="A477" s="111" t="s">
        <v>919</v>
      </c>
      <c r="B477" s="94">
        <v>680487198911</v>
      </c>
      <c r="C477" s="98" t="s">
        <v>920</v>
      </c>
      <c r="D477">
        <v>0</v>
      </c>
      <c r="E477" s="96"/>
      <c r="F477" s="97"/>
      <c r="G477" s="98"/>
      <c r="H477" s="99" t="s">
        <v>681</v>
      </c>
      <c r="I477" s="98"/>
      <c r="J477" s="101"/>
      <c r="K477" s="102"/>
      <c r="L477" s="102"/>
      <c r="M477" s="102"/>
      <c r="N477" s="98"/>
      <c r="O477" s="98"/>
      <c r="P477" s="98"/>
      <c r="Q477" s="98"/>
      <c r="R477" s="98"/>
      <c r="S477" s="98"/>
      <c r="T477" s="98"/>
      <c r="U477" s="109"/>
      <c r="V477" s="103"/>
      <c r="W477" s="96"/>
      <c r="X477" s="109" t="s">
        <v>1440</v>
      </c>
      <c r="Y477" s="96"/>
      <c r="Z477" s="98"/>
      <c r="AA477" s="98"/>
      <c r="AB477" s="98"/>
      <c r="AC477" s="98"/>
      <c r="AD477" s="98"/>
      <c r="AE477" s="98"/>
      <c r="AF477" s="98"/>
      <c r="AG477" s="98"/>
      <c r="AH477" s="98"/>
      <c r="AI477" s="98"/>
      <c r="AJ477" s="98"/>
      <c r="AK477" s="98"/>
      <c r="AL477" s="98"/>
      <c r="AM477" s="98"/>
      <c r="AN477" s="98"/>
      <c r="AO477" s="98"/>
      <c r="AP477" s="98"/>
      <c r="AQ477" s="98"/>
      <c r="AR477" s="98"/>
      <c r="AS477" s="98"/>
    </row>
    <row r="478" spans="1:45" s="4" customFormat="1">
      <c r="A478" s="111" t="s">
        <v>919</v>
      </c>
      <c r="B478" s="94">
        <v>680487198928</v>
      </c>
      <c r="C478" s="98" t="s">
        <v>920</v>
      </c>
      <c r="D478">
        <v>0</v>
      </c>
      <c r="E478" s="96"/>
      <c r="F478" s="97"/>
      <c r="G478" s="98"/>
      <c r="H478" s="99" t="s">
        <v>572</v>
      </c>
      <c r="I478" s="98"/>
      <c r="J478" s="101"/>
      <c r="K478" s="102"/>
      <c r="L478" s="102"/>
      <c r="M478" s="102"/>
      <c r="N478" s="98"/>
      <c r="O478" s="98"/>
      <c r="P478" s="98"/>
      <c r="Q478" s="98"/>
      <c r="R478" s="98"/>
      <c r="S478" s="98"/>
      <c r="T478" s="98"/>
      <c r="U478" s="109"/>
      <c r="V478" s="103"/>
      <c r="W478" s="96"/>
      <c r="X478" s="109" t="s">
        <v>1440</v>
      </c>
      <c r="Y478" s="96"/>
      <c r="Z478" s="98"/>
      <c r="AA478" s="98"/>
      <c r="AB478" s="98"/>
      <c r="AC478" s="98"/>
      <c r="AD478" s="98"/>
      <c r="AE478" s="98"/>
      <c r="AF478" s="98"/>
      <c r="AG478" s="98"/>
      <c r="AH478" s="98"/>
      <c r="AI478" s="98"/>
      <c r="AJ478" s="98"/>
      <c r="AK478" s="98"/>
      <c r="AL478" s="98"/>
      <c r="AM478" s="98"/>
      <c r="AN478" s="98"/>
      <c r="AO478" s="98"/>
      <c r="AP478" s="98"/>
      <c r="AQ478" s="98"/>
      <c r="AR478" s="98"/>
      <c r="AS478" s="98"/>
    </row>
    <row r="479" spans="1:45" s="4" customFormat="1">
      <c r="A479" s="111" t="s">
        <v>919</v>
      </c>
      <c r="B479" s="94">
        <v>680487198935</v>
      </c>
      <c r="C479" s="98" t="s">
        <v>920</v>
      </c>
      <c r="D479">
        <v>0</v>
      </c>
      <c r="E479" s="96"/>
      <c r="F479" s="97"/>
      <c r="G479" s="98"/>
      <c r="H479" s="99" t="s">
        <v>574</v>
      </c>
      <c r="I479" s="98"/>
      <c r="J479" s="101"/>
      <c r="K479" s="102"/>
      <c r="L479" s="102"/>
      <c r="M479" s="102"/>
      <c r="N479" s="98"/>
      <c r="O479" s="98"/>
      <c r="P479" s="98"/>
      <c r="Q479" s="98"/>
      <c r="R479" s="98"/>
      <c r="S479" s="98"/>
      <c r="T479" s="98"/>
      <c r="U479" s="109"/>
      <c r="V479" s="103"/>
      <c r="W479" s="96"/>
      <c r="X479" s="109" t="s">
        <v>1440</v>
      </c>
      <c r="Y479" s="96"/>
      <c r="Z479" s="98"/>
      <c r="AA479" s="98"/>
      <c r="AB479" s="98"/>
      <c r="AC479" s="98"/>
      <c r="AD479" s="98"/>
      <c r="AE479" s="98"/>
      <c r="AF479" s="98"/>
      <c r="AG479" s="98"/>
      <c r="AH479" s="98"/>
      <c r="AI479" s="98"/>
      <c r="AJ479" s="98"/>
      <c r="AK479" s="98"/>
      <c r="AL479" s="98"/>
      <c r="AM479" s="98"/>
      <c r="AN479" s="98"/>
      <c r="AO479" s="98"/>
      <c r="AP479" s="98"/>
      <c r="AQ479" s="98"/>
      <c r="AR479" s="98"/>
      <c r="AS479" s="98"/>
    </row>
    <row r="480" spans="1:45" s="4" customFormat="1">
      <c r="A480" s="111" t="s">
        <v>919</v>
      </c>
      <c r="B480" s="94">
        <v>680487198942</v>
      </c>
      <c r="C480" s="98" t="s">
        <v>920</v>
      </c>
      <c r="D480">
        <v>0</v>
      </c>
      <c r="E480" s="96"/>
      <c r="F480" s="97"/>
      <c r="G480" s="98"/>
      <c r="H480" s="99" t="s">
        <v>573</v>
      </c>
      <c r="I480" s="98"/>
      <c r="J480" s="101"/>
      <c r="K480" s="102"/>
      <c r="L480" s="102"/>
      <c r="M480" s="102"/>
      <c r="N480" s="98"/>
      <c r="O480" s="98"/>
      <c r="P480" s="98"/>
      <c r="Q480" s="98"/>
      <c r="R480" s="98"/>
      <c r="S480" s="98"/>
      <c r="T480" s="98"/>
      <c r="U480" s="109"/>
      <c r="V480" s="103"/>
      <c r="W480" s="96"/>
      <c r="X480" s="109" t="s">
        <v>1440</v>
      </c>
      <c r="Y480" s="96"/>
      <c r="Z480" s="98"/>
      <c r="AA480" s="98"/>
      <c r="AB480" s="98"/>
      <c r="AC480" s="98"/>
      <c r="AD480" s="98"/>
      <c r="AE480" s="98"/>
      <c r="AF480" s="98"/>
      <c r="AG480" s="98"/>
      <c r="AH480" s="98"/>
      <c r="AI480" s="98"/>
      <c r="AJ480" s="98"/>
      <c r="AK480" s="98"/>
      <c r="AL480" s="98"/>
      <c r="AM480" s="98"/>
      <c r="AN480" s="98"/>
      <c r="AO480" s="98"/>
      <c r="AP480" s="98"/>
      <c r="AQ480" s="98"/>
      <c r="AR480" s="98"/>
      <c r="AS480" s="98"/>
    </row>
    <row r="481" spans="1:45" s="4" customFormat="1">
      <c r="A481" s="111" t="s">
        <v>919</v>
      </c>
      <c r="B481" s="94">
        <v>680487198959</v>
      </c>
      <c r="C481" s="98" t="s">
        <v>920</v>
      </c>
      <c r="D481">
        <v>0</v>
      </c>
      <c r="E481" s="96"/>
      <c r="F481" s="97"/>
      <c r="G481" s="98"/>
      <c r="H481" s="99" t="s">
        <v>575</v>
      </c>
      <c r="I481" s="98"/>
      <c r="J481" s="101"/>
      <c r="K481" s="102"/>
      <c r="L481" s="102"/>
      <c r="M481" s="102"/>
      <c r="N481" s="98"/>
      <c r="O481" s="98"/>
      <c r="P481" s="98"/>
      <c r="Q481" s="98"/>
      <c r="R481" s="98"/>
      <c r="S481" s="98"/>
      <c r="T481" s="98"/>
      <c r="U481" s="109"/>
      <c r="V481" s="103"/>
      <c r="W481" s="96"/>
      <c r="X481" s="109" t="s">
        <v>1440</v>
      </c>
      <c r="Y481" s="96"/>
      <c r="Z481" s="98"/>
      <c r="AA481" s="98"/>
      <c r="AB481" s="98"/>
      <c r="AC481" s="98"/>
      <c r="AD481" s="98"/>
      <c r="AE481" s="98"/>
      <c r="AF481" s="98"/>
      <c r="AG481" s="98"/>
      <c r="AH481" s="98"/>
      <c r="AI481" s="98"/>
      <c r="AJ481" s="98"/>
      <c r="AK481" s="98"/>
      <c r="AL481" s="98"/>
      <c r="AM481" s="98"/>
      <c r="AN481" s="98"/>
      <c r="AO481" s="98"/>
      <c r="AP481" s="98"/>
      <c r="AQ481" s="98"/>
      <c r="AR481" s="98"/>
      <c r="AS481" s="98"/>
    </row>
    <row r="482" spans="1:45" s="4" customFormat="1">
      <c r="A482" s="111" t="s">
        <v>919</v>
      </c>
      <c r="B482" s="94">
        <v>680487198966</v>
      </c>
      <c r="C482" s="98" t="s">
        <v>920</v>
      </c>
      <c r="D482">
        <v>0</v>
      </c>
      <c r="E482" s="96"/>
      <c r="F482" s="97"/>
      <c r="G482" s="98"/>
      <c r="H482" s="99" t="s">
        <v>576</v>
      </c>
      <c r="I482" s="98"/>
      <c r="J482" s="101"/>
      <c r="K482" s="102"/>
      <c r="L482" s="102"/>
      <c r="M482" s="102"/>
      <c r="N482" s="98"/>
      <c r="O482" s="98"/>
      <c r="P482" s="98"/>
      <c r="Q482" s="98"/>
      <c r="R482" s="98"/>
      <c r="S482" s="98"/>
      <c r="T482" s="98"/>
      <c r="U482" s="109"/>
      <c r="V482" s="103"/>
      <c r="W482" s="96"/>
      <c r="X482" s="109" t="s">
        <v>1440</v>
      </c>
      <c r="Y482" s="96"/>
      <c r="Z482" s="98"/>
      <c r="AA482" s="98"/>
      <c r="AB482" s="98"/>
      <c r="AC482" s="98"/>
      <c r="AD482" s="98"/>
      <c r="AE482" s="98"/>
      <c r="AF482" s="98"/>
      <c r="AG482" s="98"/>
      <c r="AH482" s="98"/>
      <c r="AI482" s="98"/>
      <c r="AJ482" s="98"/>
      <c r="AK482" s="98"/>
      <c r="AL482" s="98"/>
      <c r="AM482" s="98"/>
      <c r="AN482" s="98"/>
      <c r="AO482" s="98"/>
      <c r="AP482" s="98"/>
      <c r="AQ482" s="98"/>
      <c r="AR482" s="98"/>
      <c r="AS482" s="98"/>
    </row>
    <row r="483" spans="1:45" s="4" customFormat="1">
      <c r="A483" s="111" t="s">
        <v>919</v>
      </c>
      <c r="B483" s="94">
        <v>680487198973</v>
      </c>
      <c r="C483" s="98" t="s">
        <v>920</v>
      </c>
      <c r="D483">
        <v>0</v>
      </c>
      <c r="E483" s="96"/>
      <c r="F483" s="97"/>
      <c r="G483" s="98"/>
      <c r="H483" s="99" t="s">
        <v>577</v>
      </c>
      <c r="I483" s="98"/>
      <c r="J483" s="101"/>
      <c r="K483" s="102"/>
      <c r="L483" s="102"/>
      <c r="M483" s="102"/>
      <c r="N483" s="98"/>
      <c r="O483" s="98"/>
      <c r="P483" s="98"/>
      <c r="Q483" s="98"/>
      <c r="R483" s="98"/>
      <c r="S483" s="98"/>
      <c r="T483" s="98"/>
      <c r="U483" s="109"/>
      <c r="V483" s="103"/>
      <c r="W483" s="96"/>
      <c r="X483" s="109" t="s">
        <v>1440</v>
      </c>
      <c r="Y483" s="96"/>
      <c r="Z483" s="98"/>
      <c r="AA483" s="98"/>
      <c r="AB483" s="98"/>
      <c r="AC483" s="98"/>
      <c r="AD483" s="98"/>
      <c r="AE483" s="98"/>
      <c r="AF483" s="98"/>
      <c r="AG483" s="98"/>
      <c r="AH483" s="98"/>
      <c r="AI483" s="98"/>
      <c r="AJ483" s="98"/>
      <c r="AK483" s="98"/>
      <c r="AL483" s="98"/>
      <c r="AM483" s="98"/>
      <c r="AN483" s="98"/>
      <c r="AO483" s="98"/>
      <c r="AP483" s="98"/>
      <c r="AQ483" s="98"/>
      <c r="AR483" s="98"/>
      <c r="AS483" s="98"/>
    </row>
    <row r="484" spans="1:45" s="4" customFormat="1">
      <c r="A484" s="111" t="s">
        <v>919</v>
      </c>
      <c r="B484" s="94">
        <v>680487198980</v>
      </c>
      <c r="C484" s="98" t="s">
        <v>920</v>
      </c>
      <c r="D484">
        <v>0</v>
      </c>
      <c r="E484" s="96"/>
      <c r="F484" s="97"/>
      <c r="G484" s="98"/>
      <c r="H484" s="99" t="s">
        <v>578</v>
      </c>
      <c r="I484" s="98"/>
      <c r="J484" s="101"/>
      <c r="K484" s="102"/>
      <c r="L484" s="102"/>
      <c r="M484" s="102"/>
      <c r="N484" s="98"/>
      <c r="O484" s="98"/>
      <c r="P484" s="98"/>
      <c r="Q484" s="98"/>
      <c r="R484" s="98"/>
      <c r="S484" s="98"/>
      <c r="T484" s="98"/>
      <c r="U484" s="109"/>
      <c r="V484" s="103"/>
      <c r="W484" s="96"/>
      <c r="X484" s="109" t="s">
        <v>1440</v>
      </c>
      <c r="Y484" s="96"/>
      <c r="Z484" s="98"/>
      <c r="AA484" s="98"/>
      <c r="AB484" s="98"/>
      <c r="AC484" s="98"/>
      <c r="AD484" s="98"/>
      <c r="AE484" s="98"/>
      <c r="AF484" s="98"/>
      <c r="AG484" s="98"/>
      <c r="AH484" s="98"/>
      <c r="AI484" s="98"/>
      <c r="AJ484" s="98"/>
      <c r="AK484" s="98"/>
      <c r="AL484" s="98"/>
      <c r="AM484" s="98"/>
      <c r="AN484" s="98"/>
      <c r="AO484" s="98"/>
      <c r="AP484" s="98"/>
      <c r="AQ484" s="98"/>
      <c r="AR484" s="98"/>
      <c r="AS484" s="98"/>
    </row>
    <row r="485" spans="1:45" s="4" customFormat="1">
      <c r="A485" s="111" t="s">
        <v>919</v>
      </c>
      <c r="B485" s="94">
        <v>680487198997</v>
      </c>
      <c r="C485" s="98" t="s">
        <v>920</v>
      </c>
      <c r="D485">
        <v>0</v>
      </c>
      <c r="E485" s="96"/>
      <c r="F485" s="97"/>
      <c r="G485" s="98"/>
      <c r="H485" s="99" t="s">
        <v>667</v>
      </c>
      <c r="I485" s="98"/>
      <c r="J485" s="101"/>
      <c r="K485" s="102"/>
      <c r="L485" s="102"/>
      <c r="M485" s="102"/>
      <c r="N485" s="98"/>
      <c r="O485" s="98"/>
      <c r="P485" s="98"/>
      <c r="Q485" s="98"/>
      <c r="R485" s="98"/>
      <c r="S485" s="98"/>
      <c r="T485" s="98"/>
      <c r="U485" s="109"/>
      <c r="V485" s="103"/>
      <c r="W485" s="96"/>
      <c r="X485" s="109" t="s">
        <v>1440</v>
      </c>
      <c r="Y485" s="96"/>
      <c r="Z485" s="98"/>
      <c r="AA485" s="98"/>
      <c r="AB485" s="98"/>
      <c r="AC485" s="98"/>
      <c r="AD485" s="98"/>
      <c r="AE485" s="98"/>
      <c r="AF485" s="98"/>
      <c r="AG485" s="98"/>
      <c r="AH485" s="98"/>
      <c r="AI485" s="98"/>
      <c r="AJ485" s="98"/>
      <c r="AK485" s="98"/>
      <c r="AL485" s="98"/>
      <c r="AM485" s="98"/>
      <c r="AN485" s="98"/>
      <c r="AO485" s="98"/>
      <c r="AP485" s="98"/>
      <c r="AQ485" s="98"/>
      <c r="AR485" s="98"/>
      <c r="AS485" s="98"/>
    </row>
    <row r="486" spans="1:45" s="4" customFormat="1">
      <c r="A486" s="111" t="s">
        <v>919</v>
      </c>
      <c r="B486" s="112">
        <v>840118700283</v>
      </c>
      <c r="C486" s="98" t="s">
        <v>920</v>
      </c>
      <c r="D486">
        <v>0</v>
      </c>
      <c r="E486" s="96"/>
      <c r="F486" s="97"/>
      <c r="G486" s="98"/>
      <c r="H486" s="113" t="s">
        <v>1134</v>
      </c>
      <c r="I486" s="98"/>
      <c r="J486" s="101"/>
      <c r="K486" s="102"/>
      <c r="L486" s="102"/>
      <c r="M486" s="102"/>
      <c r="N486" s="98"/>
      <c r="O486" s="98"/>
      <c r="P486" s="98"/>
      <c r="Q486" s="98"/>
      <c r="R486" s="98"/>
      <c r="S486" s="98"/>
      <c r="T486" s="98"/>
      <c r="U486" s="109"/>
      <c r="V486" s="103"/>
      <c r="W486" s="96"/>
      <c r="X486" s="109" t="s">
        <v>1440</v>
      </c>
      <c r="Y486" s="96"/>
      <c r="Z486" s="98"/>
      <c r="AA486" s="98"/>
      <c r="AB486" s="98"/>
      <c r="AC486" s="98"/>
      <c r="AD486" s="98"/>
      <c r="AE486" s="98"/>
      <c r="AF486" s="98"/>
      <c r="AG486" s="98"/>
      <c r="AH486" s="98"/>
      <c r="AI486" s="98"/>
      <c r="AJ486" s="98"/>
      <c r="AK486" s="98"/>
      <c r="AL486" s="98"/>
      <c r="AM486" s="98"/>
      <c r="AN486" s="98"/>
      <c r="AO486" s="98"/>
      <c r="AP486" s="98"/>
      <c r="AQ486" s="98"/>
      <c r="AR486" s="98"/>
      <c r="AS486" s="98"/>
    </row>
    <row r="487" spans="1:45" s="4" customFormat="1">
      <c r="A487" s="111" t="s">
        <v>919</v>
      </c>
      <c r="B487" s="112">
        <v>840118700290</v>
      </c>
      <c r="C487" s="98" t="s">
        <v>920</v>
      </c>
      <c r="D487">
        <v>0</v>
      </c>
      <c r="E487" s="96"/>
      <c r="F487" s="97"/>
      <c r="G487" s="98"/>
      <c r="H487" s="113" t="s">
        <v>1137</v>
      </c>
      <c r="I487" s="98"/>
      <c r="J487" s="101"/>
      <c r="K487" s="102"/>
      <c r="L487" s="102"/>
      <c r="M487" s="102"/>
      <c r="N487" s="98"/>
      <c r="O487" s="98"/>
      <c r="P487" s="98"/>
      <c r="Q487" s="98"/>
      <c r="R487" s="98"/>
      <c r="S487" s="98"/>
      <c r="T487" s="98"/>
      <c r="U487" s="109"/>
      <c r="V487" s="103"/>
      <c r="W487" s="96"/>
      <c r="X487" s="109" t="s">
        <v>1440</v>
      </c>
      <c r="Y487" s="96"/>
      <c r="Z487" s="98"/>
      <c r="AA487" s="98"/>
      <c r="AB487" s="98"/>
      <c r="AC487" s="98"/>
      <c r="AD487" s="98"/>
      <c r="AE487" s="98"/>
      <c r="AF487" s="98"/>
      <c r="AG487" s="98"/>
      <c r="AH487" s="98"/>
      <c r="AI487" s="98"/>
      <c r="AJ487" s="98"/>
      <c r="AK487" s="98"/>
      <c r="AL487" s="98"/>
      <c r="AM487" s="98"/>
      <c r="AN487" s="98"/>
      <c r="AO487" s="98"/>
      <c r="AP487" s="98"/>
      <c r="AQ487" s="98"/>
      <c r="AR487" s="98"/>
      <c r="AS487" s="98"/>
    </row>
    <row r="488" spans="1:45" s="4" customFormat="1">
      <c r="A488" s="111" t="s">
        <v>919</v>
      </c>
      <c r="B488" s="112">
        <v>840118700306</v>
      </c>
      <c r="C488" s="98" t="s">
        <v>920</v>
      </c>
      <c r="D488">
        <v>0</v>
      </c>
      <c r="E488" s="96"/>
      <c r="F488" s="97"/>
      <c r="G488" s="98"/>
      <c r="H488" s="113" t="s">
        <v>1139</v>
      </c>
      <c r="I488" s="98"/>
      <c r="J488" s="101"/>
      <c r="K488" s="102"/>
      <c r="L488" s="102"/>
      <c r="M488" s="102"/>
      <c r="N488" s="98"/>
      <c r="O488" s="98"/>
      <c r="P488" s="98"/>
      <c r="Q488" s="98"/>
      <c r="R488" s="98"/>
      <c r="S488" s="98"/>
      <c r="T488" s="98"/>
      <c r="U488" s="109"/>
      <c r="V488" s="103"/>
      <c r="W488" s="96"/>
      <c r="X488" s="109" t="s">
        <v>1440</v>
      </c>
      <c r="Y488" s="96"/>
      <c r="Z488" s="98"/>
      <c r="AA488" s="98"/>
      <c r="AB488" s="98"/>
      <c r="AC488" s="98"/>
      <c r="AD488" s="98"/>
      <c r="AE488" s="98"/>
      <c r="AF488" s="98"/>
      <c r="AG488" s="98"/>
      <c r="AH488" s="98"/>
      <c r="AI488" s="98"/>
      <c r="AJ488" s="98"/>
      <c r="AK488" s="98"/>
      <c r="AL488" s="98"/>
      <c r="AM488" s="98"/>
      <c r="AN488" s="98"/>
      <c r="AO488" s="98"/>
      <c r="AP488" s="98"/>
      <c r="AQ488" s="98"/>
      <c r="AR488" s="98"/>
      <c r="AS488" s="98"/>
    </row>
    <row r="489" spans="1:45" s="4" customFormat="1">
      <c r="A489" s="111" t="s">
        <v>919</v>
      </c>
      <c r="B489" s="112">
        <v>840118700313</v>
      </c>
      <c r="C489" s="98" t="s">
        <v>920</v>
      </c>
      <c r="D489">
        <v>0</v>
      </c>
      <c r="E489" s="96"/>
      <c r="F489" s="97"/>
      <c r="G489" s="98"/>
      <c r="H489" s="113" t="s">
        <v>1141</v>
      </c>
      <c r="I489" s="98"/>
      <c r="J489" s="101"/>
      <c r="K489" s="102"/>
      <c r="L489" s="102"/>
      <c r="M489" s="102"/>
      <c r="N489" s="98"/>
      <c r="O489" s="98"/>
      <c r="P489" s="98"/>
      <c r="Q489" s="98"/>
      <c r="R489" s="98"/>
      <c r="S489" s="98"/>
      <c r="T489" s="98"/>
      <c r="U489" s="109"/>
      <c r="V489" s="103"/>
      <c r="W489" s="96"/>
      <c r="X489" s="109" t="s">
        <v>1440</v>
      </c>
      <c r="Y489" s="96"/>
      <c r="Z489" s="98"/>
      <c r="AA489" s="98"/>
      <c r="AB489" s="98"/>
      <c r="AC489" s="98"/>
      <c r="AD489" s="98"/>
      <c r="AE489" s="98"/>
      <c r="AF489" s="98"/>
      <c r="AG489" s="98"/>
      <c r="AH489" s="98"/>
      <c r="AI489" s="98"/>
      <c r="AJ489" s="98"/>
      <c r="AK489" s="98"/>
      <c r="AL489" s="98"/>
      <c r="AM489" s="98"/>
      <c r="AN489" s="98"/>
      <c r="AO489" s="98"/>
      <c r="AP489" s="98"/>
      <c r="AQ489" s="98"/>
      <c r="AR489" s="98"/>
      <c r="AS489" s="98"/>
    </row>
    <row r="490" spans="1:45" s="4" customFormat="1">
      <c r="A490" s="111" t="s">
        <v>919</v>
      </c>
      <c r="B490" s="112">
        <v>840118700320</v>
      </c>
      <c r="C490" s="98" t="s">
        <v>920</v>
      </c>
      <c r="D490">
        <v>0</v>
      </c>
      <c r="E490" s="96"/>
      <c r="F490" s="97"/>
      <c r="G490" s="98"/>
      <c r="H490" s="113" t="s">
        <v>1143</v>
      </c>
      <c r="I490" s="98"/>
      <c r="J490" s="101"/>
      <c r="K490" s="102"/>
      <c r="L490" s="102"/>
      <c r="M490" s="102"/>
      <c r="N490" s="98"/>
      <c r="O490" s="98"/>
      <c r="P490" s="98"/>
      <c r="Q490" s="98"/>
      <c r="R490" s="98"/>
      <c r="S490" s="98"/>
      <c r="T490" s="98"/>
      <c r="U490" s="109"/>
      <c r="V490" s="103"/>
      <c r="W490" s="96"/>
      <c r="X490" s="109" t="s">
        <v>1440</v>
      </c>
      <c r="Y490" s="96"/>
      <c r="Z490" s="98"/>
      <c r="AA490" s="98"/>
      <c r="AB490" s="98"/>
      <c r="AC490" s="98"/>
      <c r="AD490" s="98"/>
      <c r="AE490" s="98"/>
      <c r="AF490" s="98"/>
      <c r="AG490" s="98"/>
      <c r="AH490" s="98"/>
      <c r="AI490" s="98"/>
      <c r="AJ490" s="98"/>
      <c r="AK490" s="98"/>
      <c r="AL490" s="98"/>
      <c r="AM490" s="98"/>
      <c r="AN490" s="98"/>
      <c r="AO490" s="98"/>
      <c r="AP490" s="98"/>
      <c r="AQ490" s="98"/>
      <c r="AR490" s="98"/>
      <c r="AS490" s="98"/>
    </row>
    <row r="491" spans="1:45" s="4" customFormat="1">
      <c r="A491" s="111" t="s">
        <v>919</v>
      </c>
      <c r="B491" s="112">
        <v>840118700337</v>
      </c>
      <c r="C491" s="98" t="s">
        <v>920</v>
      </c>
      <c r="D491">
        <v>0</v>
      </c>
      <c r="E491" s="96"/>
      <c r="F491" s="97"/>
      <c r="G491" s="98"/>
      <c r="H491" s="113" t="s">
        <v>1145</v>
      </c>
      <c r="I491" s="98"/>
      <c r="J491" s="101"/>
      <c r="K491" s="102"/>
      <c r="L491" s="102"/>
      <c r="M491" s="102"/>
      <c r="N491" s="98"/>
      <c r="O491" s="98"/>
      <c r="P491" s="98"/>
      <c r="Q491" s="98"/>
      <c r="R491" s="98"/>
      <c r="S491" s="98"/>
      <c r="T491" s="98"/>
      <c r="U491" s="109"/>
      <c r="V491" s="103"/>
      <c r="W491" s="96"/>
      <c r="X491" s="109" t="s">
        <v>1440</v>
      </c>
      <c r="Y491" s="96"/>
      <c r="Z491" s="98"/>
      <c r="AA491" s="98"/>
      <c r="AB491" s="98"/>
      <c r="AC491" s="98"/>
      <c r="AD491" s="98"/>
      <c r="AE491" s="98"/>
      <c r="AF491" s="98"/>
      <c r="AG491" s="98"/>
      <c r="AH491" s="98"/>
      <c r="AI491" s="98"/>
      <c r="AJ491" s="98"/>
      <c r="AK491" s="98"/>
      <c r="AL491" s="98"/>
      <c r="AM491" s="98"/>
      <c r="AN491" s="98"/>
      <c r="AO491" s="98"/>
      <c r="AP491" s="98"/>
      <c r="AQ491" s="98"/>
      <c r="AR491" s="98"/>
      <c r="AS491" s="98"/>
    </row>
    <row r="492" spans="1:45" s="4" customFormat="1">
      <c r="A492" s="111" t="s">
        <v>919</v>
      </c>
      <c r="B492" s="112">
        <v>840118700344</v>
      </c>
      <c r="C492" s="98" t="s">
        <v>920</v>
      </c>
      <c r="D492">
        <v>0</v>
      </c>
      <c r="E492" s="96"/>
      <c r="F492" s="97"/>
      <c r="G492" s="98"/>
      <c r="H492" s="113" t="s">
        <v>1147</v>
      </c>
      <c r="I492" s="98"/>
      <c r="J492" s="101"/>
      <c r="K492" s="102"/>
      <c r="L492" s="102"/>
      <c r="M492" s="102"/>
      <c r="N492" s="98"/>
      <c r="O492" s="98"/>
      <c r="P492" s="98"/>
      <c r="Q492" s="98"/>
      <c r="R492" s="98"/>
      <c r="S492" s="98"/>
      <c r="T492" s="98"/>
      <c r="U492" s="109"/>
      <c r="V492" s="103"/>
      <c r="W492" s="96"/>
      <c r="X492" s="109" t="s">
        <v>1440</v>
      </c>
      <c r="Y492" s="96"/>
      <c r="Z492" s="98"/>
      <c r="AA492" s="98"/>
      <c r="AB492" s="98"/>
      <c r="AC492" s="98"/>
      <c r="AD492" s="98"/>
      <c r="AE492" s="98"/>
      <c r="AF492" s="98"/>
      <c r="AG492" s="98"/>
      <c r="AH492" s="98"/>
      <c r="AI492" s="98"/>
      <c r="AJ492" s="98"/>
      <c r="AK492" s="98"/>
      <c r="AL492" s="98"/>
      <c r="AM492" s="98"/>
      <c r="AN492" s="98"/>
      <c r="AO492" s="98"/>
      <c r="AP492" s="98"/>
      <c r="AQ492" s="98"/>
      <c r="AR492" s="98"/>
      <c r="AS492" s="98"/>
    </row>
    <row r="493" spans="1:45" s="4" customFormat="1">
      <c r="A493" s="111" t="s">
        <v>919</v>
      </c>
      <c r="B493" s="112">
        <v>840118700351</v>
      </c>
      <c r="C493" s="98" t="s">
        <v>920</v>
      </c>
      <c r="D493">
        <v>0</v>
      </c>
      <c r="E493" s="96"/>
      <c r="F493" s="97"/>
      <c r="G493" s="98"/>
      <c r="H493" s="113" t="s">
        <v>1149</v>
      </c>
      <c r="I493" s="98"/>
      <c r="J493" s="101"/>
      <c r="K493" s="102"/>
      <c r="L493" s="102"/>
      <c r="M493" s="102"/>
      <c r="N493" s="98"/>
      <c r="O493" s="98"/>
      <c r="P493" s="98"/>
      <c r="Q493" s="98"/>
      <c r="R493" s="98"/>
      <c r="S493" s="98"/>
      <c r="T493" s="98"/>
      <c r="U493" s="109"/>
      <c r="V493" s="103"/>
      <c r="W493" s="96"/>
      <c r="X493" s="109" t="s">
        <v>1440</v>
      </c>
      <c r="Y493" s="96"/>
      <c r="Z493" s="98"/>
      <c r="AA493" s="98"/>
      <c r="AB493" s="98"/>
      <c r="AC493" s="98"/>
      <c r="AD493" s="98"/>
      <c r="AE493" s="98"/>
      <c r="AF493" s="98"/>
      <c r="AG493" s="98"/>
      <c r="AH493" s="98"/>
      <c r="AI493" s="98"/>
      <c r="AJ493" s="98"/>
      <c r="AK493" s="98"/>
      <c r="AL493" s="98"/>
      <c r="AM493" s="98"/>
      <c r="AN493" s="98"/>
      <c r="AO493" s="98"/>
      <c r="AP493" s="98"/>
      <c r="AQ493" s="98"/>
      <c r="AR493" s="98"/>
      <c r="AS493" s="98"/>
    </row>
    <row r="494" spans="1:45" s="4" customFormat="1">
      <c r="A494" s="111" t="s">
        <v>919</v>
      </c>
      <c r="B494" s="112">
        <v>840118700368</v>
      </c>
      <c r="C494" s="98" t="s">
        <v>920</v>
      </c>
      <c r="D494">
        <v>0</v>
      </c>
      <c r="E494" s="96"/>
      <c r="F494" s="97"/>
      <c r="G494" s="98"/>
      <c r="H494" s="113" t="s">
        <v>1151</v>
      </c>
      <c r="I494" s="98"/>
      <c r="J494" s="101"/>
      <c r="K494" s="102"/>
      <c r="L494" s="102"/>
      <c r="M494" s="102"/>
      <c r="N494" s="98"/>
      <c r="O494" s="98"/>
      <c r="P494" s="98"/>
      <c r="Q494" s="98"/>
      <c r="R494" s="98"/>
      <c r="S494" s="98"/>
      <c r="T494" s="98"/>
      <c r="U494" s="109"/>
      <c r="V494" s="103"/>
      <c r="W494" s="96"/>
      <c r="X494" s="109" t="s">
        <v>1440</v>
      </c>
      <c r="Y494" s="96"/>
      <c r="Z494" s="98"/>
      <c r="AA494" s="98"/>
      <c r="AB494" s="98"/>
      <c r="AC494" s="98"/>
      <c r="AD494" s="98"/>
      <c r="AE494" s="98"/>
      <c r="AF494" s="98"/>
      <c r="AG494" s="98"/>
      <c r="AH494" s="98"/>
      <c r="AI494" s="98"/>
      <c r="AJ494" s="98"/>
      <c r="AK494" s="98"/>
      <c r="AL494" s="98"/>
      <c r="AM494" s="98"/>
      <c r="AN494" s="98"/>
      <c r="AO494" s="98"/>
      <c r="AP494" s="98"/>
      <c r="AQ494" s="98"/>
      <c r="AR494" s="98"/>
      <c r="AS494" s="98"/>
    </row>
    <row r="495" spans="1:45" s="4" customFormat="1">
      <c r="A495" s="111" t="s">
        <v>919</v>
      </c>
      <c r="B495" s="112">
        <v>840118700603</v>
      </c>
      <c r="C495" s="98" t="s">
        <v>920</v>
      </c>
      <c r="D495">
        <v>0</v>
      </c>
      <c r="E495" s="96"/>
      <c r="F495" s="97"/>
      <c r="G495" s="98"/>
      <c r="H495" s="113" t="s">
        <v>1265</v>
      </c>
      <c r="I495" s="98"/>
      <c r="J495" s="101"/>
      <c r="K495" s="102"/>
      <c r="L495" s="102"/>
      <c r="M495" s="102"/>
      <c r="N495" s="98"/>
      <c r="O495" s="98"/>
      <c r="P495" s="98"/>
      <c r="Q495" s="98"/>
      <c r="R495" s="98"/>
      <c r="S495" s="98"/>
      <c r="T495" s="98"/>
      <c r="U495" s="109"/>
      <c r="V495" s="103"/>
      <c r="W495" s="96"/>
      <c r="X495" s="109" t="s">
        <v>1440</v>
      </c>
      <c r="Y495" s="96"/>
      <c r="Z495" s="98"/>
      <c r="AA495" s="98"/>
      <c r="AB495" s="98"/>
      <c r="AC495" s="98"/>
      <c r="AD495" s="98"/>
      <c r="AE495" s="98"/>
      <c r="AF495" s="98"/>
      <c r="AG495" s="98"/>
      <c r="AH495" s="98"/>
      <c r="AI495" s="98"/>
      <c r="AJ495" s="98"/>
      <c r="AK495" s="98"/>
      <c r="AL495" s="98"/>
      <c r="AM495" s="98"/>
      <c r="AN495" s="98"/>
      <c r="AO495" s="98"/>
      <c r="AP495" s="98"/>
      <c r="AQ495" s="98"/>
      <c r="AR495" s="98"/>
      <c r="AS495" s="98"/>
    </row>
    <row r="496" spans="1:45" s="4" customFormat="1">
      <c r="A496" s="111" t="s">
        <v>919</v>
      </c>
      <c r="B496" s="112">
        <v>840118700689</v>
      </c>
      <c r="C496" s="98" t="s">
        <v>920</v>
      </c>
      <c r="D496">
        <v>0</v>
      </c>
      <c r="E496" s="96"/>
      <c r="F496" s="97"/>
      <c r="G496" s="98"/>
      <c r="H496" s="113" t="s">
        <v>1273</v>
      </c>
      <c r="I496" s="98"/>
      <c r="J496" s="101"/>
      <c r="K496" s="102"/>
      <c r="L496" s="102"/>
      <c r="M496" s="102"/>
      <c r="N496" s="98"/>
      <c r="O496" s="98"/>
      <c r="P496" s="98"/>
      <c r="Q496" s="98"/>
      <c r="R496" s="98"/>
      <c r="S496" s="98"/>
      <c r="T496" s="98"/>
      <c r="U496" s="109"/>
      <c r="V496" s="103"/>
      <c r="W496" s="96"/>
      <c r="X496" s="109" t="s">
        <v>1440</v>
      </c>
      <c r="Y496" s="96"/>
      <c r="Z496" s="98"/>
      <c r="AA496" s="98"/>
      <c r="AB496" s="98"/>
      <c r="AC496" s="98"/>
      <c r="AD496" s="98"/>
      <c r="AE496" s="98"/>
      <c r="AF496" s="98"/>
      <c r="AG496" s="98"/>
      <c r="AH496" s="98"/>
      <c r="AI496" s="98"/>
      <c r="AJ496" s="98"/>
      <c r="AK496" s="98"/>
      <c r="AL496" s="98"/>
      <c r="AM496" s="98"/>
      <c r="AN496" s="98"/>
      <c r="AO496" s="98"/>
      <c r="AP496" s="98"/>
      <c r="AQ496" s="98"/>
      <c r="AR496" s="98"/>
      <c r="AS496" s="98"/>
    </row>
    <row r="497" spans="1:45" s="4" customFormat="1">
      <c r="A497" s="111" t="s">
        <v>919</v>
      </c>
      <c r="B497" s="112">
        <v>840118700375</v>
      </c>
      <c r="C497" s="98" t="s">
        <v>920</v>
      </c>
      <c r="D497">
        <v>0</v>
      </c>
      <c r="E497" s="96"/>
      <c r="F497" s="97"/>
      <c r="G497" s="98"/>
      <c r="H497" s="113" t="s">
        <v>1153</v>
      </c>
      <c r="I497" s="98"/>
      <c r="J497" s="101"/>
      <c r="K497" s="102"/>
      <c r="L497" s="102"/>
      <c r="M497" s="102"/>
      <c r="N497" s="98"/>
      <c r="O497" s="98"/>
      <c r="P497" s="98"/>
      <c r="Q497" s="98"/>
      <c r="R497" s="98"/>
      <c r="S497" s="98"/>
      <c r="T497" s="98"/>
      <c r="U497" s="109"/>
      <c r="V497" s="103"/>
      <c r="W497" s="96"/>
      <c r="X497" s="109" t="s">
        <v>1440</v>
      </c>
      <c r="Y497" s="96"/>
      <c r="Z497" s="98"/>
      <c r="AA497" s="98"/>
      <c r="AB497" s="98"/>
      <c r="AC497" s="98"/>
      <c r="AD497" s="98"/>
      <c r="AE497" s="98"/>
      <c r="AF497" s="98"/>
      <c r="AG497" s="98"/>
      <c r="AH497" s="98"/>
      <c r="AI497" s="98"/>
      <c r="AJ497" s="98"/>
      <c r="AK497" s="98"/>
      <c r="AL497" s="98"/>
      <c r="AM497" s="98"/>
      <c r="AN497" s="98"/>
      <c r="AO497" s="98"/>
      <c r="AP497" s="98"/>
      <c r="AQ497" s="98"/>
      <c r="AR497" s="98"/>
      <c r="AS497" s="98"/>
    </row>
    <row r="498" spans="1:45" s="4" customFormat="1">
      <c r="A498" s="111" t="s">
        <v>919</v>
      </c>
      <c r="B498" s="112">
        <v>840118700382</v>
      </c>
      <c r="C498" s="98" t="s">
        <v>920</v>
      </c>
      <c r="D498">
        <v>0</v>
      </c>
      <c r="E498" s="96"/>
      <c r="F498" s="97"/>
      <c r="G498" s="98"/>
      <c r="H498" s="113" t="s">
        <v>1155</v>
      </c>
      <c r="I498" s="98"/>
      <c r="J498" s="101"/>
      <c r="K498" s="102"/>
      <c r="L498" s="102"/>
      <c r="M498" s="102"/>
      <c r="N498" s="98"/>
      <c r="O498" s="98"/>
      <c r="P498" s="98"/>
      <c r="Q498" s="98"/>
      <c r="R498" s="98"/>
      <c r="S498" s="98"/>
      <c r="T498" s="98"/>
      <c r="U498" s="109"/>
      <c r="V498" s="103"/>
      <c r="W498" s="96"/>
      <c r="X498" s="109" t="s">
        <v>1440</v>
      </c>
      <c r="Y498" s="96"/>
      <c r="Z498" s="98"/>
      <c r="AA498" s="98"/>
      <c r="AB498" s="98"/>
      <c r="AC498" s="98"/>
      <c r="AD498" s="98"/>
      <c r="AE498" s="98"/>
      <c r="AF498" s="98"/>
      <c r="AG498" s="98"/>
      <c r="AH498" s="98"/>
      <c r="AI498" s="98"/>
      <c r="AJ498" s="98"/>
      <c r="AK498" s="98"/>
      <c r="AL498" s="98"/>
      <c r="AM498" s="98"/>
      <c r="AN498" s="98"/>
      <c r="AO498" s="98"/>
      <c r="AP498" s="98"/>
      <c r="AQ498" s="98"/>
      <c r="AR498" s="98"/>
      <c r="AS498" s="98"/>
    </row>
    <row r="499" spans="1:45" s="4" customFormat="1">
      <c r="A499" s="111" t="s">
        <v>919</v>
      </c>
      <c r="B499" s="112">
        <v>840118700399</v>
      </c>
      <c r="C499" s="98" t="s">
        <v>920</v>
      </c>
      <c r="D499">
        <v>0</v>
      </c>
      <c r="E499" s="96"/>
      <c r="F499" s="97"/>
      <c r="G499" s="98"/>
      <c r="H499" s="113" t="s">
        <v>1157</v>
      </c>
      <c r="I499" s="98"/>
      <c r="J499" s="101"/>
      <c r="K499" s="102"/>
      <c r="L499" s="102"/>
      <c r="M499" s="102"/>
      <c r="N499" s="98"/>
      <c r="O499" s="98"/>
      <c r="P499" s="98"/>
      <c r="Q499" s="98"/>
      <c r="R499" s="98"/>
      <c r="S499" s="98"/>
      <c r="T499" s="98"/>
      <c r="U499" s="109"/>
      <c r="V499" s="103"/>
      <c r="W499" s="96"/>
      <c r="X499" s="109" t="s">
        <v>1440</v>
      </c>
      <c r="Y499" s="96"/>
      <c r="Z499" s="98"/>
      <c r="AA499" s="98"/>
      <c r="AB499" s="98"/>
      <c r="AC499" s="98"/>
      <c r="AD499" s="98"/>
      <c r="AE499" s="98"/>
      <c r="AF499" s="98"/>
      <c r="AG499" s="98"/>
      <c r="AH499" s="98"/>
      <c r="AI499" s="98"/>
      <c r="AJ499" s="98"/>
      <c r="AK499" s="98"/>
      <c r="AL499" s="98"/>
      <c r="AM499" s="98"/>
      <c r="AN499" s="98"/>
      <c r="AO499" s="98"/>
      <c r="AP499" s="98"/>
      <c r="AQ499" s="98"/>
      <c r="AR499" s="98"/>
      <c r="AS499" s="98"/>
    </row>
    <row r="500" spans="1:45" s="4" customFormat="1">
      <c r="A500" s="111" t="s">
        <v>919</v>
      </c>
      <c r="B500" s="112">
        <v>840118700405</v>
      </c>
      <c r="C500" s="98" t="s">
        <v>920</v>
      </c>
      <c r="D500">
        <v>0</v>
      </c>
      <c r="E500" s="96"/>
      <c r="F500" s="97"/>
      <c r="G500" s="98"/>
      <c r="H500" s="113" t="s">
        <v>1159</v>
      </c>
      <c r="I500" s="98"/>
      <c r="J500" s="101"/>
      <c r="K500" s="102"/>
      <c r="L500" s="102"/>
      <c r="M500" s="102"/>
      <c r="N500" s="98"/>
      <c r="O500" s="98"/>
      <c r="P500" s="98"/>
      <c r="Q500" s="98"/>
      <c r="R500" s="98"/>
      <c r="S500" s="98"/>
      <c r="T500" s="98"/>
      <c r="U500" s="109"/>
      <c r="V500" s="103"/>
      <c r="W500" s="96"/>
      <c r="X500" s="109" t="s">
        <v>1440</v>
      </c>
      <c r="Y500" s="96"/>
      <c r="Z500" s="98"/>
      <c r="AA500" s="98"/>
      <c r="AB500" s="98"/>
      <c r="AC500" s="98"/>
      <c r="AD500" s="98"/>
      <c r="AE500" s="98"/>
      <c r="AF500" s="98"/>
      <c r="AG500" s="98"/>
      <c r="AH500" s="98"/>
      <c r="AI500" s="98"/>
      <c r="AJ500" s="98"/>
      <c r="AK500" s="98"/>
      <c r="AL500" s="98"/>
      <c r="AM500" s="98"/>
      <c r="AN500" s="98"/>
      <c r="AO500" s="98"/>
      <c r="AP500" s="98"/>
      <c r="AQ500" s="98"/>
      <c r="AR500" s="98"/>
      <c r="AS500" s="98"/>
    </row>
    <row r="501" spans="1:45" s="4" customFormat="1">
      <c r="A501" s="111" t="s">
        <v>919</v>
      </c>
      <c r="B501" s="112">
        <v>840118700412</v>
      </c>
      <c r="C501" s="98" t="s">
        <v>920</v>
      </c>
      <c r="D501">
        <v>0</v>
      </c>
      <c r="E501" s="96"/>
      <c r="F501" s="97"/>
      <c r="G501" s="98"/>
      <c r="H501" s="113" t="s">
        <v>1161</v>
      </c>
      <c r="I501" s="98"/>
      <c r="J501" s="101"/>
      <c r="K501" s="102"/>
      <c r="L501" s="102"/>
      <c r="M501" s="102"/>
      <c r="N501" s="98"/>
      <c r="O501" s="98"/>
      <c r="P501" s="98"/>
      <c r="Q501" s="98"/>
      <c r="R501" s="98"/>
      <c r="S501" s="98"/>
      <c r="T501" s="98"/>
      <c r="U501" s="109"/>
      <c r="V501" s="103"/>
      <c r="W501" s="96"/>
      <c r="X501" s="109" t="s">
        <v>1440</v>
      </c>
      <c r="Y501" s="96"/>
      <c r="Z501" s="98"/>
      <c r="AA501" s="98"/>
      <c r="AB501" s="98"/>
      <c r="AC501" s="98"/>
      <c r="AD501" s="98"/>
      <c r="AE501" s="98"/>
      <c r="AF501" s="98"/>
      <c r="AG501" s="98"/>
      <c r="AH501" s="98"/>
      <c r="AI501" s="98"/>
      <c r="AJ501" s="98"/>
      <c r="AK501" s="98"/>
      <c r="AL501" s="98"/>
      <c r="AM501" s="98"/>
      <c r="AN501" s="98"/>
      <c r="AO501" s="98"/>
      <c r="AP501" s="98"/>
      <c r="AQ501" s="98"/>
      <c r="AR501" s="98"/>
      <c r="AS501" s="98"/>
    </row>
    <row r="502" spans="1:45" s="4" customFormat="1">
      <c r="A502" s="111" t="s">
        <v>919</v>
      </c>
      <c r="B502" s="112">
        <v>840118700429</v>
      </c>
      <c r="C502" s="98" t="s">
        <v>920</v>
      </c>
      <c r="D502">
        <v>0</v>
      </c>
      <c r="E502" s="96"/>
      <c r="F502" s="97"/>
      <c r="G502" s="98"/>
      <c r="H502" s="113" t="s">
        <v>1163</v>
      </c>
      <c r="I502" s="98"/>
      <c r="J502" s="101"/>
      <c r="K502" s="102"/>
      <c r="L502" s="102"/>
      <c r="M502" s="102"/>
      <c r="N502" s="98"/>
      <c r="O502" s="98"/>
      <c r="P502" s="98"/>
      <c r="Q502" s="98"/>
      <c r="R502" s="98"/>
      <c r="S502" s="98"/>
      <c r="T502" s="98"/>
      <c r="U502" s="109"/>
      <c r="V502" s="103"/>
      <c r="W502" s="96"/>
      <c r="X502" s="109" t="s">
        <v>1440</v>
      </c>
      <c r="Y502" s="96"/>
      <c r="Z502" s="98"/>
      <c r="AA502" s="98"/>
      <c r="AB502" s="98"/>
      <c r="AC502" s="98"/>
      <c r="AD502" s="98"/>
      <c r="AE502" s="98"/>
      <c r="AF502" s="98"/>
      <c r="AG502" s="98"/>
      <c r="AH502" s="98"/>
      <c r="AI502" s="98"/>
      <c r="AJ502" s="98"/>
      <c r="AK502" s="98"/>
      <c r="AL502" s="98"/>
      <c r="AM502" s="98"/>
      <c r="AN502" s="98"/>
      <c r="AO502" s="98"/>
      <c r="AP502" s="98"/>
      <c r="AQ502" s="98"/>
      <c r="AR502" s="98"/>
      <c r="AS502" s="98"/>
    </row>
    <row r="503" spans="1:45" s="4" customFormat="1">
      <c r="A503" s="111" t="s">
        <v>919</v>
      </c>
      <c r="B503" s="112">
        <v>840118700436</v>
      </c>
      <c r="C503" s="98" t="s">
        <v>920</v>
      </c>
      <c r="D503">
        <v>0</v>
      </c>
      <c r="E503" s="96"/>
      <c r="F503" s="97"/>
      <c r="G503" s="98"/>
      <c r="H503" s="113" t="s">
        <v>1165</v>
      </c>
      <c r="I503" s="98"/>
      <c r="J503" s="101"/>
      <c r="K503" s="102"/>
      <c r="L503" s="102"/>
      <c r="M503" s="102"/>
      <c r="N503" s="98"/>
      <c r="O503" s="98"/>
      <c r="P503" s="98"/>
      <c r="Q503" s="98"/>
      <c r="R503" s="98"/>
      <c r="S503" s="98"/>
      <c r="T503" s="98"/>
      <c r="U503" s="109"/>
      <c r="V503" s="103"/>
      <c r="W503" s="96"/>
      <c r="X503" s="109" t="s">
        <v>1440</v>
      </c>
      <c r="Y503" s="96"/>
      <c r="Z503" s="98"/>
      <c r="AA503" s="98"/>
      <c r="AB503" s="98"/>
      <c r="AC503" s="98"/>
      <c r="AD503" s="98"/>
      <c r="AE503" s="98"/>
      <c r="AF503" s="98"/>
      <c r="AG503" s="98"/>
      <c r="AH503" s="98"/>
      <c r="AI503" s="98"/>
      <c r="AJ503" s="98"/>
      <c r="AK503" s="98"/>
      <c r="AL503" s="98"/>
      <c r="AM503" s="98"/>
      <c r="AN503" s="98"/>
      <c r="AO503" s="98"/>
      <c r="AP503" s="98"/>
      <c r="AQ503" s="98"/>
      <c r="AR503" s="98"/>
      <c r="AS503" s="98"/>
    </row>
    <row r="504" spans="1:45" s="4" customFormat="1">
      <c r="A504" s="111" t="s">
        <v>919</v>
      </c>
      <c r="B504" s="112">
        <v>840118700610</v>
      </c>
      <c r="C504" s="98" t="s">
        <v>920</v>
      </c>
      <c r="D504">
        <v>0</v>
      </c>
      <c r="E504" s="96"/>
      <c r="F504" s="97"/>
      <c r="G504" s="98"/>
      <c r="H504" s="113" t="s">
        <v>1266</v>
      </c>
      <c r="I504" s="98"/>
      <c r="J504" s="101"/>
      <c r="K504" s="102"/>
      <c r="L504" s="102"/>
      <c r="M504" s="102"/>
      <c r="N504" s="98"/>
      <c r="O504" s="98"/>
      <c r="P504" s="98"/>
      <c r="Q504" s="98"/>
      <c r="R504" s="98"/>
      <c r="S504" s="98"/>
      <c r="T504" s="98"/>
      <c r="U504" s="109"/>
      <c r="V504" s="103"/>
      <c r="W504" s="96"/>
      <c r="X504" s="109" t="s">
        <v>1440</v>
      </c>
      <c r="Y504" s="96"/>
      <c r="Z504" s="98"/>
      <c r="AA504" s="98"/>
      <c r="AB504" s="98"/>
      <c r="AC504" s="98"/>
      <c r="AD504" s="98"/>
      <c r="AE504" s="98"/>
      <c r="AF504" s="98"/>
      <c r="AG504" s="98"/>
      <c r="AH504" s="98"/>
      <c r="AI504" s="98"/>
      <c r="AJ504" s="98"/>
      <c r="AK504" s="98"/>
      <c r="AL504" s="98"/>
      <c r="AM504" s="98"/>
      <c r="AN504" s="98"/>
      <c r="AO504" s="98"/>
      <c r="AP504" s="98"/>
      <c r="AQ504" s="98"/>
      <c r="AR504" s="98"/>
      <c r="AS504" s="98"/>
    </row>
    <row r="505" spans="1:45" s="4" customFormat="1">
      <c r="A505" s="111" t="s">
        <v>919</v>
      </c>
      <c r="B505" s="112">
        <v>840118700443</v>
      </c>
      <c r="C505" s="98" t="s">
        <v>920</v>
      </c>
      <c r="D505">
        <v>0</v>
      </c>
      <c r="E505" s="96"/>
      <c r="F505" s="97"/>
      <c r="G505" s="98"/>
      <c r="H505" s="113" t="s">
        <v>1167</v>
      </c>
      <c r="I505" s="98"/>
      <c r="J505" s="101"/>
      <c r="K505" s="102"/>
      <c r="L505" s="102"/>
      <c r="M505" s="102"/>
      <c r="N505" s="98"/>
      <c r="O505" s="98"/>
      <c r="P505" s="98"/>
      <c r="Q505" s="98"/>
      <c r="R505" s="98"/>
      <c r="S505" s="98"/>
      <c r="T505" s="98"/>
      <c r="U505" s="109"/>
      <c r="V505" s="103"/>
      <c r="W505" s="96"/>
      <c r="X505" s="109" t="s">
        <v>1440</v>
      </c>
      <c r="Y505" s="96"/>
      <c r="Z505" s="98"/>
      <c r="AA505" s="98"/>
      <c r="AB505" s="98"/>
      <c r="AC505" s="98"/>
      <c r="AD505" s="98"/>
      <c r="AE505" s="98"/>
      <c r="AF505" s="98"/>
      <c r="AG505" s="98"/>
      <c r="AH505" s="98"/>
      <c r="AI505" s="98"/>
      <c r="AJ505" s="98"/>
      <c r="AK505" s="98"/>
      <c r="AL505" s="98"/>
      <c r="AM505" s="98"/>
      <c r="AN505" s="98"/>
      <c r="AO505" s="98"/>
      <c r="AP505" s="98"/>
      <c r="AQ505" s="98"/>
      <c r="AR505" s="98"/>
      <c r="AS505" s="98"/>
    </row>
    <row r="506" spans="1:45" s="4" customFormat="1">
      <c r="A506" s="111" t="s">
        <v>919</v>
      </c>
      <c r="B506" s="112">
        <v>840118700450</v>
      </c>
      <c r="C506" s="98" t="s">
        <v>920</v>
      </c>
      <c r="D506">
        <v>0</v>
      </c>
      <c r="E506" s="96"/>
      <c r="F506" s="97"/>
      <c r="G506" s="98"/>
      <c r="H506" s="113" t="s">
        <v>1169</v>
      </c>
      <c r="I506" s="98"/>
      <c r="J506" s="101"/>
      <c r="K506" s="102"/>
      <c r="L506" s="102"/>
      <c r="M506" s="102"/>
      <c r="N506" s="98"/>
      <c r="O506" s="98"/>
      <c r="P506" s="98"/>
      <c r="Q506" s="98"/>
      <c r="R506" s="98"/>
      <c r="S506" s="98"/>
      <c r="T506" s="98"/>
      <c r="U506" s="109"/>
      <c r="V506" s="103"/>
      <c r="W506" s="96"/>
      <c r="X506" s="109" t="s">
        <v>1440</v>
      </c>
      <c r="Y506" s="96"/>
      <c r="Z506" s="98"/>
      <c r="AA506" s="98"/>
      <c r="AB506" s="98"/>
      <c r="AC506" s="98"/>
      <c r="AD506" s="98"/>
      <c r="AE506" s="98"/>
      <c r="AF506" s="98"/>
      <c r="AG506" s="98"/>
      <c r="AH506" s="98"/>
      <c r="AI506" s="98"/>
      <c r="AJ506" s="98"/>
      <c r="AK506" s="98"/>
      <c r="AL506" s="98"/>
      <c r="AM506" s="98"/>
      <c r="AN506" s="98"/>
      <c r="AO506" s="98"/>
      <c r="AP506" s="98"/>
      <c r="AQ506" s="98"/>
      <c r="AR506" s="98"/>
      <c r="AS506" s="98"/>
    </row>
    <row r="507" spans="1:45" s="4" customFormat="1">
      <c r="A507" s="111" t="s">
        <v>919</v>
      </c>
      <c r="B507" s="112">
        <v>840118700467</v>
      </c>
      <c r="C507" s="98" t="s">
        <v>920</v>
      </c>
      <c r="D507">
        <v>0</v>
      </c>
      <c r="E507" s="96"/>
      <c r="F507" s="97"/>
      <c r="G507" s="98"/>
      <c r="H507" s="113" t="s">
        <v>1171</v>
      </c>
      <c r="I507" s="98"/>
      <c r="J507" s="101"/>
      <c r="K507" s="102"/>
      <c r="L507" s="102"/>
      <c r="M507" s="102"/>
      <c r="N507" s="98"/>
      <c r="O507" s="98"/>
      <c r="P507" s="98"/>
      <c r="Q507" s="98"/>
      <c r="R507" s="98"/>
      <c r="S507" s="98"/>
      <c r="T507" s="98"/>
      <c r="U507" s="109"/>
      <c r="V507" s="103"/>
      <c r="W507" s="96"/>
      <c r="X507" s="109" t="s">
        <v>1440</v>
      </c>
      <c r="Y507" s="96"/>
      <c r="Z507" s="98"/>
      <c r="AA507" s="98"/>
      <c r="AB507" s="98"/>
      <c r="AC507" s="98"/>
      <c r="AD507" s="98"/>
      <c r="AE507" s="98"/>
      <c r="AF507" s="98"/>
      <c r="AG507" s="98"/>
      <c r="AH507" s="98"/>
      <c r="AI507" s="98"/>
      <c r="AJ507" s="98"/>
      <c r="AK507" s="98"/>
      <c r="AL507" s="98"/>
      <c r="AM507" s="98"/>
      <c r="AN507" s="98"/>
      <c r="AO507" s="98"/>
      <c r="AP507" s="98"/>
      <c r="AQ507" s="98"/>
      <c r="AR507" s="98"/>
      <c r="AS507" s="98"/>
    </row>
    <row r="508" spans="1:45" s="4" customFormat="1">
      <c r="A508" s="111" t="s">
        <v>919</v>
      </c>
      <c r="B508" s="112">
        <v>840118700474</v>
      </c>
      <c r="C508" s="98" t="s">
        <v>920</v>
      </c>
      <c r="D508">
        <v>0</v>
      </c>
      <c r="E508" s="96"/>
      <c r="F508" s="97"/>
      <c r="G508" s="98"/>
      <c r="H508" s="113" t="s">
        <v>1173</v>
      </c>
      <c r="I508" s="98"/>
      <c r="J508" s="101"/>
      <c r="K508" s="102"/>
      <c r="L508" s="102"/>
      <c r="M508" s="102"/>
      <c r="N508" s="98"/>
      <c r="O508" s="98"/>
      <c r="P508" s="98"/>
      <c r="Q508" s="98"/>
      <c r="R508" s="98"/>
      <c r="S508" s="98"/>
      <c r="T508" s="98"/>
      <c r="U508" s="109"/>
      <c r="V508" s="103"/>
      <c r="W508" s="96"/>
      <c r="X508" s="109" t="s">
        <v>1440</v>
      </c>
      <c r="Y508" s="96"/>
      <c r="Z508" s="98"/>
      <c r="AA508" s="98"/>
      <c r="AB508" s="98"/>
      <c r="AC508" s="98"/>
      <c r="AD508" s="98"/>
      <c r="AE508" s="98"/>
      <c r="AF508" s="98"/>
      <c r="AG508" s="98"/>
      <c r="AH508" s="98"/>
      <c r="AI508" s="98"/>
      <c r="AJ508" s="98"/>
      <c r="AK508" s="98"/>
      <c r="AL508" s="98"/>
      <c r="AM508" s="98"/>
      <c r="AN508" s="98"/>
      <c r="AO508" s="98"/>
      <c r="AP508" s="98"/>
      <c r="AQ508" s="98"/>
      <c r="AR508" s="98"/>
      <c r="AS508" s="98"/>
    </row>
    <row r="509" spans="1:45" s="4" customFormat="1">
      <c r="A509" s="111" t="s">
        <v>919</v>
      </c>
      <c r="B509" s="112">
        <v>840118700481</v>
      </c>
      <c r="C509" s="98" t="s">
        <v>920</v>
      </c>
      <c r="D509">
        <v>0</v>
      </c>
      <c r="E509" s="96"/>
      <c r="F509" s="97"/>
      <c r="G509" s="98"/>
      <c r="H509" s="113" t="s">
        <v>1175</v>
      </c>
      <c r="I509" s="98"/>
      <c r="J509" s="101"/>
      <c r="K509" s="102"/>
      <c r="L509" s="102"/>
      <c r="M509" s="102"/>
      <c r="N509" s="98"/>
      <c r="O509" s="98"/>
      <c r="P509" s="98"/>
      <c r="Q509" s="98"/>
      <c r="R509" s="98"/>
      <c r="S509" s="98"/>
      <c r="T509" s="98"/>
      <c r="U509" s="109"/>
      <c r="V509" s="103"/>
      <c r="W509" s="96"/>
      <c r="X509" s="109" t="s">
        <v>1440</v>
      </c>
      <c r="Y509" s="96"/>
      <c r="Z509" s="98"/>
      <c r="AA509" s="98"/>
      <c r="AB509" s="98"/>
      <c r="AC509" s="98"/>
      <c r="AD509" s="98"/>
      <c r="AE509" s="98"/>
      <c r="AF509" s="98"/>
      <c r="AG509" s="98"/>
      <c r="AH509" s="98"/>
      <c r="AI509" s="98"/>
      <c r="AJ509" s="98"/>
      <c r="AK509" s="98"/>
      <c r="AL509" s="98"/>
      <c r="AM509" s="98"/>
      <c r="AN509" s="98"/>
      <c r="AO509" s="98"/>
      <c r="AP509" s="98"/>
      <c r="AQ509" s="98"/>
      <c r="AR509" s="98"/>
      <c r="AS509" s="98"/>
    </row>
    <row r="510" spans="1:45" s="4" customFormat="1">
      <c r="A510" s="111" t="s">
        <v>919</v>
      </c>
      <c r="B510" s="112">
        <v>840118700627</v>
      </c>
      <c r="C510" s="98" t="s">
        <v>920</v>
      </c>
      <c r="D510">
        <v>0</v>
      </c>
      <c r="E510" s="96"/>
      <c r="F510" s="97"/>
      <c r="G510" s="98"/>
      <c r="H510" s="113" t="s">
        <v>1267</v>
      </c>
      <c r="I510" s="98"/>
      <c r="J510" s="101"/>
      <c r="K510" s="102"/>
      <c r="L510" s="102"/>
      <c r="M510" s="102"/>
      <c r="N510" s="98"/>
      <c r="O510" s="98"/>
      <c r="P510" s="98"/>
      <c r="Q510" s="98"/>
      <c r="R510" s="98"/>
      <c r="S510" s="98"/>
      <c r="T510" s="98"/>
      <c r="U510" s="109"/>
      <c r="V510" s="103"/>
      <c r="W510" s="96"/>
      <c r="X510" s="109" t="s">
        <v>1440</v>
      </c>
      <c r="Y510" s="96"/>
      <c r="Z510" s="98"/>
      <c r="AA510" s="98"/>
      <c r="AB510" s="98"/>
      <c r="AC510" s="98"/>
      <c r="AD510" s="98"/>
      <c r="AE510" s="98"/>
      <c r="AF510" s="98"/>
      <c r="AG510" s="98"/>
      <c r="AH510" s="98"/>
      <c r="AI510" s="98"/>
      <c r="AJ510" s="98"/>
      <c r="AK510" s="98"/>
      <c r="AL510" s="98"/>
      <c r="AM510" s="98"/>
      <c r="AN510" s="98"/>
      <c r="AO510" s="98"/>
      <c r="AP510" s="98"/>
      <c r="AQ510" s="98"/>
      <c r="AR510" s="98"/>
      <c r="AS510" s="98"/>
    </row>
    <row r="511" spans="1:45" s="4" customFormat="1">
      <c r="A511" s="111" t="s">
        <v>919</v>
      </c>
      <c r="B511" s="112">
        <v>840118700498</v>
      </c>
      <c r="C511" s="98" t="s">
        <v>920</v>
      </c>
      <c r="D511">
        <v>0</v>
      </c>
      <c r="E511" s="96"/>
      <c r="F511" s="97"/>
      <c r="G511" s="98"/>
      <c r="H511" s="113" t="s">
        <v>1177</v>
      </c>
      <c r="I511" s="98"/>
      <c r="J511" s="101"/>
      <c r="K511" s="102"/>
      <c r="L511" s="102"/>
      <c r="M511" s="102"/>
      <c r="N511" s="98"/>
      <c r="O511" s="98"/>
      <c r="P511" s="98"/>
      <c r="Q511" s="98"/>
      <c r="R511" s="98"/>
      <c r="S511" s="98"/>
      <c r="T511" s="98"/>
      <c r="U511" s="109"/>
      <c r="V511" s="103"/>
      <c r="W511" s="96"/>
      <c r="X511" s="109" t="s">
        <v>1440</v>
      </c>
      <c r="Y511" s="96"/>
      <c r="Z511" s="98"/>
      <c r="AA511" s="98"/>
      <c r="AB511" s="98"/>
      <c r="AC511" s="98"/>
      <c r="AD511" s="98"/>
      <c r="AE511" s="98"/>
      <c r="AF511" s="98"/>
      <c r="AG511" s="98"/>
      <c r="AH511" s="98"/>
      <c r="AI511" s="98"/>
      <c r="AJ511" s="98"/>
      <c r="AK511" s="98"/>
      <c r="AL511" s="98"/>
      <c r="AM511" s="98"/>
      <c r="AN511" s="98"/>
      <c r="AO511" s="98"/>
      <c r="AP511" s="98"/>
      <c r="AQ511" s="98"/>
      <c r="AR511" s="98"/>
      <c r="AS511" s="98"/>
    </row>
    <row r="512" spans="1:45" s="4" customFormat="1">
      <c r="A512" s="111" t="s">
        <v>919</v>
      </c>
      <c r="B512" s="112">
        <v>840118700504</v>
      </c>
      <c r="C512" s="98" t="s">
        <v>920</v>
      </c>
      <c r="D512">
        <v>0</v>
      </c>
      <c r="E512" s="96"/>
      <c r="F512" s="97"/>
      <c r="G512" s="98"/>
      <c r="H512" s="113" t="s">
        <v>1179</v>
      </c>
      <c r="I512" s="98"/>
      <c r="J512" s="101"/>
      <c r="K512" s="102"/>
      <c r="L512" s="102"/>
      <c r="M512" s="102"/>
      <c r="N512" s="98"/>
      <c r="O512" s="98"/>
      <c r="P512" s="98"/>
      <c r="Q512" s="98"/>
      <c r="R512" s="98"/>
      <c r="S512" s="98"/>
      <c r="T512" s="98"/>
      <c r="U512" s="109"/>
      <c r="V512" s="103"/>
      <c r="W512" s="96"/>
      <c r="X512" s="109" t="s">
        <v>1440</v>
      </c>
      <c r="Y512" s="96"/>
      <c r="Z512" s="98"/>
      <c r="AA512" s="98"/>
      <c r="AB512" s="98"/>
      <c r="AC512" s="98"/>
      <c r="AD512" s="98"/>
      <c r="AE512" s="98"/>
      <c r="AF512" s="98"/>
      <c r="AG512" s="98"/>
      <c r="AH512" s="98"/>
      <c r="AI512" s="98"/>
      <c r="AJ512" s="98"/>
      <c r="AK512" s="98"/>
      <c r="AL512" s="98"/>
      <c r="AM512" s="98"/>
      <c r="AN512" s="98"/>
      <c r="AO512" s="98"/>
      <c r="AP512" s="98"/>
      <c r="AQ512" s="98"/>
      <c r="AR512" s="98"/>
      <c r="AS512" s="98"/>
    </row>
    <row r="513" spans="1:45" s="4" customFormat="1">
      <c r="A513" s="111" t="s">
        <v>919</v>
      </c>
      <c r="B513" s="112">
        <v>840118700511</v>
      </c>
      <c r="C513" s="98" t="s">
        <v>920</v>
      </c>
      <c r="D513">
        <v>0</v>
      </c>
      <c r="E513" s="96"/>
      <c r="F513" s="97"/>
      <c r="G513" s="98"/>
      <c r="H513" s="113" t="s">
        <v>1181</v>
      </c>
      <c r="I513" s="98"/>
      <c r="J513" s="101"/>
      <c r="K513" s="102"/>
      <c r="L513" s="102"/>
      <c r="M513" s="102"/>
      <c r="N513" s="98"/>
      <c r="O513" s="98"/>
      <c r="P513" s="98"/>
      <c r="Q513" s="98"/>
      <c r="R513" s="98"/>
      <c r="S513" s="98"/>
      <c r="T513" s="98"/>
      <c r="U513" s="109"/>
      <c r="V513" s="103"/>
      <c r="W513" s="96"/>
      <c r="X513" s="109" t="s">
        <v>1440</v>
      </c>
      <c r="Y513" s="96"/>
      <c r="Z513" s="98"/>
      <c r="AA513" s="98"/>
      <c r="AB513" s="98"/>
      <c r="AC513" s="98"/>
      <c r="AD513" s="98"/>
      <c r="AE513" s="98"/>
      <c r="AF513" s="98"/>
      <c r="AG513" s="98"/>
      <c r="AH513" s="98"/>
      <c r="AI513" s="98"/>
      <c r="AJ513" s="98"/>
      <c r="AK513" s="98"/>
      <c r="AL513" s="98"/>
      <c r="AM513" s="98"/>
      <c r="AN513" s="98"/>
      <c r="AO513" s="98"/>
      <c r="AP513" s="98"/>
      <c r="AQ513" s="98"/>
      <c r="AR513" s="98"/>
      <c r="AS513" s="98"/>
    </row>
    <row r="514" spans="1:45" s="4" customFormat="1">
      <c r="A514" s="111" t="s">
        <v>919</v>
      </c>
      <c r="B514" s="112">
        <v>840118700528</v>
      </c>
      <c r="C514" s="98" t="s">
        <v>920</v>
      </c>
      <c r="D514">
        <v>0</v>
      </c>
      <c r="E514" s="96"/>
      <c r="F514" s="97"/>
      <c r="G514" s="98"/>
      <c r="H514" s="113" t="s">
        <v>1183</v>
      </c>
      <c r="I514" s="98"/>
      <c r="J514" s="101"/>
      <c r="K514" s="102"/>
      <c r="L514" s="102"/>
      <c r="M514" s="102"/>
      <c r="N514" s="98"/>
      <c r="O514" s="98"/>
      <c r="P514" s="98"/>
      <c r="Q514" s="98"/>
      <c r="R514" s="98"/>
      <c r="S514" s="98"/>
      <c r="T514" s="98"/>
      <c r="U514" s="109"/>
      <c r="V514" s="103"/>
      <c r="W514" s="96"/>
      <c r="X514" s="109" t="s">
        <v>1440</v>
      </c>
      <c r="Y514" s="96"/>
      <c r="Z514" s="98"/>
      <c r="AA514" s="98"/>
      <c r="AB514" s="98"/>
      <c r="AC514" s="98"/>
      <c r="AD514" s="98"/>
      <c r="AE514" s="98"/>
      <c r="AF514" s="98"/>
      <c r="AG514" s="98"/>
      <c r="AH514" s="98"/>
      <c r="AI514" s="98"/>
      <c r="AJ514" s="98"/>
      <c r="AK514" s="98"/>
      <c r="AL514" s="98"/>
      <c r="AM514" s="98"/>
      <c r="AN514" s="98"/>
      <c r="AO514" s="98"/>
      <c r="AP514" s="98"/>
      <c r="AQ514" s="98"/>
      <c r="AR514" s="98"/>
      <c r="AS514" s="98"/>
    </row>
    <row r="515" spans="1:45" s="4" customFormat="1">
      <c r="A515" s="111" t="s">
        <v>919</v>
      </c>
      <c r="B515" s="112">
        <v>840118700634</v>
      </c>
      <c r="C515" s="98" t="s">
        <v>920</v>
      </c>
      <c r="D515">
        <v>0</v>
      </c>
      <c r="E515" s="96"/>
      <c r="F515" s="97"/>
      <c r="G515" s="98"/>
      <c r="H515" s="113" t="s">
        <v>1268</v>
      </c>
      <c r="I515" s="98"/>
      <c r="J515" s="101"/>
      <c r="K515" s="102"/>
      <c r="L515" s="102"/>
      <c r="M515" s="102"/>
      <c r="N515" s="98"/>
      <c r="O515" s="98"/>
      <c r="P515" s="98"/>
      <c r="Q515" s="98"/>
      <c r="R515" s="98"/>
      <c r="S515" s="98"/>
      <c r="T515" s="98"/>
      <c r="U515" s="109"/>
      <c r="V515" s="103"/>
      <c r="W515" s="96"/>
      <c r="X515" s="109" t="s">
        <v>1440</v>
      </c>
      <c r="Y515" s="96"/>
      <c r="Z515" s="98"/>
      <c r="AA515" s="98"/>
      <c r="AB515" s="98"/>
      <c r="AC515" s="98"/>
      <c r="AD515" s="98"/>
      <c r="AE515" s="98"/>
      <c r="AF515" s="98"/>
      <c r="AG515" s="98"/>
      <c r="AH515" s="98"/>
      <c r="AI515" s="98"/>
      <c r="AJ515" s="98"/>
      <c r="AK515" s="98"/>
      <c r="AL515" s="98"/>
      <c r="AM515" s="98"/>
      <c r="AN515" s="98"/>
      <c r="AO515" s="98"/>
      <c r="AP515" s="98"/>
      <c r="AQ515" s="98"/>
      <c r="AR515" s="98"/>
      <c r="AS515" s="98"/>
    </row>
    <row r="516" spans="1:45" s="4" customFormat="1">
      <c r="A516" s="111" t="s">
        <v>919</v>
      </c>
      <c r="B516" s="112">
        <v>840118700535</v>
      </c>
      <c r="C516" s="98" t="s">
        <v>920</v>
      </c>
      <c r="D516">
        <v>0</v>
      </c>
      <c r="E516" s="96"/>
      <c r="F516" s="97"/>
      <c r="G516" s="98"/>
      <c r="H516" s="113" t="s">
        <v>1185</v>
      </c>
      <c r="I516" s="98"/>
      <c r="J516" s="101"/>
      <c r="K516" s="102"/>
      <c r="L516" s="102"/>
      <c r="M516" s="102"/>
      <c r="N516" s="98"/>
      <c r="O516" s="98"/>
      <c r="P516" s="98"/>
      <c r="Q516" s="98"/>
      <c r="R516" s="98"/>
      <c r="S516" s="98"/>
      <c r="T516" s="98"/>
      <c r="U516" s="109"/>
      <c r="V516" s="103"/>
      <c r="W516" s="96"/>
      <c r="X516" s="109" t="s">
        <v>1440</v>
      </c>
      <c r="Y516" s="96"/>
      <c r="Z516" s="98"/>
      <c r="AA516" s="98"/>
      <c r="AB516" s="98"/>
      <c r="AC516" s="98"/>
      <c r="AD516" s="98"/>
      <c r="AE516" s="98"/>
      <c r="AF516" s="98"/>
      <c r="AG516" s="98"/>
      <c r="AH516" s="98"/>
      <c r="AI516" s="98"/>
      <c r="AJ516" s="98"/>
      <c r="AK516" s="98"/>
      <c r="AL516" s="98"/>
      <c r="AM516" s="98"/>
      <c r="AN516" s="98"/>
      <c r="AO516" s="98"/>
      <c r="AP516" s="98"/>
      <c r="AQ516" s="98"/>
      <c r="AR516" s="98"/>
      <c r="AS516" s="98"/>
    </row>
    <row r="517" spans="1:45" s="4" customFormat="1">
      <c r="A517" s="111" t="s">
        <v>919</v>
      </c>
      <c r="B517" s="112">
        <v>840118700641</v>
      </c>
      <c r="C517" s="98" t="s">
        <v>920</v>
      </c>
      <c r="D517">
        <v>0</v>
      </c>
      <c r="E517" s="96"/>
      <c r="F517" s="97"/>
      <c r="G517" s="98"/>
      <c r="H517" s="113" t="s">
        <v>1269</v>
      </c>
      <c r="I517" s="98"/>
      <c r="J517" s="101"/>
      <c r="K517" s="102"/>
      <c r="L517" s="102"/>
      <c r="M517" s="102"/>
      <c r="N517" s="98"/>
      <c r="O517" s="98"/>
      <c r="P517" s="98"/>
      <c r="Q517" s="98"/>
      <c r="R517" s="98"/>
      <c r="S517" s="98"/>
      <c r="T517" s="98"/>
      <c r="U517" s="109"/>
      <c r="V517" s="103"/>
      <c r="W517" s="96"/>
      <c r="X517" s="109" t="s">
        <v>1440</v>
      </c>
      <c r="Y517" s="96"/>
      <c r="Z517" s="98"/>
      <c r="AA517" s="98"/>
      <c r="AB517" s="98"/>
      <c r="AC517" s="98"/>
      <c r="AD517" s="98"/>
      <c r="AE517" s="98"/>
      <c r="AF517" s="98"/>
      <c r="AG517" s="98"/>
      <c r="AH517" s="98"/>
      <c r="AI517" s="98"/>
      <c r="AJ517" s="98"/>
      <c r="AK517" s="98"/>
      <c r="AL517" s="98"/>
      <c r="AM517" s="98"/>
      <c r="AN517" s="98"/>
      <c r="AO517" s="98"/>
      <c r="AP517" s="98"/>
      <c r="AQ517" s="98"/>
      <c r="AR517" s="98"/>
      <c r="AS517" s="98"/>
    </row>
    <row r="518" spans="1:45" s="4" customFormat="1">
      <c r="A518" s="111" t="s">
        <v>919</v>
      </c>
      <c r="B518" s="112">
        <v>840118700542</v>
      </c>
      <c r="C518" s="98" t="s">
        <v>920</v>
      </c>
      <c r="D518">
        <v>0</v>
      </c>
      <c r="E518" s="96"/>
      <c r="F518" s="97"/>
      <c r="G518" s="98"/>
      <c r="H518" s="113" t="s">
        <v>1187</v>
      </c>
      <c r="I518" s="98"/>
      <c r="J518" s="101"/>
      <c r="K518" s="102"/>
      <c r="L518" s="102"/>
      <c r="M518" s="102"/>
      <c r="N518" s="98"/>
      <c r="O518" s="98"/>
      <c r="P518" s="98"/>
      <c r="Q518" s="98"/>
      <c r="R518" s="98"/>
      <c r="S518" s="98"/>
      <c r="T518" s="98"/>
      <c r="U518" s="109"/>
      <c r="V518" s="103"/>
      <c r="W518" s="96"/>
      <c r="X518" s="109" t="s">
        <v>1440</v>
      </c>
      <c r="Y518" s="96"/>
      <c r="Z518" s="98"/>
      <c r="AA518" s="98"/>
      <c r="AB518" s="98"/>
      <c r="AC518" s="98"/>
      <c r="AD518" s="98"/>
      <c r="AE518" s="98"/>
      <c r="AF518" s="98"/>
      <c r="AG518" s="98"/>
      <c r="AH518" s="98"/>
      <c r="AI518" s="98"/>
      <c r="AJ518" s="98"/>
      <c r="AK518" s="98"/>
      <c r="AL518" s="98"/>
      <c r="AM518" s="98"/>
      <c r="AN518" s="98"/>
      <c r="AO518" s="98"/>
      <c r="AP518" s="98"/>
      <c r="AQ518" s="98"/>
      <c r="AR518" s="98"/>
      <c r="AS518" s="98"/>
    </row>
    <row r="519" spans="1:45" s="4" customFormat="1">
      <c r="A519" s="111" t="s">
        <v>919</v>
      </c>
      <c r="B519" s="112">
        <v>840118700658</v>
      </c>
      <c r="C519" s="98" t="s">
        <v>920</v>
      </c>
      <c r="D519">
        <v>0</v>
      </c>
      <c r="E519" s="96"/>
      <c r="F519" s="97"/>
      <c r="G519" s="98"/>
      <c r="H519" s="113" t="s">
        <v>1270</v>
      </c>
      <c r="I519" s="98"/>
      <c r="J519" s="101"/>
      <c r="K519" s="102"/>
      <c r="L519" s="102"/>
      <c r="M519" s="102"/>
      <c r="N519" s="98"/>
      <c r="O519" s="98"/>
      <c r="P519" s="98"/>
      <c r="Q519" s="98"/>
      <c r="R519" s="98"/>
      <c r="S519" s="98"/>
      <c r="T519" s="98"/>
      <c r="U519" s="109"/>
      <c r="V519" s="103"/>
      <c r="W519" s="96"/>
      <c r="X519" s="109" t="s">
        <v>1440</v>
      </c>
      <c r="Y519" s="96"/>
      <c r="Z519" s="98"/>
      <c r="AA519" s="98"/>
      <c r="AB519" s="98"/>
      <c r="AC519" s="98"/>
      <c r="AD519" s="98"/>
      <c r="AE519" s="98"/>
      <c r="AF519" s="98"/>
      <c r="AG519" s="98"/>
      <c r="AH519" s="98"/>
      <c r="AI519" s="98"/>
      <c r="AJ519" s="98"/>
      <c r="AK519" s="98"/>
      <c r="AL519" s="98"/>
      <c r="AM519" s="98"/>
      <c r="AN519" s="98"/>
      <c r="AO519" s="98"/>
      <c r="AP519" s="98"/>
      <c r="AQ519" s="98"/>
      <c r="AR519" s="98"/>
      <c r="AS519" s="98"/>
    </row>
    <row r="520" spans="1:45" s="4" customFormat="1">
      <c r="A520" s="111" t="s">
        <v>919</v>
      </c>
      <c r="B520" s="112">
        <v>840118700559</v>
      </c>
      <c r="C520" s="98" t="s">
        <v>920</v>
      </c>
      <c r="D520">
        <v>0</v>
      </c>
      <c r="E520" s="96"/>
      <c r="F520" s="97"/>
      <c r="G520" s="98"/>
      <c r="H520" s="113" t="s">
        <v>1191</v>
      </c>
      <c r="I520" s="98"/>
      <c r="J520" s="101"/>
      <c r="K520" s="102"/>
      <c r="L520" s="102"/>
      <c r="M520" s="102"/>
      <c r="N520" s="98"/>
      <c r="O520" s="98"/>
      <c r="P520" s="98"/>
      <c r="Q520" s="98"/>
      <c r="R520" s="98"/>
      <c r="S520" s="98"/>
      <c r="T520" s="98"/>
      <c r="U520" s="109"/>
      <c r="V520" s="103"/>
      <c r="W520" s="96"/>
      <c r="X520" s="109" t="s">
        <v>1440</v>
      </c>
      <c r="Y520" s="96"/>
      <c r="Z520" s="98"/>
      <c r="AA520" s="98"/>
      <c r="AB520" s="98"/>
      <c r="AC520" s="98"/>
      <c r="AD520" s="98"/>
      <c r="AE520" s="98"/>
      <c r="AF520" s="98"/>
      <c r="AG520" s="98"/>
      <c r="AH520" s="98"/>
      <c r="AI520" s="98"/>
      <c r="AJ520" s="98"/>
      <c r="AK520" s="98"/>
      <c r="AL520" s="98"/>
      <c r="AM520" s="98"/>
      <c r="AN520" s="98"/>
      <c r="AO520" s="98"/>
      <c r="AP520" s="98"/>
      <c r="AQ520" s="98"/>
      <c r="AR520" s="98"/>
      <c r="AS520" s="98"/>
    </row>
    <row r="521" spans="1:45" s="4" customFormat="1">
      <c r="A521" s="111" t="s">
        <v>919</v>
      </c>
      <c r="B521" s="112">
        <v>840118700665</v>
      </c>
      <c r="C521" s="98" t="s">
        <v>920</v>
      </c>
      <c r="D521">
        <v>0</v>
      </c>
      <c r="E521" s="96"/>
      <c r="F521" s="97"/>
      <c r="G521" s="98"/>
      <c r="H521" s="113" t="s">
        <v>1272</v>
      </c>
      <c r="I521" s="98"/>
      <c r="J521" s="101"/>
      <c r="K521" s="102"/>
      <c r="L521" s="102"/>
      <c r="M521" s="102"/>
      <c r="N521" s="98"/>
      <c r="O521" s="98"/>
      <c r="P521" s="98"/>
      <c r="Q521" s="98"/>
      <c r="R521" s="98"/>
      <c r="S521" s="98"/>
      <c r="T521" s="98"/>
      <c r="U521" s="109"/>
      <c r="V521" s="103"/>
      <c r="W521" s="96"/>
      <c r="X521" s="109" t="s">
        <v>1440</v>
      </c>
      <c r="Y521" s="96"/>
      <c r="Z521" s="98"/>
      <c r="AA521" s="98"/>
      <c r="AB521" s="98"/>
      <c r="AC521" s="98"/>
      <c r="AD521" s="98"/>
      <c r="AE521" s="98"/>
      <c r="AF521" s="98"/>
      <c r="AG521" s="98"/>
      <c r="AH521" s="98"/>
      <c r="AI521" s="98"/>
      <c r="AJ521" s="98"/>
      <c r="AK521" s="98"/>
      <c r="AL521" s="98"/>
      <c r="AM521" s="98"/>
      <c r="AN521" s="98"/>
      <c r="AO521" s="98"/>
      <c r="AP521" s="98"/>
      <c r="AQ521" s="98"/>
      <c r="AR521" s="98"/>
      <c r="AS521" s="98"/>
    </row>
    <row r="522" spans="1:45" s="4" customFormat="1">
      <c r="A522" s="111" t="s">
        <v>919</v>
      </c>
      <c r="B522" s="112">
        <v>840118700566</v>
      </c>
      <c r="C522" s="98" t="s">
        <v>920</v>
      </c>
      <c r="D522">
        <v>0</v>
      </c>
      <c r="E522" s="96"/>
      <c r="F522" s="97"/>
      <c r="G522" s="98"/>
      <c r="H522" s="113" t="s">
        <v>1189</v>
      </c>
      <c r="I522" s="98"/>
      <c r="J522" s="101"/>
      <c r="K522" s="102"/>
      <c r="L522" s="102"/>
      <c r="M522" s="102"/>
      <c r="N522" s="98"/>
      <c r="O522" s="98"/>
      <c r="P522" s="98"/>
      <c r="Q522" s="98"/>
      <c r="R522" s="98"/>
      <c r="S522" s="98"/>
      <c r="T522" s="98"/>
      <c r="U522" s="109"/>
      <c r="V522" s="103"/>
      <c r="W522" s="96"/>
      <c r="X522" s="109" t="s">
        <v>1440</v>
      </c>
      <c r="Y522" s="96"/>
      <c r="Z522" s="98"/>
      <c r="AA522" s="98"/>
      <c r="AB522" s="98"/>
      <c r="AC522" s="98"/>
      <c r="AD522" s="98"/>
      <c r="AE522" s="98"/>
      <c r="AF522" s="98"/>
      <c r="AG522" s="98"/>
      <c r="AH522" s="98"/>
      <c r="AI522" s="98"/>
      <c r="AJ522" s="98"/>
      <c r="AK522" s="98"/>
      <c r="AL522" s="98"/>
      <c r="AM522" s="98"/>
      <c r="AN522" s="98"/>
      <c r="AO522" s="98"/>
      <c r="AP522" s="98"/>
      <c r="AQ522" s="98"/>
      <c r="AR522" s="98"/>
      <c r="AS522" s="98"/>
    </row>
    <row r="523" spans="1:45" s="4" customFormat="1">
      <c r="A523" s="111" t="s">
        <v>919</v>
      </c>
      <c r="B523" s="112">
        <v>840118700672</v>
      </c>
      <c r="C523" s="98" t="s">
        <v>920</v>
      </c>
      <c r="D523">
        <v>0</v>
      </c>
      <c r="E523" s="96"/>
      <c r="F523" s="97"/>
      <c r="G523" s="98"/>
      <c r="H523" s="113" t="s">
        <v>1271</v>
      </c>
      <c r="I523" s="98"/>
      <c r="J523" s="101"/>
      <c r="K523" s="102"/>
      <c r="L523" s="102"/>
      <c r="M523" s="102"/>
      <c r="N523" s="98"/>
      <c r="O523" s="98"/>
      <c r="P523" s="98"/>
      <c r="Q523" s="98"/>
      <c r="R523" s="98"/>
      <c r="S523" s="98"/>
      <c r="T523" s="98"/>
      <c r="U523" s="109"/>
      <c r="V523" s="103"/>
      <c r="W523" s="96"/>
      <c r="X523" s="109" t="s">
        <v>1440</v>
      </c>
      <c r="Y523" s="96"/>
      <c r="Z523" s="98"/>
      <c r="AA523" s="98"/>
      <c r="AB523" s="98"/>
      <c r="AC523" s="98"/>
      <c r="AD523" s="98"/>
      <c r="AE523" s="98"/>
      <c r="AF523" s="98"/>
      <c r="AG523" s="98"/>
      <c r="AH523" s="98"/>
      <c r="AI523" s="98"/>
      <c r="AJ523" s="98"/>
      <c r="AK523" s="98"/>
      <c r="AL523" s="98"/>
      <c r="AM523" s="98"/>
      <c r="AN523" s="98"/>
      <c r="AO523" s="98"/>
      <c r="AP523" s="98"/>
      <c r="AQ523" s="98"/>
      <c r="AR523" s="98"/>
      <c r="AS523" s="98"/>
    </row>
    <row r="524" spans="1:45" s="4" customFormat="1">
      <c r="A524" s="111" t="s">
        <v>919</v>
      </c>
      <c r="B524" s="112">
        <v>840118700573</v>
      </c>
      <c r="C524" s="98" t="s">
        <v>920</v>
      </c>
      <c r="D524">
        <v>0</v>
      </c>
      <c r="E524" s="96"/>
      <c r="F524" s="97"/>
      <c r="G524" s="98"/>
      <c r="H524" s="113" t="s">
        <v>1193</v>
      </c>
      <c r="I524" s="98"/>
      <c r="J524" s="101"/>
      <c r="K524" s="102"/>
      <c r="L524" s="102"/>
      <c r="M524" s="102"/>
      <c r="N524" s="98"/>
      <c r="O524" s="98"/>
      <c r="P524" s="98"/>
      <c r="Q524" s="98"/>
      <c r="R524" s="98"/>
      <c r="S524" s="98"/>
      <c r="T524" s="98"/>
      <c r="U524" s="109"/>
      <c r="V524" s="103"/>
      <c r="W524" s="96"/>
      <c r="X524" s="109" t="s">
        <v>1440</v>
      </c>
      <c r="Y524" s="96"/>
      <c r="Z524" s="98"/>
      <c r="AA524" s="98"/>
      <c r="AB524" s="98"/>
      <c r="AC524" s="98"/>
      <c r="AD524" s="98"/>
      <c r="AE524" s="98"/>
      <c r="AF524" s="98"/>
      <c r="AG524" s="98"/>
      <c r="AH524" s="98"/>
      <c r="AI524" s="98"/>
      <c r="AJ524" s="98"/>
      <c r="AK524" s="98"/>
      <c r="AL524" s="98"/>
      <c r="AM524" s="98"/>
      <c r="AN524" s="98"/>
      <c r="AO524" s="98"/>
      <c r="AP524" s="98"/>
      <c r="AQ524" s="98"/>
      <c r="AR524" s="98"/>
      <c r="AS524" s="98"/>
    </row>
    <row r="525" spans="1:45" s="4" customFormat="1">
      <c r="A525" s="111" t="s">
        <v>919</v>
      </c>
      <c r="B525" s="112">
        <v>840118700580</v>
      </c>
      <c r="C525" s="98" t="s">
        <v>920</v>
      </c>
      <c r="D525">
        <v>0</v>
      </c>
      <c r="E525" s="96"/>
      <c r="F525" s="97"/>
      <c r="G525" s="98"/>
      <c r="H525" s="113" t="s">
        <v>1195</v>
      </c>
      <c r="I525" s="98"/>
      <c r="J525" s="101"/>
      <c r="K525" s="102"/>
      <c r="L525" s="102"/>
      <c r="M525" s="102"/>
      <c r="N525" s="98"/>
      <c r="O525" s="98"/>
      <c r="P525" s="98"/>
      <c r="Q525" s="98"/>
      <c r="R525" s="98"/>
      <c r="S525" s="98"/>
      <c r="T525" s="98"/>
      <c r="U525" s="109"/>
      <c r="V525" s="103"/>
      <c r="W525" s="96"/>
      <c r="X525" s="109" t="s">
        <v>1440</v>
      </c>
      <c r="Y525" s="96"/>
      <c r="Z525" s="98"/>
      <c r="AA525" s="98"/>
      <c r="AB525" s="98"/>
      <c r="AC525" s="98"/>
      <c r="AD525" s="98"/>
      <c r="AE525" s="98"/>
      <c r="AF525" s="98"/>
      <c r="AG525" s="98"/>
      <c r="AH525" s="98"/>
      <c r="AI525" s="98"/>
      <c r="AJ525" s="98"/>
      <c r="AK525" s="98"/>
      <c r="AL525" s="98"/>
      <c r="AM525" s="98"/>
      <c r="AN525" s="98"/>
      <c r="AO525" s="98"/>
      <c r="AP525" s="98"/>
      <c r="AQ525" s="98"/>
      <c r="AR525" s="98"/>
      <c r="AS525" s="98"/>
    </row>
    <row r="526" spans="1:45" s="4" customFormat="1">
      <c r="A526" s="111" t="s">
        <v>919</v>
      </c>
      <c r="B526" s="112">
        <v>840118700597</v>
      </c>
      <c r="C526" s="98" t="s">
        <v>920</v>
      </c>
      <c r="D526">
        <v>0</v>
      </c>
      <c r="E526" s="96"/>
      <c r="F526" s="97"/>
      <c r="G526" s="98"/>
      <c r="H526" s="113" t="s">
        <v>1197</v>
      </c>
      <c r="I526" s="98"/>
      <c r="J526" s="101"/>
      <c r="K526" s="102"/>
      <c r="L526" s="102"/>
      <c r="M526" s="102"/>
      <c r="N526" s="98"/>
      <c r="O526" s="98"/>
      <c r="P526" s="98"/>
      <c r="Q526" s="98"/>
      <c r="R526" s="98"/>
      <c r="S526" s="98"/>
      <c r="T526" s="98"/>
      <c r="U526" s="109"/>
      <c r="V526" s="103"/>
      <c r="W526" s="96"/>
      <c r="X526" s="109" t="s">
        <v>1440</v>
      </c>
      <c r="Y526" s="96"/>
      <c r="Z526" s="98"/>
      <c r="AA526" s="98"/>
      <c r="AB526" s="98"/>
      <c r="AC526" s="98"/>
      <c r="AD526" s="98"/>
      <c r="AE526" s="98"/>
      <c r="AF526" s="98"/>
      <c r="AG526" s="98"/>
      <c r="AH526" s="98"/>
      <c r="AI526" s="98"/>
      <c r="AJ526" s="98"/>
      <c r="AK526" s="98"/>
      <c r="AL526" s="98"/>
      <c r="AM526" s="98"/>
      <c r="AN526" s="98"/>
      <c r="AO526" s="98"/>
      <c r="AP526" s="98"/>
      <c r="AQ526" s="98"/>
      <c r="AR526" s="98"/>
      <c r="AS526" s="98"/>
    </row>
  </sheetData>
  <dataValidations count="22">
    <dataValidation allowBlank="1" showInputMessage="1" showErrorMessage="1" promptTitle="Future Stock Date" prompt="Optionally input a date if you have stock arriving soon and wish to report it to your Retailer." sqref="P982650:Q982651 JL982650:JM982651 TH982650:TI982651 ADD982650:ADE982651 AMZ982650:ANA982651 AWV982650:AWW982651 BGR982650:BGS982651 BQN982650:BQO982651 CAJ982650:CAK982651 CKF982650:CKG982651 CUB982650:CUC982651 DDX982650:DDY982651 DNT982650:DNU982651 DXP982650:DXQ982651 EHL982650:EHM982651 ERH982650:ERI982651 FBD982650:FBE982651 FKZ982650:FLA982651 FUV982650:FUW982651 GER982650:GES982651 GON982650:GOO982651 GYJ982650:GYK982651 HIF982650:HIG982651 HSB982650:HSC982651 IBX982650:IBY982651 ILT982650:ILU982651 IVP982650:IVQ982651 JFL982650:JFM982651 JPH982650:JPI982651 JZD982650:JZE982651 KIZ982650:KJA982651 KSV982650:KSW982651 LCR982650:LCS982651 LMN982650:LMO982651 LWJ982650:LWK982651 MGF982650:MGG982651 MQB982650:MQC982651 MZX982650:MZY982651 NJT982650:NJU982651 NTP982650:NTQ982651 ODL982650:ODM982651 ONH982650:ONI982651 OXD982650:OXE982651 PGZ982650:PHA982651 PQV982650:PQW982651 QAR982650:QAS982651 QKN982650:QKO982651 QUJ982650:QUK982651 REF982650:REG982651 ROB982650:ROC982651 RXX982650:RXY982651 SHT982650:SHU982651 SRP982650:SRQ982651 TBL982650:TBM982651 TLH982650:TLI982651 TVD982650:TVE982651 UEZ982650:UFA982651 UOV982650:UOW982651 UYR982650:UYS982651 VIN982650:VIO982651 VSJ982650:VSK982651 WCF982650:WCG982651 WMB982650:WMC982651 WVX982650:WVY982651 P65146:Q65147 JL65146:JM65147 TH65146:TI65147 ADD65146:ADE65147 AMZ65146:ANA65147 AWV65146:AWW65147 BGR65146:BGS65147 BQN65146:BQO65147 CAJ65146:CAK65147 CKF65146:CKG65147 CUB65146:CUC65147 DDX65146:DDY65147 DNT65146:DNU65147 DXP65146:DXQ65147 EHL65146:EHM65147 ERH65146:ERI65147 FBD65146:FBE65147 FKZ65146:FLA65147 FUV65146:FUW65147 GER65146:GES65147 GON65146:GOO65147 GYJ65146:GYK65147 HIF65146:HIG65147 HSB65146:HSC65147 IBX65146:IBY65147 ILT65146:ILU65147 IVP65146:IVQ65147 JFL65146:JFM65147 JPH65146:JPI65147 JZD65146:JZE65147 KIZ65146:KJA65147 KSV65146:KSW65147 LCR65146:LCS65147 LMN65146:LMO65147 LWJ65146:LWK65147 MGF65146:MGG65147 MQB65146:MQC65147 MZX65146:MZY65147 NJT65146:NJU65147 NTP65146:NTQ65147 ODL65146:ODM65147 ONH65146:ONI65147 OXD65146:OXE65147 PGZ65146:PHA65147 PQV65146:PQW65147 QAR65146:QAS65147 QKN65146:QKO65147 QUJ65146:QUK65147 REF65146:REG65147 ROB65146:ROC65147 RXX65146:RXY65147 SHT65146:SHU65147 SRP65146:SRQ65147 TBL65146:TBM65147 TLH65146:TLI65147 TVD65146:TVE65147 UEZ65146:UFA65147 UOV65146:UOW65147 UYR65146:UYS65147 VIN65146:VIO65147 VSJ65146:VSK65147 WCF65146:WCG65147 WMB65146:WMC65147 WVX65146:WVY65147 P130682:Q130683 JL130682:JM130683 TH130682:TI130683 ADD130682:ADE130683 AMZ130682:ANA130683 AWV130682:AWW130683 BGR130682:BGS130683 BQN130682:BQO130683 CAJ130682:CAK130683 CKF130682:CKG130683 CUB130682:CUC130683 DDX130682:DDY130683 DNT130682:DNU130683 DXP130682:DXQ130683 EHL130682:EHM130683 ERH130682:ERI130683 FBD130682:FBE130683 FKZ130682:FLA130683 FUV130682:FUW130683 GER130682:GES130683 GON130682:GOO130683 GYJ130682:GYK130683 HIF130682:HIG130683 HSB130682:HSC130683 IBX130682:IBY130683 ILT130682:ILU130683 IVP130682:IVQ130683 JFL130682:JFM130683 JPH130682:JPI130683 JZD130682:JZE130683 KIZ130682:KJA130683 KSV130682:KSW130683 LCR130682:LCS130683 LMN130682:LMO130683 LWJ130682:LWK130683 MGF130682:MGG130683 MQB130682:MQC130683 MZX130682:MZY130683 NJT130682:NJU130683 NTP130682:NTQ130683 ODL130682:ODM130683 ONH130682:ONI130683 OXD130682:OXE130683 PGZ130682:PHA130683 PQV130682:PQW130683 QAR130682:QAS130683 QKN130682:QKO130683 QUJ130682:QUK130683 REF130682:REG130683 ROB130682:ROC130683 RXX130682:RXY130683 SHT130682:SHU130683 SRP130682:SRQ130683 TBL130682:TBM130683 TLH130682:TLI130683 TVD130682:TVE130683 UEZ130682:UFA130683 UOV130682:UOW130683 UYR130682:UYS130683 VIN130682:VIO130683 VSJ130682:VSK130683 WCF130682:WCG130683 WMB130682:WMC130683 WVX130682:WVY130683 P196218:Q196219 JL196218:JM196219 TH196218:TI196219 ADD196218:ADE196219 AMZ196218:ANA196219 AWV196218:AWW196219 BGR196218:BGS196219 BQN196218:BQO196219 CAJ196218:CAK196219 CKF196218:CKG196219 CUB196218:CUC196219 DDX196218:DDY196219 DNT196218:DNU196219 DXP196218:DXQ196219 EHL196218:EHM196219 ERH196218:ERI196219 FBD196218:FBE196219 FKZ196218:FLA196219 FUV196218:FUW196219 GER196218:GES196219 GON196218:GOO196219 GYJ196218:GYK196219 HIF196218:HIG196219 HSB196218:HSC196219 IBX196218:IBY196219 ILT196218:ILU196219 IVP196218:IVQ196219 JFL196218:JFM196219 JPH196218:JPI196219 JZD196218:JZE196219 KIZ196218:KJA196219 KSV196218:KSW196219 LCR196218:LCS196219 LMN196218:LMO196219 LWJ196218:LWK196219 MGF196218:MGG196219 MQB196218:MQC196219 MZX196218:MZY196219 NJT196218:NJU196219 NTP196218:NTQ196219 ODL196218:ODM196219 ONH196218:ONI196219 OXD196218:OXE196219 PGZ196218:PHA196219 PQV196218:PQW196219 QAR196218:QAS196219 QKN196218:QKO196219 QUJ196218:QUK196219 REF196218:REG196219 ROB196218:ROC196219 RXX196218:RXY196219 SHT196218:SHU196219 SRP196218:SRQ196219 TBL196218:TBM196219 TLH196218:TLI196219 TVD196218:TVE196219 UEZ196218:UFA196219 UOV196218:UOW196219 UYR196218:UYS196219 VIN196218:VIO196219 VSJ196218:VSK196219 WCF196218:WCG196219 WMB196218:WMC196219 WVX196218:WVY196219 P261754:Q261755 JL261754:JM261755 TH261754:TI261755 ADD261754:ADE261755 AMZ261754:ANA261755 AWV261754:AWW261755 BGR261754:BGS261755 BQN261754:BQO261755 CAJ261754:CAK261755 CKF261754:CKG261755 CUB261754:CUC261755 DDX261754:DDY261755 DNT261754:DNU261755 DXP261754:DXQ261755 EHL261754:EHM261755 ERH261754:ERI261755 FBD261754:FBE261755 FKZ261754:FLA261755 FUV261754:FUW261755 GER261754:GES261755 GON261754:GOO261755 GYJ261754:GYK261755 HIF261754:HIG261755 HSB261754:HSC261755 IBX261754:IBY261755 ILT261754:ILU261755 IVP261754:IVQ261755 JFL261754:JFM261755 JPH261754:JPI261755 JZD261754:JZE261755 KIZ261754:KJA261755 KSV261754:KSW261755 LCR261754:LCS261755 LMN261754:LMO261755 LWJ261754:LWK261755 MGF261754:MGG261755 MQB261754:MQC261755 MZX261754:MZY261755 NJT261754:NJU261755 NTP261754:NTQ261755 ODL261754:ODM261755 ONH261754:ONI261755 OXD261754:OXE261755 PGZ261754:PHA261755 PQV261754:PQW261755 QAR261754:QAS261755 QKN261754:QKO261755 QUJ261754:QUK261755 REF261754:REG261755 ROB261754:ROC261755 RXX261754:RXY261755 SHT261754:SHU261755 SRP261754:SRQ261755 TBL261754:TBM261755 TLH261754:TLI261755 TVD261754:TVE261755 UEZ261754:UFA261755 UOV261754:UOW261755 UYR261754:UYS261755 VIN261754:VIO261755 VSJ261754:VSK261755 WCF261754:WCG261755 WMB261754:WMC261755 WVX261754:WVY261755 P327290:Q327291 JL327290:JM327291 TH327290:TI327291 ADD327290:ADE327291 AMZ327290:ANA327291 AWV327290:AWW327291 BGR327290:BGS327291 BQN327290:BQO327291 CAJ327290:CAK327291 CKF327290:CKG327291 CUB327290:CUC327291 DDX327290:DDY327291 DNT327290:DNU327291 DXP327290:DXQ327291 EHL327290:EHM327291 ERH327290:ERI327291 FBD327290:FBE327291 FKZ327290:FLA327291 FUV327290:FUW327291 GER327290:GES327291 GON327290:GOO327291 GYJ327290:GYK327291 HIF327290:HIG327291 HSB327290:HSC327291 IBX327290:IBY327291 ILT327290:ILU327291 IVP327290:IVQ327291 JFL327290:JFM327291 JPH327290:JPI327291 JZD327290:JZE327291 KIZ327290:KJA327291 KSV327290:KSW327291 LCR327290:LCS327291 LMN327290:LMO327291 LWJ327290:LWK327291 MGF327290:MGG327291 MQB327290:MQC327291 MZX327290:MZY327291 NJT327290:NJU327291 NTP327290:NTQ327291 ODL327290:ODM327291 ONH327290:ONI327291 OXD327290:OXE327291 PGZ327290:PHA327291 PQV327290:PQW327291 QAR327290:QAS327291 QKN327290:QKO327291 QUJ327290:QUK327291 REF327290:REG327291 ROB327290:ROC327291 RXX327290:RXY327291 SHT327290:SHU327291 SRP327290:SRQ327291 TBL327290:TBM327291 TLH327290:TLI327291 TVD327290:TVE327291 UEZ327290:UFA327291 UOV327290:UOW327291 UYR327290:UYS327291 VIN327290:VIO327291 VSJ327290:VSK327291 WCF327290:WCG327291 WMB327290:WMC327291 WVX327290:WVY327291 P392826:Q392827 JL392826:JM392827 TH392826:TI392827 ADD392826:ADE392827 AMZ392826:ANA392827 AWV392826:AWW392827 BGR392826:BGS392827 BQN392826:BQO392827 CAJ392826:CAK392827 CKF392826:CKG392827 CUB392826:CUC392827 DDX392826:DDY392827 DNT392826:DNU392827 DXP392826:DXQ392827 EHL392826:EHM392827 ERH392826:ERI392827 FBD392826:FBE392827 FKZ392826:FLA392827 FUV392826:FUW392827 GER392826:GES392827 GON392826:GOO392827 GYJ392826:GYK392827 HIF392826:HIG392827 HSB392826:HSC392827 IBX392826:IBY392827 ILT392826:ILU392827 IVP392826:IVQ392827 JFL392826:JFM392827 JPH392826:JPI392827 JZD392826:JZE392827 KIZ392826:KJA392827 KSV392826:KSW392827 LCR392826:LCS392827 LMN392826:LMO392827 LWJ392826:LWK392827 MGF392826:MGG392827 MQB392826:MQC392827 MZX392826:MZY392827 NJT392826:NJU392827 NTP392826:NTQ392827 ODL392826:ODM392827 ONH392826:ONI392827 OXD392826:OXE392827 PGZ392826:PHA392827 PQV392826:PQW392827 QAR392826:QAS392827 QKN392826:QKO392827 QUJ392826:QUK392827 REF392826:REG392827 ROB392826:ROC392827 RXX392826:RXY392827 SHT392826:SHU392827 SRP392826:SRQ392827 TBL392826:TBM392827 TLH392826:TLI392827 TVD392826:TVE392827 UEZ392826:UFA392827 UOV392826:UOW392827 UYR392826:UYS392827 VIN392826:VIO392827 VSJ392826:VSK392827 WCF392826:WCG392827 WMB392826:WMC392827 WVX392826:WVY392827 P458362:Q458363 JL458362:JM458363 TH458362:TI458363 ADD458362:ADE458363 AMZ458362:ANA458363 AWV458362:AWW458363 BGR458362:BGS458363 BQN458362:BQO458363 CAJ458362:CAK458363 CKF458362:CKG458363 CUB458362:CUC458363 DDX458362:DDY458363 DNT458362:DNU458363 DXP458362:DXQ458363 EHL458362:EHM458363 ERH458362:ERI458363 FBD458362:FBE458363 FKZ458362:FLA458363 FUV458362:FUW458363 GER458362:GES458363 GON458362:GOO458363 GYJ458362:GYK458363 HIF458362:HIG458363 HSB458362:HSC458363 IBX458362:IBY458363 ILT458362:ILU458363 IVP458362:IVQ458363 JFL458362:JFM458363 JPH458362:JPI458363 JZD458362:JZE458363 KIZ458362:KJA458363 KSV458362:KSW458363 LCR458362:LCS458363 LMN458362:LMO458363 LWJ458362:LWK458363 MGF458362:MGG458363 MQB458362:MQC458363 MZX458362:MZY458363 NJT458362:NJU458363 NTP458362:NTQ458363 ODL458362:ODM458363 ONH458362:ONI458363 OXD458362:OXE458363 PGZ458362:PHA458363 PQV458362:PQW458363 QAR458362:QAS458363 QKN458362:QKO458363 QUJ458362:QUK458363 REF458362:REG458363 ROB458362:ROC458363 RXX458362:RXY458363 SHT458362:SHU458363 SRP458362:SRQ458363 TBL458362:TBM458363 TLH458362:TLI458363 TVD458362:TVE458363 UEZ458362:UFA458363 UOV458362:UOW458363 UYR458362:UYS458363 VIN458362:VIO458363 VSJ458362:VSK458363 WCF458362:WCG458363 WMB458362:WMC458363 WVX458362:WVY458363 P523898:Q523899 JL523898:JM523899 TH523898:TI523899 ADD523898:ADE523899 AMZ523898:ANA523899 AWV523898:AWW523899 BGR523898:BGS523899 BQN523898:BQO523899 CAJ523898:CAK523899 CKF523898:CKG523899 CUB523898:CUC523899 DDX523898:DDY523899 DNT523898:DNU523899 DXP523898:DXQ523899 EHL523898:EHM523899 ERH523898:ERI523899 FBD523898:FBE523899 FKZ523898:FLA523899 FUV523898:FUW523899 GER523898:GES523899 GON523898:GOO523899 GYJ523898:GYK523899 HIF523898:HIG523899 HSB523898:HSC523899 IBX523898:IBY523899 ILT523898:ILU523899 IVP523898:IVQ523899 JFL523898:JFM523899 JPH523898:JPI523899 JZD523898:JZE523899 KIZ523898:KJA523899 KSV523898:KSW523899 LCR523898:LCS523899 LMN523898:LMO523899 LWJ523898:LWK523899 MGF523898:MGG523899 MQB523898:MQC523899 MZX523898:MZY523899 NJT523898:NJU523899 NTP523898:NTQ523899 ODL523898:ODM523899 ONH523898:ONI523899 OXD523898:OXE523899 PGZ523898:PHA523899 PQV523898:PQW523899 QAR523898:QAS523899 QKN523898:QKO523899 QUJ523898:QUK523899 REF523898:REG523899 ROB523898:ROC523899 RXX523898:RXY523899 SHT523898:SHU523899 SRP523898:SRQ523899 TBL523898:TBM523899 TLH523898:TLI523899 TVD523898:TVE523899 UEZ523898:UFA523899 UOV523898:UOW523899 UYR523898:UYS523899 VIN523898:VIO523899 VSJ523898:VSK523899 WCF523898:WCG523899 WMB523898:WMC523899 WVX523898:WVY523899 P589434:Q589435 JL589434:JM589435 TH589434:TI589435 ADD589434:ADE589435 AMZ589434:ANA589435 AWV589434:AWW589435 BGR589434:BGS589435 BQN589434:BQO589435 CAJ589434:CAK589435 CKF589434:CKG589435 CUB589434:CUC589435 DDX589434:DDY589435 DNT589434:DNU589435 DXP589434:DXQ589435 EHL589434:EHM589435 ERH589434:ERI589435 FBD589434:FBE589435 FKZ589434:FLA589435 FUV589434:FUW589435 GER589434:GES589435 GON589434:GOO589435 GYJ589434:GYK589435 HIF589434:HIG589435 HSB589434:HSC589435 IBX589434:IBY589435 ILT589434:ILU589435 IVP589434:IVQ589435 JFL589434:JFM589435 JPH589434:JPI589435 JZD589434:JZE589435 KIZ589434:KJA589435 KSV589434:KSW589435 LCR589434:LCS589435 LMN589434:LMO589435 LWJ589434:LWK589435 MGF589434:MGG589435 MQB589434:MQC589435 MZX589434:MZY589435 NJT589434:NJU589435 NTP589434:NTQ589435 ODL589434:ODM589435 ONH589434:ONI589435 OXD589434:OXE589435 PGZ589434:PHA589435 PQV589434:PQW589435 QAR589434:QAS589435 QKN589434:QKO589435 QUJ589434:QUK589435 REF589434:REG589435 ROB589434:ROC589435 RXX589434:RXY589435 SHT589434:SHU589435 SRP589434:SRQ589435 TBL589434:TBM589435 TLH589434:TLI589435 TVD589434:TVE589435 UEZ589434:UFA589435 UOV589434:UOW589435 UYR589434:UYS589435 VIN589434:VIO589435 VSJ589434:VSK589435 WCF589434:WCG589435 WMB589434:WMC589435 WVX589434:WVY589435 P654970:Q654971 JL654970:JM654971 TH654970:TI654971 ADD654970:ADE654971 AMZ654970:ANA654971 AWV654970:AWW654971 BGR654970:BGS654971 BQN654970:BQO654971 CAJ654970:CAK654971 CKF654970:CKG654971 CUB654970:CUC654971 DDX654970:DDY654971 DNT654970:DNU654971 DXP654970:DXQ654971 EHL654970:EHM654971 ERH654970:ERI654971 FBD654970:FBE654971 FKZ654970:FLA654971 FUV654970:FUW654971 GER654970:GES654971 GON654970:GOO654971 GYJ654970:GYK654971 HIF654970:HIG654971 HSB654970:HSC654971 IBX654970:IBY654971 ILT654970:ILU654971 IVP654970:IVQ654971 JFL654970:JFM654971 JPH654970:JPI654971 JZD654970:JZE654971 KIZ654970:KJA654971 KSV654970:KSW654971 LCR654970:LCS654971 LMN654970:LMO654971 LWJ654970:LWK654971 MGF654970:MGG654971 MQB654970:MQC654971 MZX654970:MZY654971 NJT654970:NJU654971 NTP654970:NTQ654971 ODL654970:ODM654971 ONH654970:ONI654971 OXD654970:OXE654971 PGZ654970:PHA654971 PQV654970:PQW654971 QAR654970:QAS654971 QKN654970:QKO654971 QUJ654970:QUK654971 REF654970:REG654971 ROB654970:ROC654971 RXX654970:RXY654971 SHT654970:SHU654971 SRP654970:SRQ654971 TBL654970:TBM654971 TLH654970:TLI654971 TVD654970:TVE654971 UEZ654970:UFA654971 UOV654970:UOW654971 UYR654970:UYS654971 VIN654970:VIO654971 VSJ654970:VSK654971 WCF654970:WCG654971 WMB654970:WMC654971 WVX654970:WVY654971 P720506:Q720507 JL720506:JM720507 TH720506:TI720507 ADD720506:ADE720507 AMZ720506:ANA720507 AWV720506:AWW720507 BGR720506:BGS720507 BQN720506:BQO720507 CAJ720506:CAK720507 CKF720506:CKG720507 CUB720506:CUC720507 DDX720506:DDY720507 DNT720506:DNU720507 DXP720506:DXQ720507 EHL720506:EHM720507 ERH720506:ERI720507 FBD720506:FBE720507 FKZ720506:FLA720507 FUV720506:FUW720507 GER720506:GES720507 GON720506:GOO720507 GYJ720506:GYK720507 HIF720506:HIG720507 HSB720506:HSC720507 IBX720506:IBY720507 ILT720506:ILU720507 IVP720506:IVQ720507 JFL720506:JFM720507 JPH720506:JPI720507 JZD720506:JZE720507 KIZ720506:KJA720507 KSV720506:KSW720507 LCR720506:LCS720507 LMN720506:LMO720507 LWJ720506:LWK720507 MGF720506:MGG720507 MQB720506:MQC720507 MZX720506:MZY720507 NJT720506:NJU720507 NTP720506:NTQ720507 ODL720506:ODM720507 ONH720506:ONI720507 OXD720506:OXE720507 PGZ720506:PHA720507 PQV720506:PQW720507 QAR720506:QAS720507 QKN720506:QKO720507 QUJ720506:QUK720507 REF720506:REG720507 ROB720506:ROC720507 RXX720506:RXY720507 SHT720506:SHU720507 SRP720506:SRQ720507 TBL720506:TBM720507 TLH720506:TLI720507 TVD720506:TVE720507 UEZ720506:UFA720507 UOV720506:UOW720507 UYR720506:UYS720507 VIN720506:VIO720507 VSJ720506:VSK720507 WCF720506:WCG720507 WMB720506:WMC720507 WVX720506:WVY720507 P786042:Q786043 JL786042:JM786043 TH786042:TI786043 ADD786042:ADE786043 AMZ786042:ANA786043 AWV786042:AWW786043 BGR786042:BGS786043 BQN786042:BQO786043 CAJ786042:CAK786043 CKF786042:CKG786043 CUB786042:CUC786043 DDX786042:DDY786043 DNT786042:DNU786043 DXP786042:DXQ786043 EHL786042:EHM786043 ERH786042:ERI786043 FBD786042:FBE786043 FKZ786042:FLA786043 FUV786042:FUW786043 GER786042:GES786043 GON786042:GOO786043 GYJ786042:GYK786043 HIF786042:HIG786043 HSB786042:HSC786043 IBX786042:IBY786043 ILT786042:ILU786043 IVP786042:IVQ786043 JFL786042:JFM786043 JPH786042:JPI786043 JZD786042:JZE786043 KIZ786042:KJA786043 KSV786042:KSW786043 LCR786042:LCS786043 LMN786042:LMO786043 LWJ786042:LWK786043 MGF786042:MGG786043 MQB786042:MQC786043 MZX786042:MZY786043 NJT786042:NJU786043 NTP786042:NTQ786043 ODL786042:ODM786043 ONH786042:ONI786043 OXD786042:OXE786043 PGZ786042:PHA786043 PQV786042:PQW786043 QAR786042:QAS786043 QKN786042:QKO786043 QUJ786042:QUK786043 REF786042:REG786043 ROB786042:ROC786043 RXX786042:RXY786043 SHT786042:SHU786043 SRP786042:SRQ786043 TBL786042:TBM786043 TLH786042:TLI786043 TVD786042:TVE786043 UEZ786042:UFA786043 UOV786042:UOW786043 UYR786042:UYS786043 VIN786042:VIO786043 VSJ786042:VSK786043 WCF786042:WCG786043 WMB786042:WMC786043 WVX786042:WVY786043 P851578:Q851579 JL851578:JM851579 TH851578:TI851579 ADD851578:ADE851579 AMZ851578:ANA851579 AWV851578:AWW851579 BGR851578:BGS851579 BQN851578:BQO851579 CAJ851578:CAK851579 CKF851578:CKG851579 CUB851578:CUC851579 DDX851578:DDY851579 DNT851578:DNU851579 DXP851578:DXQ851579 EHL851578:EHM851579 ERH851578:ERI851579 FBD851578:FBE851579 FKZ851578:FLA851579 FUV851578:FUW851579 GER851578:GES851579 GON851578:GOO851579 GYJ851578:GYK851579 HIF851578:HIG851579 HSB851578:HSC851579 IBX851578:IBY851579 ILT851578:ILU851579 IVP851578:IVQ851579 JFL851578:JFM851579 JPH851578:JPI851579 JZD851578:JZE851579 KIZ851578:KJA851579 KSV851578:KSW851579 LCR851578:LCS851579 LMN851578:LMO851579 LWJ851578:LWK851579 MGF851578:MGG851579 MQB851578:MQC851579 MZX851578:MZY851579 NJT851578:NJU851579 NTP851578:NTQ851579 ODL851578:ODM851579 ONH851578:ONI851579 OXD851578:OXE851579 PGZ851578:PHA851579 PQV851578:PQW851579 QAR851578:QAS851579 QKN851578:QKO851579 QUJ851578:QUK851579 REF851578:REG851579 ROB851578:ROC851579 RXX851578:RXY851579 SHT851578:SHU851579 SRP851578:SRQ851579 TBL851578:TBM851579 TLH851578:TLI851579 TVD851578:TVE851579 UEZ851578:UFA851579 UOV851578:UOW851579 UYR851578:UYS851579 VIN851578:VIO851579 VSJ851578:VSK851579 WCF851578:WCG851579 WMB851578:WMC851579 WVX851578:WVY851579 P917114:Q917115 JL917114:JM917115 TH917114:TI917115 ADD917114:ADE917115 AMZ917114:ANA917115 AWV917114:AWW917115 BGR917114:BGS917115 BQN917114:BQO917115 CAJ917114:CAK917115 CKF917114:CKG917115 CUB917114:CUC917115 DDX917114:DDY917115 DNT917114:DNU917115 DXP917114:DXQ917115 EHL917114:EHM917115 ERH917114:ERI917115 FBD917114:FBE917115 FKZ917114:FLA917115 FUV917114:FUW917115 GER917114:GES917115 GON917114:GOO917115 GYJ917114:GYK917115 HIF917114:HIG917115 HSB917114:HSC917115 IBX917114:IBY917115 ILT917114:ILU917115 IVP917114:IVQ917115 JFL917114:JFM917115 JPH917114:JPI917115 JZD917114:JZE917115 KIZ917114:KJA917115 KSV917114:KSW917115 LCR917114:LCS917115 LMN917114:LMO917115 LWJ917114:LWK917115 MGF917114:MGG917115 MQB917114:MQC917115 MZX917114:MZY917115 NJT917114:NJU917115 NTP917114:NTQ917115 ODL917114:ODM917115 ONH917114:ONI917115 OXD917114:OXE917115 PGZ917114:PHA917115 PQV917114:PQW917115 QAR917114:QAS917115 QKN917114:QKO917115 QUJ917114:QUK917115 REF917114:REG917115 ROB917114:ROC917115 RXX917114:RXY917115 SHT917114:SHU917115 SRP917114:SRQ917115 TBL917114:TBM917115 TLH917114:TLI917115 TVD917114:TVE917115 UEZ917114:UFA917115 UOV917114:UOW917115 UYR917114:UYS917115 VIN917114:VIO917115 VSJ917114:VSK917115 WCF917114:WCG917115 WMB917114:WMC917115 WVX917114:WVY917115 P3:Q4 JL3:JM4 TH3:TI4 ADD3:ADE4 AMZ3:ANA4 AWV3:AWW4 BGR3:BGS4 BQN3:BQO4 CAJ3:CAK4 CKF3:CKG4 CUB3:CUC4 DDX3:DDY4 DNT3:DNU4 DXP3:DXQ4 EHL3:EHM4 ERH3:ERI4 FBD3:FBE4 FKZ3:FLA4 FUV3:FUW4 GER3:GES4 GON3:GOO4 GYJ3:GYK4 HIF3:HIG4 HSB3:HSC4 IBX3:IBY4 ILT3:ILU4 IVP3:IVQ4 JFL3:JFM4 JPH3:JPI4 JZD3:JZE4 KIZ3:KJA4 KSV3:KSW4 LCR3:LCS4 LMN3:LMO4 LWJ3:LWK4 MGF3:MGG4 MQB3:MQC4 MZX3:MZY4 NJT3:NJU4 NTP3:NTQ4 ODL3:ODM4 ONH3:ONI4 OXD3:OXE4 PGZ3:PHA4 PQV3:PQW4 QAR3:QAS4 QKN3:QKO4 QUJ3:QUK4 REF3:REG4 ROB3:ROC4 RXX3:RXY4 SHT3:SHU4 SRP3:SRQ4 TBL3:TBM4 TLH3:TLI4 TVD3:TVE4 UEZ3:UFA4 UOV3:UOW4 UYR3:UYS4 VIN3:VIO4 VSJ3:VSK4 WCF3:WCG4 WMB3:WMC4 WVX3:WVY4" xr:uid="{00000000-0002-0000-0900-000000000000}"/>
    <dataValidation allowBlank="1" showInputMessage="1" showErrorMessage="1" promptTitle="Discontinue Date" prompt="Optionally input a date if the item is to be or has been discontinued.  If you need to remove an item from being marked as discontinued, simply input the date '01/01/1900' here which will clear the status." sqref="O982650:O982651 JK982650:JK982651 TG982650:TG982651 ADC982650:ADC982651 AMY982650:AMY982651 AWU982650:AWU982651 BGQ982650:BGQ982651 BQM982650:BQM982651 CAI982650:CAI982651 CKE982650:CKE982651 CUA982650:CUA982651 DDW982650:DDW982651 DNS982650:DNS982651 DXO982650:DXO982651 EHK982650:EHK982651 ERG982650:ERG982651 FBC982650:FBC982651 FKY982650:FKY982651 FUU982650:FUU982651 GEQ982650:GEQ982651 GOM982650:GOM982651 GYI982650:GYI982651 HIE982650:HIE982651 HSA982650:HSA982651 IBW982650:IBW982651 ILS982650:ILS982651 IVO982650:IVO982651 JFK982650:JFK982651 JPG982650:JPG982651 JZC982650:JZC982651 KIY982650:KIY982651 KSU982650:KSU982651 LCQ982650:LCQ982651 LMM982650:LMM982651 LWI982650:LWI982651 MGE982650:MGE982651 MQA982650:MQA982651 MZW982650:MZW982651 NJS982650:NJS982651 NTO982650:NTO982651 ODK982650:ODK982651 ONG982650:ONG982651 OXC982650:OXC982651 PGY982650:PGY982651 PQU982650:PQU982651 QAQ982650:QAQ982651 QKM982650:QKM982651 QUI982650:QUI982651 REE982650:REE982651 ROA982650:ROA982651 RXW982650:RXW982651 SHS982650:SHS982651 SRO982650:SRO982651 TBK982650:TBK982651 TLG982650:TLG982651 TVC982650:TVC982651 UEY982650:UEY982651 UOU982650:UOU982651 UYQ982650:UYQ982651 VIM982650:VIM982651 VSI982650:VSI982651 WCE982650:WCE982651 WMA982650:WMA982651 WVW982650:WVW982651 O65146:O65147 JK65146:JK65147 TG65146:TG65147 ADC65146:ADC65147 AMY65146:AMY65147 AWU65146:AWU65147 BGQ65146:BGQ65147 BQM65146:BQM65147 CAI65146:CAI65147 CKE65146:CKE65147 CUA65146:CUA65147 DDW65146:DDW65147 DNS65146:DNS65147 DXO65146:DXO65147 EHK65146:EHK65147 ERG65146:ERG65147 FBC65146:FBC65147 FKY65146:FKY65147 FUU65146:FUU65147 GEQ65146:GEQ65147 GOM65146:GOM65147 GYI65146:GYI65147 HIE65146:HIE65147 HSA65146:HSA65147 IBW65146:IBW65147 ILS65146:ILS65147 IVO65146:IVO65147 JFK65146:JFK65147 JPG65146:JPG65147 JZC65146:JZC65147 KIY65146:KIY65147 KSU65146:KSU65147 LCQ65146:LCQ65147 LMM65146:LMM65147 LWI65146:LWI65147 MGE65146:MGE65147 MQA65146:MQA65147 MZW65146:MZW65147 NJS65146:NJS65147 NTO65146:NTO65147 ODK65146:ODK65147 ONG65146:ONG65147 OXC65146:OXC65147 PGY65146:PGY65147 PQU65146:PQU65147 QAQ65146:QAQ65147 QKM65146:QKM65147 QUI65146:QUI65147 REE65146:REE65147 ROA65146:ROA65147 RXW65146:RXW65147 SHS65146:SHS65147 SRO65146:SRO65147 TBK65146:TBK65147 TLG65146:TLG65147 TVC65146:TVC65147 UEY65146:UEY65147 UOU65146:UOU65147 UYQ65146:UYQ65147 VIM65146:VIM65147 VSI65146:VSI65147 WCE65146:WCE65147 WMA65146:WMA65147 WVW65146:WVW65147 O130682:O130683 JK130682:JK130683 TG130682:TG130683 ADC130682:ADC130683 AMY130682:AMY130683 AWU130682:AWU130683 BGQ130682:BGQ130683 BQM130682:BQM130683 CAI130682:CAI130683 CKE130682:CKE130683 CUA130682:CUA130683 DDW130682:DDW130683 DNS130682:DNS130683 DXO130682:DXO130683 EHK130682:EHK130683 ERG130682:ERG130683 FBC130682:FBC130683 FKY130682:FKY130683 FUU130682:FUU130683 GEQ130682:GEQ130683 GOM130682:GOM130683 GYI130682:GYI130683 HIE130682:HIE130683 HSA130682:HSA130683 IBW130682:IBW130683 ILS130682:ILS130683 IVO130682:IVO130683 JFK130682:JFK130683 JPG130682:JPG130683 JZC130682:JZC130683 KIY130682:KIY130683 KSU130682:KSU130683 LCQ130682:LCQ130683 LMM130682:LMM130683 LWI130682:LWI130683 MGE130682:MGE130683 MQA130682:MQA130683 MZW130682:MZW130683 NJS130682:NJS130683 NTO130682:NTO130683 ODK130682:ODK130683 ONG130682:ONG130683 OXC130682:OXC130683 PGY130682:PGY130683 PQU130682:PQU130683 QAQ130682:QAQ130683 QKM130682:QKM130683 QUI130682:QUI130683 REE130682:REE130683 ROA130682:ROA130683 RXW130682:RXW130683 SHS130682:SHS130683 SRO130682:SRO130683 TBK130682:TBK130683 TLG130682:TLG130683 TVC130682:TVC130683 UEY130682:UEY130683 UOU130682:UOU130683 UYQ130682:UYQ130683 VIM130682:VIM130683 VSI130682:VSI130683 WCE130682:WCE130683 WMA130682:WMA130683 WVW130682:WVW130683 O196218:O196219 JK196218:JK196219 TG196218:TG196219 ADC196218:ADC196219 AMY196218:AMY196219 AWU196218:AWU196219 BGQ196218:BGQ196219 BQM196218:BQM196219 CAI196218:CAI196219 CKE196218:CKE196219 CUA196218:CUA196219 DDW196218:DDW196219 DNS196218:DNS196219 DXO196218:DXO196219 EHK196218:EHK196219 ERG196218:ERG196219 FBC196218:FBC196219 FKY196218:FKY196219 FUU196218:FUU196219 GEQ196218:GEQ196219 GOM196218:GOM196219 GYI196218:GYI196219 HIE196218:HIE196219 HSA196218:HSA196219 IBW196218:IBW196219 ILS196218:ILS196219 IVO196218:IVO196219 JFK196218:JFK196219 JPG196218:JPG196219 JZC196218:JZC196219 KIY196218:KIY196219 KSU196218:KSU196219 LCQ196218:LCQ196219 LMM196218:LMM196219 LWI196218:LWI196219 MGE196218:MGE196219 MQA196218:MQA196219 MZW196218:MZW196219 NJS196218:NJS196219 NTO196218:NTO196219 ODK196218:ODK196219 ONG196218:ONG196219 OXC196218:OXC196219 PGY196218:PGY196219 PQU196218:PQU196219 QAQ196218:QAQ196219 QKM196218:QKM196219 QUI196218:QUI196219 REE196218:REE196219 ROA196218:ROA196219 RXW196218:RXW196219 SHS196218:SHS196219 SRO196218:SRO196219 TBK196218:TBK196219 TLG196218:TLG196219 TVC196218:TVC196219 UEY196218:UEY196219 UOU196218:UOU196219 UYQ196218:UYQ196219 VIM196218:VIM196219 VSI196218:VSI196219 WCE196218:WCE196219 WMA196218:WMA196219 WVW196218:WVW196219 O261754:O261755 JK261754:JK261755 TG261754:TG261755 ADC261754:ADC261755 AMY261754:AMY261755 AWU261754:AWU261755 BGQ261754:BGQ261755 BQM261754:BQM261755 CAI261754:CAI261755 CKE261754:CKE261755 CUA261754:CUA261755 DDW261754:DDW261755 DNS261754:DNS261755 DXO261754:DXO261755 EHK261754:EHK261755 ERG261754:ERG261755 FBC261754:FBC261755 FKY261754:FKY261755 FUU261754:FUU261755 GEQ261754:GEQ261755 GOM261754:GOM261755 GYI261754:GYI261755 HIE261754:HIE261755 HSA261754:HSA261755 IBW261754:IBW261755 ILS261754:ILS261755 IVO261754:IVO261755 JFK261754:JFK261755 JPG261754:JPG261755 JZC261754:JZC261755 KIY261754:KIY261755 KSU261754:KSU261755 LCQ261754:LCQ261755 LMM261754:LMM261755 LWI261754:LWI261755 MGE261754:MGE261755 MQA261754:MQA261755 MZW261754:MZW261755 NJS261754:NJS261755 NTO261754:NTO261755 ODK261754:ODK261755 ONG261754:ONG261755 OXC261754:OXC261755 PGY261754:PGY261755 PQU261754:PQU261755 QAQ261754:QAQ261755 QKM261754:QKM261755 QUI261754:QUI261755 REE261754:REE261755 ROA261754:ROA261755 RXW261754:RXW261755 SHS261754:SHS261755 SRO261754:SRO261755 TBK261754:TBK261755 TLG261754:TLG261755 TVC261754:TVC261755 UEY261754:UEY261755 UOU261754:UOU261755 UYQ261754:UYQ261755 VIM261754:VIM261755 VSI261754:VSI261755 WCE261754:WCE261755 WMA261754:WMA261755 WVW261754:WVW261755 O327290:O327291 JK327290:JK327291 TG327290:TG327291 ADC327290:ADC327291 AMY327290:AMY327291 AWU327290:AWU327291 BGQ327290:BGQ327291 BQM327290:BQM327291 CAI327290:CAI327291 CKE327290:CKE327291 CUA327290:CUA327291 DDW327290:DDW327291 DNS327290:DNS327291 DXO327290:DXO327291 EHK327290:EHK327291 ERG327290:ERG327291 FBC327290:FBC327291 FKY327290:FKY327291 FUU327290:FUU327291 GEQ327290:GEQ327291 GOM327290:GOM327291 GYI327290:GYI327291 HIE327290:HIE327291 HSA327290:HSA327291 IBW327290:IBW327291 ILS327290:ILS327291 IVO327290:IVO327291 JFK327290:JFK327291 JPG327290:JPG327291 JZC327290:JZC327291 KIY327290:KIY327291 KSU327290:KSU327291 LCQ327290:LCQ327291 LMM327290:LMM327291 LWI327290:LWI327291 MGE327290:MGE327291 MQA327290:MQA327291 MZW327290:MZW327291 NJS327290:NJS327291 NTO327290:NTO327291 ODK327290:ODK327291 ONG327290:ONG327291 OXC327290:OXC327291 PGY327290:PGY327291 PQU327290:PQU327291 QAQ327290:QAQ327291 QKM327290:QKM327291 QUI327290:QUI327291 REE327290:REE327291 ROA327290:ROA327291 RXW327290:RXW327291 SHS327290:SHS327291 SRO327290:SRO327291 TBK327290:TBK327291 TLG327290:TLG327291 TVC327290:TVC327291 UEY327290:UEY327291 UOU327290:UOU327291 UYQ327290:UYQ327291 VIM327290:VIM327291 VSI327290:VSI327291 WCE327290:WCE327291 WMA327290:WMA327291 WVW327290:WVW327291 O392826:O392827 JK392826:JK392827 TG392826:TG392827 ADC392826:ADC392827 AMY392826:AMY392827 AWU392826:AWU392827 BGQ392826:BGQ392827 BQM392826:BQM392827 CAI392826:CAI392827 CKE392826:CKE392827 CUA392826:CUA392827 DDW392826:DDW392827 DNS392826:DNS392827 DXO392826:DXO392827 EHK392826:EHK392827 ERG392826:ERG392827 FBC392826:FBC392827 FKY392826:FKY392827 FUU392826:FUU392827 GEQ392826:GEQ392827 GOM392826:GOM392827 GYI392826:GYI392827 HIE392826:HIE392827 HSA392826:HSA392827 IBW392826:IBW392827 ILS392826:ILS392827 IVO392826:IVO392827 JFK392826:JFK392827 JPG392826:JPG392827 JZC392826:JZC392827 KIY392826:KIY392827 KSU392826:KSU392827 LCQ392826:LCQ392827 LMM392826:LMM392827 LWI392826:LWI392827 MGE392826:MGE392827 MQA392826:MQA392827 MZW392826:MZW392827 NJS392826:NJS392827 NTO392826:NTO392827 ODK392826:ODK392827 ONG392826:ONG392827 OXC392826:OXC392827 PGY392826:PGY392827 PQU392826:PQU392827 QAQ392826:QAQ392827 QKM392826:QKM392827 QUI392826:QUI392827 REE392826:REE392827 ROA392826:ROA392827 RXW392826:RXW392827 SHS392826:SHS392827 SRO392826:SRO392827 TBK392826:TBK392827 TLG392826:TLG392827 TVC392826:TVC392827 UEY392826:UEY392827 UOU392826:UOU392827 UYQ392826:UYQ392827 VIM392826:VIM392827 VSI392826:VSI392827 WCE392826:WCE392827 WMA392826:WMA392827 WVW392826:WVW392827 O458362:O458363 JK458362:JK458363 TG458362:TG458363 ADC458362:ADC458363 AMY458362:AMY458363 AWU458362:AWU458363 BGQ458362:BGQ458363 BQM458362:BQM458363 CAI458362:CAI458363 CKE458362:CKE458363 CUA458362:CUA458363 DDW458362:DDW458363 DNS458362:DNS458363 DXO458362:DXO458363 EHK458362:EHK458363 ERG458362:ERG458363 FBC458362:FBC458363 FKY458362:FKY458363 FUU458362:FUU458363 GEQ458362:GEQ458363 GOM458362:GOM458363 GYI458362:GYI458363 HIE458362:HIE458363 HSA458362:HSA458363 IBW458362:IBW458363 ILS458362:ILS458363 IVO458362:IVO458363 JFK458362:JFK458363 JPG458362:JPG458363 JZC458362:JZC458363 KIY458362:KIY458363 KSU458362:KSU458363 LCQ458362:LCQ458363 LMM458362:LMM458363 LWI458362:LWI458363 MGE458362:MGE458363 MQA458362:MQA458363 MZW458362:MZW458363 NJS458362:NJS458363 NTO458362:NTO458363 ODK458362:ODK458363 ONG458362:ONG458363 OXC458362:OXC458363 PGY458362:PGY458363 PQU458362:PQU458363 QAQ458362:QAQ458363 QKM458362:QKM458363 QUI458362:QUI458363 REE458362:REE458363 ROA458362:ROA458363 RXW458362:RXW458363 SHS458362:SHS458363 SRO458362:SRO458363 TBK458362:TBK458363 TLG458362:TLG458363 TVC458362:TVC458363 UEY458362:UEY458363 UOU458362:UOU458363 UYQ458362:UYQ458363 VIM458362:VIM458363 VSI458362:VSI458363 WCE458362:WCE458363 WMA458362:WMA458363 WVW458362:WVW458363 O523898:O523899 JK523898:JK523899 TG523898:TG523899 ADC523898:ADC523899 AMY523898:AMY523899 AWU523898:AWU523899 BGQ523898:BGQ523899 BQM523898:BQM523899 CAI523898:CAI523899 CKE523898:CKE523899 CUA523898:CUA523899 DDW523898:DDW523899 DNS523898:DNS523899 DXO523898:DXO523899 EHK523898:EHK523899 ERG523898:ERG523899 FBC523898:FBC523899 FKY523898:FKY523899 FUU523898:FUU523899 GEQ523898:GEQ523899 GOM523898:GOM523899 GYI523898:GYI523899 HIE523898:HIE523899 HSA523898:HSA523899 IBW523898:IBW523899 ILS523898:ILS523899 IVO523898:IVO523899 JFK523898:JFK523899 JPG523898:JPG523899 JZC523898:JZC523899 KIY523898:KIY523899 KSU523898:KSU523899 LCQ523898:LCQ523899 LMM523898:LMM523899 LWI523898:LWI523899 MGE523898:MGE523899 MQA523898:MQA523899 MZW523898:MZW523899 NJS523898:NJS523899 NTO523898:NTO523899 ODK523898:ODK523899 ONG523898:ONG523899 OXC523898:OXC523899 PGY523898:PGY523899 PQU523898:PQU523899 QAQ523898:QAQ523899 QKM523898:QKM523899 QUI523898:QUI523899 REE523898:REE523899 ROA523898:ROA523899 RXW523898:RXW523899 SHS523898:SHS523899 SRO523898:SRO523899 TBK523898:TBK523899 TLG523898:TLG523899 TVC523898:TVC523899 UEY523898:UEY523899 UOU523898:UOU523899 UYQ523898:UYQ523899 VIM523898:VIM523899 VSI523898:VSI523899 WCE523898:WCE523899 WMA523898:WMA523899 WVW523898:WVW523899 O589434:O589435 JK589434:JK589435 TG589434:TG589435 ADC589434:ADC589435 AMY589434:AMY589435 AWU589434:AWU589435 BGQ589434:BGQ589435 BQM589434:BQM589435 CAI589434:CAI589435 CKE589434:CKE589435 CUA589434:CUA589435 DDW589434:DDW589435 DNS589434:DNS589435 DXO589434:DXO589435 EHK589434:EHK589435 ERG589434:ERG589435 FBC589434:FBC589435 FKY589434:FKY589435 FUU589434:FUU589435 GEQ589434:GEQ589435 GOM589434:GOM589435 GYI589434:GYI589435 HIE589434:HIE589435 HSA589434:HSA589435 IBW589434:IBW589435 ILS589434:ILS589435 IVO589434:IVO589435 JFK589434:JFK589435 JPG589434:JPG589435 JZC589434:JZC589435 KIY589434:KIY589435 KSU589434:KSU589435 LCQ589434:LCQ589435 LMM589434:LMM589435 LWI589434:LWI589435 MGE589434:MGE589435 MQA589434:MQA589435 MZW589434:MZW589435 NJS589434:NJS589435 NTO589434:NTO589435 ODK589434:ODK589435 ONG589434:ONG589435 OXC589434:OXC589435 PGY589434:PGY589435 PQU589434:PQU589435 QAQ589434:QAQ589435 QKM589434:QKM589435 QUI589434:QUI589435 REE589434:REE589435 ROA589434:ROA589435 RXW589434:RXW589435 SHS589434:SHS589435 SRO589434:SRO589435 TBK589434:TBK589435 TLG589434:TLG589435 TVC589434:TVC589435 UEY589434:UEY589435 UOU589434:UOU589435 UYQ589434:UYQ589435 VIM589434:VIM589435 VSI589434:VSI589435 WCE589434:WCE589435 WMA589434:WMA589435 WVW589434:WVW589435 O654970:O654971 JK654970:JK654971 TG654970:TG654971 ADC654970:ADC654971 AMY654970:AMY654971 AWU654970:AWU654971 BGQ654970:BGQ654971 BQM654970:BQM654971 CAI654970:CAI654971 CKE654970:CKE654971 CUA654970:CUA654971 DDW654970:DDW654971 DNS654970:DNS654971 DXO654970:DXO654971 EHK654970:EHK654971 ERG654970:ERG654971 FBC654970:FBC654971 FKY654970:FKY654971 FUU654970:FUU654971 GEQ654970:GEQ654971 GOM654970:GOM654971 GYI654970:GYI654971 HIE654970:HIE654971 HSA654970:HSA654971 IBW654970:IBW654971 ILS654970:ILS654971 IVO654970:IVO654971 JFK654970:JFK654971 JPG654970:JPG654971 JZC654970:JZC654971 KIY654970:KIY654971 KSU654970:KSU654971 LCQ654970:LCQ654971 LMM654970:LMM654971 LWI654970:LWI654971 MGE654970:MGE654971 MQA654970:MQA654971 MZW654970:MZW654971 NJS654970:NJS654971 NTO654970:NTO654971 ODK654970:ODK654971 ONG654970:ONG654971 OXC654970:OXC654971 PGY654970:PGY654971 PQU654970:PQU654971 QAQ654970:QAQ654971 QKM654970:QKM654971 QUI654970:QUI654971 REE654970:REE654971 ROA654970:ROA654971 RXW654970:RXW654971 SHS654970:SHS654971 SRO654970:SRO654971 TBK654970:TBK654971 TLG654970:TLG654971 TVC654970:TVC654971 UEY654970:UEY654971 UOU654970:UOU654971 UYQ654970:UYQ654971 VIM654970:VIM654971 VSI654970:VSI654971 WCE654970:WCE654971 WMA654970:WMA654971 WVW654970:WVW654971 O720506:O720507 JK720506:JK720507 TG720506:TG720507 ADC720506:ADC720507 AMY720506:AMY720507 AWU720506:AWU720507 BGQ720506:BGQ720507 BQM720506:BQM720507 CAI720506:CAI720507 CKE720506:CKE720507 CUA720506:CUA720507 DDW720506:DDW720507 DNS720506:DNS720507 DXO720506:DXO720507 EHK720506:EHK720507 ERG720506:ERG720507 FBC720506:FBC720507 FKY720506:FKY720507 FUU720506:FUU720507 GEQ720506:GEQ720507 GOM720506:GOM720507 GYI720506:GYI720507 HIE720506:HIE720507 HSA720506:HSA720507 IBW720506:IBW720507 ILS720506:ILS720507 IVO720506:IVO720507 JFK720506:JFK720507 JPG720506:JPG720507 JZC720506:JZC720507 KIY720506:KIY720507 KSU720506:KSU720507 LCQ720506:LCQ720507 LMM720506:LMM720507 LWI720506:LWI720507 MGE720506:MGE720507 MQA720506:MQA720507 MZW720506:MZW720507 NJS720506:NJS720507 NTO720506:NTO720507 ODK720506:ODK720507 ONG720506:ONG720507 OXC720506:OXC720507 PGY720506:PGY720507 PQU720506:PQU720507 QAQ720506:QAQ720507 QKM720506:QKM720507 QUI720506:QUI720507 REE720506:REE720507 ROA720506:ROA720507 RXW720506:RXW720507 SHS720506:SHS720507 SRO720506:SRO720507 TBK720506:TBK720507 TLG720506:TLG720507 TVC720506:TVC720507 UEY720506:UEY720507 UOU720506:UOU720507 UYQ720506:UYQ720507 VIM720506:VIM720507 VSI720506:VSI720507 WCE720506:WCE720507 WMA720506:WMA720507 WVW720506:WVW720507 O786042:O786043 JK786042:JK786043 TG786042:TG786043 ADC786042:ADC786043 AMY786042:AMY786043 AWU786042:AWU786043 BGQ786042:BGQ786043 BQM786042:BQM786043 CAI786042:CAI786043 CKE786042:CKE786043 CUA786042:CUA786043 DDW786042:DDW786043 DNS786042:DNS786043 DXO786042:DXO786043 EHK786042:EHK786043 ERG786042:ERG786043 FBC786042:FBC786043 FKY786042:FKY786043 FUU786042:FUU786043 GEQ786042:GEQ786043 GOM786042:GOM786043 GYI786042:GYI786043 HIE786042:HIE786043 HSA786042:HSA786043 IBW786042:IBW786043 ILS786042:ILS786043 IVO786042:IVO786043 JFK786042:JFK786043 JPG786042:JPG786043 JZC786042:JZC786043 KIY786042:KIY786043 KSU786042:KSU786043 LCQ786042:LCQ786043 LMM786042:LMM786043 LWI786042:LWI786043 MGE786042:MGE786043 MQA786042:MQA786043 MZW786042:MZW786043 NJS786042:NJS786043 NTO786042:NTO786043 ODK786042:ODK786043 ONG786042:ONG786043 OXC786042:OXC786043 PGY786042:PGY786043 PQU786042:PQU786043 QAQ786042:QAQ786043 QKM786042:QKM786043 QUI786042:QUI786043 REE786042:REE786043 ROA786042:ROA786043 RXW786042:RXW786043 SHS786042:SHS786043 SRO786042:SRO786043 TBK786042:TBK786043 TLG786042:TLG786043 TVC786042:TVC786043 UEY786042:UEY786043 UOU786042:UOU786043 UYQ786042:UYQ786043 VIM786042:VIM786043 VSI786042:VSI786043 WCE786042:WCE786043 WMA786042:WMA786043 WVW786042:WVW786043 O851578:O851579 JK851578:JK851579 TG851578:TG851579 ADC851578:ADC851579 AMY851578:AMY851579 AWU851578:AWU851579 BGQ851578:BGQ851579 BQM851578:BQM851579 CAI851578:CAI851579 CKE851578:CKE851579 CUA851578:CUA851579 DDW851578:DDW851579 DNS851578:DNS851579 DXO851578:DXO851579 EHK851578:EHK851579 ERG851578:ERG851579 FBC851578:FBC851579 FKY851578:FKY851579 FUU851578:FUU851579 GEQ851578:GEQ851579 GOM851578:GOM851579 GYI851578:GYI851579 HIE851578:HIE851579 HSA851578:HSA851579 IBW851578:IBW851579 ILS851578:ILS851579 IVO851578:IVO851579 JFK851578:JFK851579 JPG851578:JPG851579 JZC851578:JZC851579 KIY851578:KIY851579 KSU851578:KSU851579 LCQ851578:LCQ851579 LMM851578:LMM851579 LWI851578:LWI851579 MGE851578:MGE851579 MQA851578:MQA851579 MZW851578:MZW851579 NJS851578:NJS851579 NTO851578:NTO851579 ODK851578:ODK851579 ONG851578:ONG851579 OXC851578:OXC851579 PGY851578:PGY851579 PQU851578:PQU851579 QAQ851578:QAQ851579 QKM851578:QKM851579 QUI851578:QUI851579 REE851578:REE851579 ROA851578:ROA851579 RXW851578:RXW851579 SHS851578:SHS851579 SRO851578:SRO851579 TBK851578:TBK851579 TLG851578:TLG851579 TVC851578:TVC851579 UEY851578:UEY851579 UOU851578:UOU851579 UYQ851578:UYQ851579 VIM851578:VIM851579 VSI851578:VSI851579 WCE851578:WCE851579 WMA851578:WMA851579 WVW851578:WVW851579 O917114:O917115 JK917114:JK917115 TG917114:TG917115 ADC917114:ADC917115 AMY917114:AMY917115 AWU917114:AWU917115 BGQ917114:BGQ917115 BQM917114:BQM917115 CAI917114:CAI917115 CKE917114:CKE917115 CUA917114:CUA917115 DDW917114:DDW917115 DNS917114:DNS917115 DXO917114:DXO917115 EHK917114:EHK917115 ERG917114:ERG917115 FBC917114:FBC917115 FKY917114:FKY917115 FUU917114:FUU917115 GEQ917114:GEQ917115 GOM917114:GOM917115 GYI917114:GYI917115 HIE917114:HIE917115 HSA917114:HSA917115 IBW917114:IBW917115 ILS917114:ILS917115 IVO917114:IVO917115 JFK917114:JFK917115 JPG917114:JPG917115 JZC917114:JZC917115 KIY917114:KIY917115 KSU917114:KSU917115 LCQ917114:LCQ917115 LMM917114:LMM917115 LWI917114:LWI917115 MGE917114:MGE917115 MQA917114:MQA917115 MZW917114:MZW917115 NJS917114:NJS917115 NTO917114:NTO917115 ODK917114:ODK917115 ONG917114:ONG917115 OXC917114:OXC917115 PGY917114:PGY917115 PQU917114:PQU917115 QAQ917114:QAQ917115 QKM917114:QKM917115 QUI917114:QUI917115 REE917114:REE917115 ROA917114:ROA917115 RXW917114:RXW917115 SHS917114:SHS917115 SRO917114:SRO917115 TBK917114:TBK917115 TLG917114:TLG917115 TVC917114:TVC917115 UEY917114:UEY917115 UOU917114:UOU917115 UYQ917114:UYQ917115 VIM917114:VIM917115 VSI917114:VSI917115 WCE917114:WCE917115 WMA917114:WMA917115 WVW917114:WVW917115 O3:O4 JK3:JK4 TG3:TG4 ADC3:ADC4 AMY3:AMY4 AWU3:AWU4 BGQ3:BGQ4 BQM3:BQM4 CAI3:CAI4 CKE3:CKE4 CUA3:CUA4 DDW3:DDW4 DNS3:DNS4 DXO3:DXO4 EHK3:EHK4 ERG3:ERG4 FBC3:FBC4 FKY3:FKY4 FUU3:FUU4 GEQ3:GEQ4 GOM3:GOM4 GYI3:GYI4 HIE3:HIE4 HSA3:HSA4 IBW3:IBW4 ILS3:ILS4 IVO3:IVO4 JFK3:JFK4 JPG3:JPG4 JZC3:JZC4 KIY3:KIY4 KSU3:KSU4 LCQ3:LCQ4 LMM3:LMM4 LWI3:LWI4 MGE3:MGE4 MQA3:MQA4 MZW3:MZW4 NJS3:NJS4 NTO3:NTO4 ODK3:ODK4 ONG3:ONG4 OXC3:OXC4 PGY3:PGY4 PQU3:PQU4 QAQ3:QAQ4 QKM3:QKM4 QUI3:QUI4 REE3:REE4 ROA3:ROA4 RXW3:RXW4 SHS3:SHS4 SRO3:SRO4 TBK3:TBK4 TLG3:TLG4 TVC3:TVC4 UEY3:UEY4 UOU3:UOU4 UYQ3:UYQ4 VIM3:VIM4 VSI3:VSI4 WCE3:WCE4 WMA3:WMA4 WVW3:WVW4" xr:uid="{00000000-0002-0000-0900-000001000000}"/>
    <dataValidation allowBlank="1" showInputMessage="1" showErrorMessage="1" promptTitle="Future Warehouse Stock Date" prompt="Optionally input a date if you have stock arriving at this warehouse soon and wish to report it to your Retailer." sqref="AS720506:AS720507 KO720506:KO720507 UK720506:UK720507 AEG720506:AEG720507 AOC720506:AOC720507 AXY720506:AXY720507 BHU720506:BHU720507 BRQ720506:BRQ720507 CBM720506:CBM720507 CLI720506:CLI720507 CVE720506:CVE720507 DFA720506:DFA720507 DOW720506:DOW720507 DYS720506:DYS720507 EIO720506:EIO720507 ESK720506:ESK720507 FCG720506:FCG720507 FMC720506:FMC720507 FVY720506:FVY720507 GFU720506:GFU720507 GPQ720506:GPQ720507 GZM720506:GZM720507 HJI720506:HJI720507 HTE720506:HTE720507 IDA720506:IDA720507 IMW720506:IMW720507 IWS720506:IWS720507 JGO720506:JGO720507 JQK720506:JQK720507 KAG720506:KAG720507 KKC720506:KKC720507 KTY720506:KTY720507 LDU720506:LDU720507 LNQ720506:LNQ720507 LXM720506:LXM720507 MHI720506:MHI720507 MRE720506:MRE720507 NBA720506:NBA720507 NKW720506:NKW720507 NUS720506:NUS720507 OEO720506:OEO720507 OOK720506:OOK720507 OYG720506:OYG720507 PIC720506:PIC720507 PRY720506:PRY720507 QBU720506:QBU720507 QLQ720506:QLQ720507 QVM720506:QVM720507 RFI720506:RFI720507 RPE720506:RPE720507 RZA720506:RZA720507 SIW720506:SIW720507 SSS720506:SSS720507 TCO720506:TCO720507 TMK720506:TMK720507 TWG720506:TWG720507 UGC720506:UGC720507 UPY720506:UPY720507 UZU720506:UZU720507 VJQ720506:VJQ720507 VTM720506:VTM720507 WDI720506:WDI720507 WNE720506:WNE720507 WXA720506:WXA720507 AK65146:AK65147 KG65146:KG65147 UC65146:UC65147 ADY65146:ADY65147 ANU65146:ANU65147 AXQ65146:AXQ65147 BHM65146:BHM65147 BRI65146:BRI65147 CBE65146:CBE65147 CLA65146:CLA65147 CUW65146:CUW65147 DES65146:DES65147 DOO65146:DOO65147 DYK65146:DYK65147 EIG65146:EIG65147 ESC65146:ESC65147 FBY65146:FBY65147 FLU65146:FLU65147 FVQ65146:FVQ65147 GFM65146:GFM65147 GPI65146:GPI65147 GZE65146:GZE65147 HJA65146:HJA65147 HSW65146:HSW65147 ICS65146:ICS65147 IMO65146:IMO65147 IWK65146:IWK65147 JGG65146:JGG65147 JQC65146:JQC65147 JZY65146:JZY65147 KJU65146:KJU65147 KTQ65146:KTQ65147 LDM65146:LDM65147 LNI65146:LNI65147 LXE65146:LXE65147 MHA65146:MHA65147 MQW65146:MQW65147 NAS65146:NAS65147 NKO65146:NKO65147 NUK65146:NUK65147 OEG65146:OEG65147 OOC65146:OOC65147 OXY65146:OXY65147 PHU65146:PHU65147 PRQ65146:PRQ65147 QBM65146:QBM65147 QLI65146:QLI65147 QVE65146:QVE65147 RFA65146:RFA65147 ROW65146:ROW65147 RYS65146:RYS65147 SIO65146:SIO65147 SSK65146:SSK65147 TCG65146:TCG65147 TMC65146:TMC65147 TVY65146:TVY65147 UFU65146:UFU65147 UPQ65146:UPQ65147 UZM65146:UZM65147 VJI65146:VJI65147 VTE65146:VTE65147 WDA65146:WDA65147 WMW65146:WMW65147 WWS65146:WWS65147 AK130682:AK130683 KG130682:KG130683 UC130682:UC130683 ADY130682:ADY130683 ANU130682:ANU130683 AXQ130682:AXQ130683 BHM130682:BHM130683 BRI130682:BRI130683 CBE130682:CBE130683 CLA130682:CLA130683 CUW130682:CUW130683 DES130682:DES130683 DOO130682:DOO130683 DYK130682:DYK130683 EIG130682:EIG130683 ESC130682:ESC130683 FBY130682:FBY130683 FLU130682:FLU130683 FVQ130682:FVQ130683 GFM130682:GFM130683 GPI130682:GPI130683 GZE130682:GZE130683 HJA130682:HJA130683 HSW130682:HSW130683 ICS130682:ICS130683 IMO130682:IMO130683 IWK130682:IWK130683 JGG130682:JGG130683 JQC130682:JQC130683 JZY130682:JZY130683 KJU130682:KJU130683 KTQ130682:KTQ130683 LDM130682:LDM130683 LNI130682:LNI130683 LXE130682:LXE130683 MHA130682:MHA130683 MQW130682:MQW130683 NAS130682:NAS130683 NKO130682:NKO130683 NUK130682:NUK130683 OEG130682:OEG130683 OOC130682:OOC130683 OXY130682:OXY130683 PHU130682:PHU130683 PRQ130682:PRQ130683 QBM130682:QBM130683 QLI130682:QLI130683 QVE130682:QVE130683 RFA130682:RFA130683 ROW130682:ROW130683 RYS130682:RYS130683 SIO130682:SIO130683 SSK130682:SSK130683 TCG130682:TCG130683 TMC130682:TMC130683 TVY130682:TVY130683 UFU130682:UFU130683 UPQ130682:UPQ130683 UZM130682:UZM130683 VJI130682:VJI130683 VTE130682:VTE130683 WDA130682:WDA130683 WMW130682:WMW130683 WWS130682:WWS130683 AK196218:AK196219 KG196218:KG196219 UC196218:UC196219 ADY196218:ADY196219 ANU196218:ANU196219 AXQ196218:AXQ196219 BHM196218:BHM196219 BRI196218:BRI196219 CBE196218:CBE196219 CLA196218:CLA196219 CUW196218:CUW196219 DES196218:DES196219 DOO196218:DOO196219 DYK196218:DYK196219 EIG196218:EIG196219 ESC196218:ESC196219 FBY196218:FBY196219 FLU196218:FLU196219 FVQ196218:FVQ196219 GFM196218:GFM196219 GPI196218:GPI196219 GZE196218:GZE196219 HJA196218:HJA196219 HSW196218:HSW196219 ICS196218:ICS196219 IMO196218:IMO196219 IWK196218:IWK196219 JGG196218:JGG196219 JQC196218:JQC196219 JZY196218:JZY196219 KJU196218:KJU196219 KTQ196218:KTQ196219 LDM196218:LDM196219 LNI196218:LNI196219 LXE196218:LXE196219 MHA196218:MHA196219 MQW196218:MQW196219 NAS196218:NAS196219 NKO196218:NKO196219 NUK196218:NUK196219 OEG196218:OEG196219 OOC196218:OOC196219 OXY196218:OXY196219 PHU196218:PHU196219 PRQ196218:PRQ196219 QBM196218:QBM196219 QLI196218:QLI196219 QVE196218:QVE196219 RFA196218:RFA196219 ROW196218:ROW196219 RYS196218:RYS196219 SIO196218:SIO196219 SSK196218:SSK196219 TCG196218:TCG196219 TMC196218:TMC196219 TVY196218:TVY196219 UFU196218:UFU196219 UPQ196218:UPQ196219 UZM196218:UZM196219 VJI196218:VJI196219 VTE196218:VTE196219 WDA196218:WDA196219 WMW196218:WMW196219 WWS196218:WWS196219 AK261754:AK261755 KG261754:KG261755 UC261754:UC261755 ADY261754:ADY261755 ANU261754:ANU261755 AXQ261754:AXQ261755 BHM261754:BHM261755 BRI261754:BRI261755 CBE261754:CBE261755 CLA261754:CLA261755 CUW261754:CUW261755 DES261754:DES261755 DOO261754:DOO261755 DYK261754:DYK261755 EIG261754:EIG261755 ESC261754:ESC261755 FBY261754:FBY261755 FLU261754:FLU261755 FVQ261754:FVQ261755 GFM261754:GFM261755 GPI261754:GPI261755 GZE261754:GZE261755 HJA261754:HJA261755 HSW261754:HSW261755 ICS261754:ICS261755 IMO261754:IMO261755 IWK261754:IWK261755 JGG261754:JGG261755 JQC261754:JQC261755 JZY261754:JZY261755 KJU261754:KJU261755 KTQ261754:KTQ261755 LDM261754:LDM261755 LNI261754:LNI261755 LXE261754:LXE261755 MHA261754:MHA261755 MQW261754:MQW261755 NAS261754:NAS261755 NKO261754:NKO261755 NUK261754:NUK261755 OEG261754:OEG261755 OOC261754:OOC261755 OXY261754:OXY261755 PHU261754:PHU261755 PRQ261754:PRQ261755 QBM261754:QBM261755 QLI261754:QLI261755 QVE261754:QVE261755 RFA261754:RFA261755 ROW261754:ROW261755 RYS261754:RYS261755 SIO261754:SIO261755 SSK261754:SSK261755 TCG261754:TCG261755 TMC261754:TMC261755 TVY261754:TVY261755 UFU261754:UFU261755 UPQ261754:UPQ261755 UZM261754:UZM261755 VJI261754:VJI261755 VTE261754:VTE261755 WDA261754:WDA261755 WMW261754:WMW261755 WWS261754:WWS261755 AK327290:AK327291 KG327290:KG327291 UC327290:UC327291 ADY327290:ADY327291 ANU327290:ANU327291 AXQ327290:AXQ327291 BHM327290:BHM327291 BRI327290:BRI327291 CBE327290:CBE327291 CLA327290:CLA327291 CUW327290:CUW327291 DES327290:DES327291 DOO327290:DOO327291 DYK327290:DYK327291 EIG327290:EIG327291 ESC327290:ESC327291 FBY327290:FBY327291 FLU327290:FLU327291 FVQ327290:FVQ327291 GFM327290:GFM327291 GPI327290:GPI327291 GZE327290:GZE327291 HJA327290:HJA327291 HSW327290:HSW327291 ICS327290:ICS327291 IMO327290:IMO327291 IWK327290:IWK327291 JGG327290:JGG327291 JQC327290:JQC327291 JZY327290:JZY327291 KJU327290:KJU327291 KTQ327290:KTQ327291 LDM327290:LDM327291 LNI327290:LNI327291 LXE327290:LXE327291 MHA327290:MHA327291 MQW327290:MQW327291 NAS327290:NAS327291 NKO327290:NKO327291 NUK327290:NUK327291 OEG327290:OEG327291 OOC327290:OOC327291 OXY327290:OXY327291 PHU327290:PHU327291 PRQ327290:PRQ327291 QBM327290:QBM327291 QLI327290:QLI327291 QVE327290:QVE327291 RFA327290:RFA327291 ROW327290:ROW327291 RYS327290:RYS327291 SIO327290:SIO327291 SSK327290:SSK327291 TCG327290:TCG327291 TMC327290:TMC327291 TVY327290:TVY327291 UFU327290:UFU327291 UPQ327290:UPQ327291 UZM327290:UZM327291 VJI327290:VJI327291 VTE327290:VTE327291 WDA327290:WDA327291 WMW327290:WMW327291 WWS327290:WWS327291 AK392826:AK392827 KG392826:KG392827 UC392826:UC392827 ADY392826:ADY392827 ANU392826:ANU392827 AXQ392826:AXQ392827 BHM392826:BHM392827 BRI392826:BRI392827 CBE392826:CBE392827 CLA392826:CLA392827 CUW392826:CUW392827 DES392826:DES392827 DOO392826:DOO392827 DYK392826:DYK392827 EIG392826:EIG392827 ESC392826:ESC392827 FBY392826:FBY392827 FLU392826:FLU392827 FVQ392826:FVQ392827 GFM392826:GFM392827 GPI392826:GPI392827 GZE392826:GZE392827 HJA392826:HJA392827 HSW392826:HSW392827 ICS392826:ICS392827 IMO392826:IMO392827 IWK392826:IWK392827 JGG392826:JGG392827 JQC392826:JQC392827 JZY392826:JZY392827 KJU392826:KJU392827 KTQ392826:KTQ392827 LDM392826:LDM392827 LNI392826:LNI392827 LXE392826:LXE392827 MHA392826:MHA392827 MQW392826:MQW392827 NAS392826:NAS392827 NKO392826:NKO392827 NUK392826:NUK392827 OEG392826:OEG392827 OOC392826:OOC392827 OXY392826:OXY392827 PHU392826:PHU392827 PRQ392826:PRQ392827 QBM392826:QBM392827 QLI392826:QLI392827 QVE392826:QVE392827 RFA392826:RFA392827 ROW392826:ROW392827 RYS392826:RYS392827 SIO392826:SIO392827 SSK392826:SSK392827 TCG392826:TCG392827 TMC392826:TMC392827 TVY392826:TVY392827 UFU392826:UFU392827 UPQ392826:UPQ392827 UZM392826:UZM392827 VJI392826:VJI392827 VTE392826:VTE392827 WDA392826:WDA392827 WMW392826:WMW392827 WWS392826:WWS392827 AK458362:AK458363 KG458362:KG458363 UC458362:UC458363 ADY458362:ADY458363 ANU458362:ANU458363 AXQ458362:AXQ458363 BHM458362:BHM458363 BRI458362:BRI458363 CBE458362:CBE458363 CLA458362:CLA458363 CUW458362:CUW458363 DES458362:DES458363 DOO458362:DOO458363 DYK458362:DYK458363 EIG458362:EIG458363 ESC458362:ESC458363 FBY458362:FBY458363 FLU458362:FLU458363 FVQ458362:FVQ458363 GFM458362:GFM458363 GPI458362:GPI458363 GZE458362:GZE458363 HJA458362:HJA458363 HSW458362:HSW458363 ICS458362:ICS458363 IMO458362:IMO458363 IWK458362:IWK458363 JGG458362:JGG458363 JQC458362:JQC458363 JZY458362:JZY458363 KJU458362:KJU458363 KTQ458362:KTQ458363 LDM458362:LDM458363 LNI458362:LNI458363 LXE458362:LXE458363 MHA458362:MHA458363 MQW458362:MQW458363 NAS458362:NAS458363 NKO458362:NKO458363 NUK458362:NUK458363 OEG458362:OEG458363 OOC458362:OOC458363 OXY458362:OXY458363 PHU458362:PHU458363 PRQ458362:PRQ458363 QBM458362:QBM458363 QLI458362:QLI458363 QVE458362:QVE458363 RFA458362:RFA458363 ROW458362:ROW458363 RYS458362:RYS458363 SIO458362:SIO458363 SSK458362:SSK458363 TCG458362:TCG458363 TMC458362:TMC458363 TVY458362:TVY458363 UFU458362:UFU458363 UPQ458362:UPQ458363 UZM458362:UZM458363 VJI458362:VJI458363 VTE458362:VTE458363 WDA458362:WDA458363 WMW458362:WMW458363 WWS458362:WWS458363 AK523898:AK523899 KG523898:KG523899 UC523898:UC523899 ADY523898:ADY523899 ANU523898:ANU523899 AXQ523898:AXQ523899 BHM523898:BHM523899 BRI523898:BRI523899 CBE523898:CBE523899 CLA523898:CLA523899 CUW523898:CUW523899 DES523898:DES523899 DOO523898:DOO523899 DYK523898:DYK523899 EIG523898:EIG523899 ESC523898:ESC523899 FBY523898:FBY523899 FLU523898:FLU523899 FVQ523898:FVQ523899 GFM523898:GFM523899 GPI523898:GPI523899 GZE523898:GZE523899 HJA523898:HJA523899 HSW523898:HSW523899 ICS523898:ICS523899 IMO523898:IMO523899 IWK523898:IWK523899 JGG523898:JGG523899 JQC523898:JQC523899 JZY523898:JZY523899 KJU523898:KJU523899 KTQ523898:KTQ523899 LDM523898:LDM523899 LNI523898:LNI523899 LXE523898:LXE523899 MHA523898:MHA523899 MQW523898:MQW523899 NAS523898:NAS523899 NKO523898:NKO523899 NUK523898:NUK523899 OEG523898:OEG523899 OOC523898:OOC523899 OXY523898:OXY523899 PHU523898:PHU523899 PRQ523898:PRQ523899 QBM523898:QBM523899 QLI523898:QLI523899 QVE523898:QVE523899 RFA523898:RFA523899 ROW523898:ROW523899 RYS523898:RYS523899 SIO523898:SIO523899 SSK523898:SSK523899 TCG523898:TCG523899 TMC523898:TMC523899 TVY523898:TVY523899 UFU523898:UFU523899 UPQ523898:UPQ523899 UZM523898:UZM523899 VJI523898:VJI523899 VTE523898:VTE523899 WDA523898:WDA523899 WMW523898:WMW523899 WWS523898:WWS523899 AK589434:AK589435 KG589434:KG589435 UC589434:UC589435 ADY589434:ADY589435 ANU589434:ANU589435 AXQ589434:AXQ589435 BHM589434:BHM589435 BRI589434:BRI589435 CBE589434:CBE589435 CLA589434:CLA589435 CUW589434:CUW589435 DES589434:DES589435 DOO589434:DOO589435 DYK589434:DYK589435 EIG589434:EIG589435 ESC589434:ESC589435 FBY589434:FBY589435 FLU589434:FLU589435 FVQ589434:FVQ589435 GFM589434:GFM589435 GPI589434:GPI589435 GZE589434:GZE589435 HJA589434:HJA589435 HSW589434:HSW589435 ICS589434:ICS589435 IMO589434:IMO589435 IWK589434:IWK589435 JGG589434:JGG589435 JQC589434:JQC589435 JZY589434:JZY589435 KJU589434:KJU589435 KTQ589434:KTQ589435 LDM589434:LDM589435 LNI589434:LNI589435 LXE589434:LXE589435 MHA589434:MHA589435 MQW589434:MQW589435 NAS589434:NAS589435 NKO589434:NKO589435 NUK589434:NUK589435 OEG589434:OEG589435 OOC589434:OOC589435 OXY589434:OXY589435 PHU589434:PHU589435 PRQ589434:PRQ589435 QBM589434:QBM589435 QLI589434:QLI589435 QVE589434:QVE589435 RFA589434:RFA589435 ROW589434:ROW589435 RYS589434:RYS589435 SIO589434:SIO589435 SSK589434:SSK589435 TCG589434:TCG589435 TMC589434:TMC589435 TVY589434:TVY589435 UFU589434:UFU589435 UPQ589434:UPQ589435 UZM589434:UZM589435 VJI589434:VJI589435 VTE589434:VTE589435 WDA589434:WDA589435 WMW589434:WMW589435 WWS589434:WWS589435 AK654970:AK654971 KG654970:KG654971 UC654970:UC654971 ADY654970:ADY654971 ANU654970:ANU654971 AXQ654970:AXQ654971 BHM654970:BHM654971 BRI654970:BRI654971 CBE654970:CBE654971 CLA654970:CLA654971 CUW654970:CUW654971 DES654970:DES654971 DOO654970:DOO654971 DYK654970:DYK654971 EIG654970:EIG654971 ESC654970:ESC654971 FBY654970:FBY654971 FLU654970:FLU654971 FVQ654970:FVQ654971 GFM654970:GFM654971 GPI654970:GPI654971 GZE654970:GZE654971 HJA654970:HJA654971 HSW654970:HSW654971 ICS654970:ICS654971 IMO654970:IMO654971 IWK654970:IWK654971 JGG654970:JGG654971 JQC654970:JQC654971 JZY654970:JZY654971 KJU654970:KJU654971 KTQ654970:KTQ654971 LDM654970:LDM654971 LNI654970:LNI654971 LXE654970:LXE654971 MHA654970:MHA654971 MQW654970:MQW654971 NAS654970:NAS654971 NKO654970:NKO654971 NUK654970:NUK654971 OEG654970:OEG654971 OOC654970:OOC654971 OXY654970:OXY654971 PHU654970:PHU654971 PRQ654970:PRQ654971 QBM654970:QBM654971 QLI654970:QLI654971 QVE654970:QVE654971 RFA654970:RFA654971 ROW654970:ROW654971 RYS654970:RYS654971 SIO654970:SIO654971 SSK654970:SSK654971 TCG654970:TCG654971 TMC654970:TMC654971 TVY654970:TVY654971 UFU654970:UFU654971 UPQ654970:UPQ654971 UZM654970:UZM654971 VJI654970:VJI654971 VTE654970:VTE654971 WDA654970:WDA654971 WMW654970:WMW654971 WWS654970:WWS654971 AK720506:AK720507 KG720506:KG720507 UC720506:UC720507 ADY720506:ADY720507 ANU720506:ANU720507 AXQ720506:AXQ720507 BHM720506:BHM720507 BRI720506:BRI720507 CBE720506:CBE720507 CLA720506:CLA720507 CUW720506:CUW720507 DES720506:DES720507 DOO720506:DOO720507 DYK720506:DYK720507 EIG720506:EIG720507 ESC720506:ESC720507 FBY720506:FBY720507 FLU720506:FLU720507 FVQ720506:FVQ720507 GFM720506:GFM720507 GPI720506:GPI720507 GZE720506:GZE720507 HJA720506:HJA720507 HSW720506:HSW720507 ICS720506:ICS720507 IMO720506:IMO720507 IWK720506:IWK720507 JGG720506:JGG720507 JQC720506:JQC720507 JZY720506:JZY720507 KJU720506:KJU720507 KTQ720506:KTQ720507 LDM720506:LDM720507 LNI720506:LNI720507 LXE720506:LXE720507 MHA720506:MHA720507 MQW720506:MQW720507 NAS720506:NAS720507 NKO720506:NKO720507 NUK720506:NUK720507 OEG720506:OEG720507 OOC720506:OOC720507 OXY720506:OXY720507 PHU720506:PHU720507 PRQ720506:PRQ720507 QBM720506:QBM720507 QLI720506:QLI720507 QVE720506:QVE720507 RFA720506:RFA720507 ROW720506:ROW720507 RYS720506:RYS720507 SIO720506:SIO720507 SSK720506:SSK720507 TCG720506:TCG720507 TMC720506:TMC720507 TVY720506:TVY720507 UFU720506:UFU720507 UPQ720506:UPQ720507 UZM720506:UZM720507 VJI720506:VJI720507 VTE720506:VTE720507 WDA720506:WDA720507 WMW720506:WMW720507 WWS720506:WWS720507 AK786042:AK786043 KG786042:KG786043 UC786042:UC786043 ADY786042:ADY786043 ANU786042:ANU786043 AXQ786042:AXQ786043 BHM786042:BHM786043 BRI786042:BRI786043 CBE786042:CBE786043 CLA786042:CLA786043 CUW786042:CUW786043 DES786042:DES786043 DOO786042:DOO786043 DYK786042:DYK786043 EIG786042:EIG786043 ESC786042:ESC786043 FBY786042:FBY786043 FLU786042:FLU786043 FVQ786042:FVQ786043 GFM786042:GFM786043 GPI786042:GPI786043 GZE786042:GZE786043 HJA786042:HJA786043 HSW786042:HSW786043 ICS786042:ICS786043 IMO786042:IMO786043 IWK786042:IWK786043 JGG786042:JGG786043 JQC786042:JQC786043 JZY786042:JZY786043 KJU786042:KJU786043 KTQ786042:KTQ786043 LDM786042:LDM786043 LNI786042:LNI786043 LXE786042:LXE786043 MHA786042:MHA786043 MQW786042:MQW786043 NAS786042:NAS786043 NKO786042:NKO786043 NUK786042:NUK786043 OEG786042:OEG786043 OOC786042:OOC786043 OXY786042:OXY786043 PHU786042:PHU786043 PRQ786042:PRQ786043 QBM786042:QBM786043 QLI786042:QLI786043 QVE786042:QVE786043 RFA786042:RFA786043 ROW786042:ROW786043 RYS786042:RYS786043 SIO786042:SIO786043 SSK786042:SSK786043 TCG786042:TCG786043 TMC786042:TMC786043 TVY786042:TVY786043 UFU786042:UFU786043 UPQ786042:UPQ786043 UZM786042:UZM786043 VJI786042:VJI786043 VTE786042:VTE786043 WDA786042:WDA786043 WMW786042:WMW786043 WWS786042:WWS786043 AK851578:AK851579 KG851578:KG851579 UC851578:UC851579 ADY851578:ADY851579 ANU851578:ANU851579 AXQ851578:AXQ851579 BHM851578:BHM851579 BRI851578:BRI851579 CBE851578:CBE851579 CLA851578:CLA851579 CUW851578:CUW851579 DES851578:DES851579 DOO851578:DOO851579 DYK851578:DYK851579 EIG851578:EIG851579 ESC851578:ESC851579 FBY851578:FBY851579 FLU851578:FLU851579 FVQ851578:FVQ851579 GFM851578:GFM851579 GPI851578:GPI851579 GZE851578:GZE851579 HJA851578:HJA851579 HSW851578:HSW851579 ICS851578:ICS851579 IMO851578:IMO851579 IWK851578:IWK851579 JGG851578:JGG851579 JQC851578:JQC851579 JZY851578:JZY851579 KJU851578:KJU851579 KTQ851578:KTQ851579 LDM851578:LDM851579 LNI851578:LNI851579 LXE851578:LXE851579 MHA851578:MHA851579 MQW851578:MQW851579 NAS851578:NAS851579 NKO851578:NKO851579 NUK851578:NUK851579 OEG851578:OEG851579 OOC851578:OOC851579 OXY851578:OXY851579 PHU851578:PHU851579 PRQ851578:PRQ851579 QBM851578:QBM851579 QLI851578:QLI851579 QVE851578:QVE851579 RFA851578:RFA851579 ROW851578:ROW851579 RYS851578:RYS851579 SIO851578:SIO851579 SSK851578:SSK851579 TCG851578:TCG851579 TMC851578:TMC851579 TVY851578:TVY851579 UFU851578:UFU851579 UPQ851578:UPQ851579 UZM851578:UZM851579 VJI851578:VJI851579 VTE851578:VTE851579 WDA851578:WDA851579 WMW851578:WMW851579 WWS851578:WWS851579 AK917114:AK917115 KG917114:KG917115 UC917114:UC917115 ADY917114:ADY917115 ANU917114:ANU917115 AXQ917114:AXQ917115 BHM917114:BHM917115 BRI917114:BRI917115 CBE917114:CBE917115 CLA917114:CLA917115 CUW917114:CUW917115 DES917114:DES917115 DOO917114:DOO917115 DYK917114:DYK917115 EIG917114:EIG917115 ESC917114:ESC917115 FBY917114:FBY917115 FLU917114:FLU917115 FVQ917114:FVQ917115 GFM917114:GFM917115 GPI917114:GPI917115 GZE917114:GZE917115 HJA917114:HJA917115 HSW917114:HSW917115 ICS917114:ICS917115 IMO917114:IMO917115 IWK917114:IWK917115 JGG917114:JGG917115 JQC917114:JQC917115 JZY917114:JZY917115 KJU917114:KJU917115 KTQ917114:KTQ917115 LDM917114:LDM917115 LNI917114:LNI917115 LXE917114:LXE917115 MHA917114:MHA917115 MQW917114:MQW917115 NAS917114:NAS917115 NKO917114:NKO917115 NUK917114:NUK917115 OEG917114:OEG917115 OOC917114:OOC917115 OXY917114:OXY917115 PHU917114:PHU917115 PRQ917114:PRQ917115 QBM917114:QBM917115 QLI917114:QLI917115 QVE917114:QVE917115 RFA917114:RFA917115 ROW917114:ROW917115 RYS917114:RYS917115 SIO917114:SIO917115 SSK917114:SSK917115 TCG917114:TCG917115 TMC917114:TMC917115 TVY917114:TVY917115 UFU917114:UFU917115 UPQ917114:UPQ917115 UZM917114:UZM917115 VJI917114:VJI917115 VTE917114:VTE917115 WDA917114:WDA917115 WMW917114:WMW917115 WWS917114:WWS917115 AK982650:AK982651 KG982650:KG982651 UC982650:UC982651 ADY982650:ADY982651 ANU982650:ANU982651 AXQ982650:AXQ982651 BHM982650:BHM982651 BRI982650:BRI982651 CBE982650:CBE982651 CLA982650:CLA982651 CUW982650:CUW982651 DES982650:DES982651 DOO982650:DOO982651 DYK982650:DYK982651 EIG982650:EIG982651 ESC982650:ESC982651 FBY982650:FBY982651 FLU982650:FLU982651 FVQ982650:FVQ982651 GFM982650:GFM982651 GPI982650:GPI982651 GZE982650:GZE982651 HJA982650:HJA982651 HSW982650:HSW982651 ICS982650:ICS982651 IMO982650:IMO982651 IWK982650:IWK982651 JGG982650:JGG982651 JQC982650:JQC982651 JZY982650:JZY982651 KJU982650:KJU982651 KTQ982650:KTQ982651 LDM982650:LDM982651 LNI982650:LNI982651 LXE982650:LXE982651 MHA982650:MHA982651 MQW982650:MQW982651 NAS982650:NAS982651 NKO982650:NKO982651 NUK982650:NUK982651 OEG982650:OEG982651 OOC982650:OOC982651 OXY982650:OXY982651 PHU982650:PHU982651 PRQ982650:PRQ982651 QBM982650:QBM982651 QLI982650:QLI982651 QVE982650:QVE982651 RFA982650:RFA982651 ROW982650:ROW982651 RYS982650:RYS982651 SIO982650:SIO982651 SSK982650:SSK982651 TCG982650:TCG982651 TMC982650:TMC982651 TVY982650:TVY982651 UFU982650:UFU982651 UPQ982650:UPQ982651 UZM982650:UZM982651 VJI982650:VJI982651 VTE982650:VTE982651 WDA982650:WDA982651 WMW982650:WMW982651 WWS982650:WWS982651 AS786042:AS786043 KO786042:KO786043 UK786042:UK786043 AEG786042:AEG786043 AOC786042:AOC786043 AXY786042:AXY786043 BHU786042:BHU786043 BRQ786042:BRQ786043 CBM786042:CBM786043 CLI786042:CLI786043 CVE786042:CVE786043 DFA786042:DFA786043 DOW786042:DOW786043 DYS786042:DYS786043 EIO786042:EIO786043 ESK786042:ESK786043 FCG786042:FCG786043 FMC786042:FMC786043 FVY786042:FVY786043 GFU786042:GFU786043 GPQ786042:GPQ786043 GZM786042:GZM786043 HJI786042:HJI786043 HTE786042:HTE786043 IDA786042:IDA786043 IMW786042:IMW786043 IWS786042:IWS786043 JGO786042:JGO786043 JQK786042:JQK786043 KAG786042:KAG786043 KKC786042:KKC786043 KTY786042:KTY786043 LDU786042:LDU786043 LNQ786042:LNQ786043 LXM786042:LXM786043 MHI786042:MHI786043 MRE786042:MRE786043 NBA786042:NBA786043 NKW786042:NKW786043 NUS786042:NUS786043 OEO786042:OEO786043 OOK786042:OOK786043 OYG786042:OYG786043 PIC786042:PIC786043 PRY786042:PRY786043 QBU786042:QBU786043 QLQ786042:QLQ786043 QVM786042:QVM786043 RFI786042:RFI786043 RPE786042:RPE786043 RZA786042:RZA786043 SIW786042:SIW786043 SSS786042:SSS786043 TCO786042:TCO786043 TMK786042:TMK786043 TWG786042:TWG786043 UGC786042:UGC786043 UPY786042:UPY786043 UZU786042:UZU786043 VJQ786042:VJQ786043 VTM786042:VTM786043 WDI786042:WDI786043 WNE786042:WNE786043 WXA786042:WXA786043 AO65146:AO65147 KK65146:KK65147 UG65146:UG65147 AEC65146:AEC65147 ANY65146:ANY65147 AXU65146:AXU65147 BHQ65146:BHQ65147 BRM65146:BRM65147 CBI65146:CBI65147 CLE65146:CLE65147 CVA65146:CVA65147 DEW65146:DEW65147 DOS65146:DOS65147 DYO65146:DYO65147 EIK65146:EIK65147 ESG65146:ESG65147 FCC65146:FCC65147 FLY65146:FLY65147 FVU65146:FVU65147 GFQ65146:GFQ65147 GPM65146:GPM65147 GZI65146:GZI65147 HJE65146:HJE65147 HTA65146:HTA65147 ICW65146:ICW65147 IMS65146:IMS65147 IWO65146:IWO65147 JGK65146:JGK65147 JQG65146:JQG65147 KAC65146:KAC65147 KJY65146:KJY65147 KTU65146:KTU65147 LDQ65146:LDQ65147 LNM65146:LNM65147 LXI65146:LXI65147 MHE65146:MHE65147 MRA65146:MRA65147 NAW65146:NAW65147 NKS65146:NKS65147 NUO65146:NUO65147 OEK65146:OEK65147 OOG65146:OOG65147 OYC65146:OYC65147 PHY65146:PHY65147 PRU65146:PRU65147 QBQ65146:QBQ65147 QLM65146:QLM65147 QVI65146:QVI65147 RFE65146:RFE65147 RPA65146:RPA65147 RYW65146:RYW65147 SIS65146:SIS65147 SSO65146:SSO65147 TCK65146:TCK65147 TMG65146:TMG65147 TWC65146:TWC65147 UFY65146:UFY65147 UPU65146:UPU65147 UZQ65146:UZQ65147 VJM65146:VJM65147 VTI65146:VTI65147 WDE65146:WDE65147 WNA65146:WNA65147 WWW65146:WWW65147 AO130682:AO130683 KK130682:KK130683 UG130682:UG130683 AEC130682:AEC130683 ANY130682:ANY130683 AXU130682:AXU130683 BHQ130682:BHQ130683 BRM130682:BRM130683 CBI130682:CBI130683 CLE130682:CLE130683 CVA130682:CVA130683 DEW130682:DEW130683 DOS130682:DOS130683 DYO130682:DYO130683 EIK130682:EIK130683 ESG130682:ESG130683 FCC130682:FCC130683 FLY130682:FLY130683 FVU130682:FVU130683 GFQ130682:GFQ130683 GPM130682:GPM130683 GZI130682:GZI130683 HJE130682:HJE130683 HTA130682:HTA130683 ICW130682:ICW130683 IMS130682:IMS130683 IWO130682:IWO130683 JGK130682:JGK130683 JQG130682:JQG130683 KAC130682:KAC130683 KJY130682:KJY130683 KTU130682:KTU130683 LDQ130682:LDQ130683 LNM130682:LNM130683 LXI130682:LXI130683 MHE130682:MHE130683 MRA130682:MRA130683 NAW130682:NAW130683 NKS130682:NKS130683 NUO130682:NUO130683 OEK130682:OEK130683 OOG130682:OOG130683 OYC130682:OYC130683 PHY130682:PHY130683 PRU130682:PRU130683 QBQ130682:QBQ130683 QLM130682:QLM130683 QVI130682:QVI130683 RFE130682:RFE130683 RPA130682:RPA130683 RYW130682:RYW130683 SIS130682:SIS130683 SSO130682:SSO130683 TCK130682:TCK130683 TMG130682:TMG130683 TWC130682:TWC130683 UFY130682:UFY130683 UPU130682:UPU130683 UZQ130682:UZQ130683 VJM130682:VJM130683 VTI130682:VTI130683 WDE130682:WDE130683 WNA130682:WNA130683 WWW130682:WWW130683 AO196218:AO196219 KK196218:KK196219 UG196218:UG196219 AEC196218:AEC196219 ANY196218:ANY196219 AXU196218:AXU196219 BHQ196218:BHQ196219 BRM196218:BRM196219 CBI196218:CBI196219 CLE196218:CLE196219 CVA196218:CVA196219 DEW196218:DEW196219 DOS196218:DOS196219 DYO196218:DYO196219 EIK196218:EIK196219 ESG196218:ESG196219 FCC196218:FCC196219 FLY196218:FLY196219 FVU196218:FVU196219 GFQ196218:GFQ196219 GPM196218:GPM196219 GZI196218:GZI196219 HJE196218:HJE196219 HTA196218:HTA196219 ICW196218:ICW196219 IMS196218:IMS196219 IWO196218:IWO196219 JGK196218:JGK196219 JQG196218:JQG196219 KAC196218:KAC196219 KJY196218:KJY196219 KTU196218:KTU196219 LDQ196218:LDQ196219 LNM196218:LNM196219 LXI196218:LXI196219 MHE196218:MHE196219 MRA196218:MRA196219 NAW196218:NAW196219 NKS196218:NKS196219 NUO196218:NUO196219 OEK196218:OEK196219 OOG196218:OOG196219 OYC196218:OYC196219 PHY196218:PHY196219 PRU196218:PRU196219 QBQ196218:QBQ196219 QLM196218:QLM196219 QVI196218:QVI196219 RFE196218:RFE196219 RPA196218:RPA196219 RYW196218:RYW196219 SIS196218:SIS196219 SSO196218:SSO196219 TCK196218:TCK196219 TMG196218:TMG196219 TWC196218:TWC196219 UFY196218:UFY196219 UPU196218:UPU196219 UZQ196218:UZQ196219 VJM196218:VJM196219 VTI196218:VTI196219 WDE196218:WDE196219 WNA196218:WNA196219 WWW196218:WWW196219 AO261754:AO261755 KK261754:KK261755 UG261754:UG261755 AEC261754:AEC261755 ANY261754:ANY261755 AXU261754:AXU261755 BHQ261754:BHQ261755 BRM261754:BRM261755 CBI261754:CBI261755 CLE261754:CLE261755 CVA261754:CVA261755 DEW261754:DEW261755 DOS261754:DOS261755 DYO261754:DYO261755 EIK261754:EIK261755 ESG261754:ESG261755 FCC261754:FCC261755 FLY261754:FLY261755 FVU261754:FVU261755 GFQ261754:GFQ261755 GPM261754:GPM261755 GZI261754:GZI261755 HJE261754:HJE261755 HTA261754:HTA261755 ICW261754:ICW261755 IMS261754:IMS261755 IWO261754:IWO261755 JGK261754:JGK261755 JQG261754:JQG261755 KAC261754:KAC261755 KJY261754:KJY261755 KTU261754:KTU261755 LDQ261754:LDQ261755 LNM261754:LNM261755 LXI261754:LXI261755 MHE261754:MHE261755 MRA261754:MRA261755 NAW261754:NAW261755 NKS261754:NKS261755 NUO261754:NUO261755 OEK261754:OEK261755 OOG261754:OOG261755 OYC261754:OYC261755 PHY261754:PHY261755 PRU261754:PRU261755 QBQ261754:QBQ261755 QLM261754:QLM261755 QVI261754:QVI261755 RFE261754:RFE261755 RPA261754:RPA261755 RYW261754:RYW261755 SIS261754:SIS261755 SSO261754:SSO261755 TCK261754:TCK261755 TMG261754:TMG261755 TWC261754:TWC261755 UFY261754:UFY261755 UPU261754:UPU261755 UZQ261754:UZQ261755 VJM261754:VJM261755 VTI261754:VTI261755 WDE261754:WDE261755 WNA261754:WNA261755 WWW261754:WWW261755 AO327290:AO327291 KK327290:KK327291 UG327290:UG327291 AEC327290:AEC327291 ANY327290:ANY327291 AXU327290:AXU327291 BHQ327290:BHQ327291 BRM327290:BRM327291 CBI327290:CBI327291 CLE327290:CLE327291 CVA327290:CVA327291 DEW327290:DEW327291 DOS327290:DOS327291 DYO327290:DYO327291 EIK327290:EIK327291 ESG327290:ESG327291 FCC327290:FCC327291 FLY327290:FLY327291 FVU327290:FVU327291 GFQ327290:GFQ327291 GPM327290:GPM327291 GZI327290:GZI327291 HJE327290:HJE327291 HTA327290:HTA327291 ICW327290:ICW327291 IMS327290:IMS327291 IWO327290:IWO327291 JGK327290:JGK327291 JQG327290:JQG327291 KAC327290:KAC327291 KJY327290:KJY327291 KTU327290:KTU327291 LDQ327290:LDQ327291 LNM327290:LNM327291 LXI327290:LXI327291 MHE327290:MHE327291 MRA327290:MRA327291 NAW327290:NAW327291 NKS327290:NKS327291 NUO327290:NUO327291 OEK327290:OEK327291 OOG327290:OOG327291 OYC327290:OYC327291 PHY327290:PHY327291 PRU327290:PRU327291 QBQ327290:QBQ327291 QLM327290:QLM327291 QVI327290:QVI327291 RFE327290:RFE327291 RPA327290:RPA327291 RYW327290:RYW327291 SIS327290:SIS327291 SSO327290:SSO327291 TCK327290:TCK327291 TMG327290:TMG327291 TWC327290:TWC327291 UFY327290:UFY327291 UPU327290:UPU327291 UZQ327290:UZQ327291 VJM327290:VJM327291 VTI327290:VTI327291 WDE327290:WDE327291 WNA327290:WNA327291 WWW327290:WWW327291 AO392826:AO392827 KK392826:KK392827 UG392826:UG392827 AEC392826:AEC392827 ANY392826:ANY392827 AXU392826:AXU392827 BHQ392826:BHQ392827 BRM392826:BRM392827 CBI392826:CBI392827 CLE392826:CLE392827 CVA392826:CVA392827 DEW392826:DEW392827 DOS392826:DOS392827 DYO392826:DYO392827 EIK392826:EIK392827 ESG392826:ESG392827 FCC392826:FCC392827 FLY392826:FLY392827 FVU392826:FVU392827 GFQ392826:GFQ392827 GPM392826:GPM392827 GZI392826:GZI392827 HJE392826:HJE392827 HTA392826:HTA392827 ICW392826:ICW392827 IMS392826:IMS392827 IWO392826:IWO392827 JGK392826:JGK392827 JQG392826:JQG392827 KAC392826:KAC392827 KJY392826:KJY392827 KTU392826:KTU392827 LDQ392826:LDQ392827 LNM392826:LNM392827 LXI392826:LXI392827 MHE392826:MHE392827 MRA392826:MRA392827 NAW392826:NAW392827 NKS392826:NKS392827 NUO392826:NUO392827 OEK392826:OEK392827 OOG392826:OOG392827 OYC392826:OYC392827 PHY392826:PHY392827 PRU392826:PRU392827 QBQ392826:QBQ392827 QLM392826:QLM392827 QVI392826:QVI392827 RFE392826:RFE392827 RPA392826:RPA392827 RYW392826:RYW392827 SIS392826:SIS392827 SSO392826:SSO392827 TCK392826:TCK392827 TMG392826:TMG392827 TWC392826:TWC392827 UFY392826:UFY392827 UPU392826:UPU392827 UZQ392826:UZQ392827 VJM392826:VJM392827 VTI392826:VTI392827 WDE392826:WDE392827 WNA392826:WNA392827 WWW392826:WWW392827 AO458362:AO458363 KK458362:KK458363 UG458362:UG458363 AEC458362:AEC458363 ANY458362:ANY458363 AXU458362:AXU458363 BHQ458362:BHQ458363 BRM458362:BRM458363 CBI458362:CBI458363 CLE458362:CLE458363 CVA458362:CVA458363 DEW458362:DEW458363 DOS458362:DOS458363 DYO458362:DYO458363 EIK458362:EIK458363 ESG458362:ESG458363 FCC458362:FCC458363 FLY458362:FLY458363 FVU458362:FVU458363 GFQ458362:GFQ458363 GPM458362:GPM458363 GZI458362:GZI458363 HJE458362:HJE458363 HTA458362:HTA458363 ICW458362:ICW458363 IMS458362:IMS458363 IWO458362:IWO458363 JGK458362:JGK458363 JQG458362:JQG458363 KAC458362:KAC458363 KJY458362:KJY458363 KTU458362:KTU458363 LDQ458362:LDQ458363 LNM458362:LNM458363 LXI458362:LXI458363 MHE458362:MHE458363 MRA458362:MRA458363 NAW458362:NAW458363 NKS458362:NKS458363 NUO458362:NUO458363 OEK458362:OEK458363 OOG458362:OOG458363 OYC458362:OYC458363 PHY458362:PHY458363 PRU458362:PRU458363 QBQ458362:QBQ458363 QLM458362:QLM458363 QVI458362:QVI458363 RFE458362:RFE458363 RPA458362:RPA458363 RYW458362:RYW458363 SIS458362:SIS458363 SSO458362:SSO458363 TCK458362:TCK458363 TMG458362:TMG458363 TWC458362:TWC458363 UFY458362:UFY458363 UPU458362:UPU458363 UZQ458362:UZQ458363 VJM458362:VJM458363 VTI458362:VTI458363 WDE458362:WDE458363 WNA458362:WNA458363 WWW458362:WWW458363 AO523898:AO523899 KK523898:KK523899 UG523898:UG523899 AEC523898:AEC523899 ANY523898:ANY523899 AXU523898:AXU523899 BHQ523898:BHQ523899 BRM523898:BRM523899 CBI523898:CBI523899 CLE523898:CLE523899 CVA523898:CVA523899 DEW523898:DEW523899 DOS523898:DOS523899 DYO523898:DYO523899 EIK523898:EIK523899 ESG523898:ESG523899 FCC523898:FCC523899 FLY523898:FLY523899 FVU523898:FVU523899 GFQ523898:GFQ523899 GPM523898:GPM523899 GZI523898:GZI523899 HJE523898:HJE523899 HTA523898:HTA523899 ICW523898:ICW523899 IMS523898:IMS523899 IWO523898:IWO523899 JGK523898:JGK523899 JQG523898:JQG523899 KAC523898:KAC523899 KJY523898:KJY523899 KTU523898:KTU523899 LDQ523898:LDQ523899 LNM523898:LNM523899 LXI523898:LXI523899 MHE523898:MHE523899 MRA523898:MRA523899 NAW523898:NAW523899 NKS523898:NKS523899 NUO523898:NUO523899 OEK523898:OEK523899 OOG523898:OOG523899 OYC523898:OYC523899 PHY523898:PHY523899 PRU523898:PRU523899 QBQ523898:QBQ523899 QLM523898:QLM523899 QVI523898:QVI523899 RFE523898:RFE523899 RPA523898:RPA523899 RYW523898:RYW523899 SIS523898:SIS523899 SSO523898:SSO523899 TCK523898:TCK523899 TMG523898:TMG523899 TWC523898:TWC523899 UFY523898:UFY523899 UPU523898:UPU523899 UZQ523898:UZQ523899 VJM523898:VJM523899 VTI523898:VTI523899 WDE523898:WDE523899 WNA523898:WNA523899 WWW523898:WWW523899 AO589434:AO589435 KK589434:KK589435 UG589434:UG589435 AEC589434:AEC589435 ANY589434:ANY589435 AXU589434:AXU589435 BHQ589434:BHQ589435 BRM589434:BRM589435 CBI589434:CBI589435 CLE589434:CLE589435 CVA589434:CVA589435 DEW589434:DEW589435 DOS589434:DOS589435 DYO589434:DYO589435 EIK589434:EIK589435 ESG589434:ESG589435 FCC589434:FCC589435 FLY589434:FLY589435 FVU589434:FVU589435 GFQ589434:GFQ589435 GPM589434:GPM589435 GZI589434:GZI589435 HJE589434:HJE589435 HTA589434:HTA589435 ICW589434:ICW589435 IMS589434:IMS589435 IWO589434:IWO589435 JGK589434:JGK589435 JQG589434:JQG589435 KAC589434:KAC589435 KJY589434:KJY589435 KTU589434:KTU589435 LDQ589434:LDQ589435 LNM589434:LNM589435 LXI589434:LXI589435 MHE589434:MHE589435 MRA589434:MRA589435 NAW589434:NAW589435 NKS589434:NKS589435 NUO589434:NUO589435 OEK589434:OEK589435 OOG589434:OOG589435 OYC589434:OYC589435 PHY589434:PHY589435 PRU589434:PRU589435 QBQ589434:QBQ589435 QLM589434:QLM589435 QVI589434:QVI589435 RFE589434:RFE589435 RPA589434:RPA589435 RYW589434:RYW589435 SIS589434:SIS589435 SSO589434:SSO589435 TCK589434:TCK589435 TMG589434:TMG589435 TWC589434:TWC589435 UFY589434:UFY589435 UPU589434:UPU589435 UZQ589434:UZQ589435 VJM589434:VJM589435 VTI589434:VTI589435 WDE589434:WDE589435 WNA589434:WNA589435 WWW589434:WWW589435 AO654970:AO654971 KK654970:KK654971 UG654970:UG654971 AEC654970:AEC654971 ANY654970:ANY654971 AXU654970:AXU654971 BHQ654970:BHQ654971 BRM654970:BRM654971 CBI654970:CBI654971 CLE654970:CLE654971 CVA654970:CVA654971 DEW654970:DEW654971 DOS654970:DOS654971 DYO654970:DYO654971 EIK654970:EIK654971 ESG654970:ESG654971 FCC654970:FCC654971 FLY654970:FLY654971 FVU654970:FVU654971 GFQ654970:GFQ654971 GPM654970:GPM654971 GZI654970:GZI654971 HJE654970:HJE654971 HTA654970:HTA654971 ICW654970:ICW654971 IMS654970:IMS654971 IWO654970:IWO654971 JGK654970:JGK654971 JQG654970:JQG654971 KAC654970:KAC654971 KJY654970:KJY654971 KTU654970:KTU654971 LDQ654970:LDQ654971 LNM654970:LNM654971 LXI654970:LXI654971 MHE654970:MHE654971 MRA654970:MRA654971 NAW654970:NAW654971 NKS654970:NKS654971 NUO654970:NUO654971 OEK654970:OEK654971 OOG654970:OOG654971 OYC654970:OYC654971 PHY654970:PHY654971 PRU654970:PRU654971 QBQ654970:QBQ654971 QLM654970:QLM654971 QVI654970:QVI654971 RFE654970:RFE654971 RPA654970:RPA654971 RYW654970:RYW654971 SIS654970:SIS654971 SSO654970:SSO654971 TCK654970:TCK654971 TMG654970:TMG654971 TWC654970:TWC654971 UFY654970:UFY654971 UPU654970:UPU654971 UZQ654970:UZQ654971 VJM654970:VJM654971 VTI654970:VTI654971 WDE654970:WDE654971 WNA654970:WNA654971 WWW654970:WWW654971 AO720506:AO720507 KK720506:KK720507 UG720506:UG720507 AEC720506:AEC720507 ANY720506:ANY720507 AXU720506:AXU720507 BHQ720506:BHQ720507 BRM720506:BRM720507 CBI720506:CBI720507 CLE720506:CLE720507 CVA720506:CVA720507 DEW720506:DEW720507 DOS720506:DOS720507 DYO720506:DYO720507 EIK720506:EIK720507 ESG720506:ESG720507 FCC720506:FCC720507 FLY720506:FLY720507 FVU720506:FVU720507 GFQ720506:GFQ720507 GPM720506:GPM720507 GZI720506:GZI720507 HJE720506:HJE720507 HTA720506:HTA720507 ICW720506:ICW720507 IMS720506:IMS720507 IWO720506:IWO720507 JGK720506:JGK720507 JQG720506:JQG720507 KAC720506:KAC720507 KJY720506:KJY720507 KTU720506:KTU720507 LDQ720506:LDQ720507 LNM720506:LNM720507 LXI720506:LXI720507 MHE720506:MHE720507 MRA720506:MRA720507 NAW720506:NAW720507 NKS720506:NKS720507 NUO720506:NUO720507 OEK720506:OEK720507 OOG720506:OOG720507 OYC720506:OYC720507 PHY720506:PHY720507 PRU720506:PRU720507 QBQ720506:QBQ720507 QLM720506:QLM720507 QVI720506:QVI720507 RFE720506:RFE720507 RPA720506:RPA720507 RYW720506:RYW720507 SIS720506:SIS720507 SSO720506:SSO720507 TCK720506:TCK720507 TMG720506:TMG720507 TWC720506:TWC720507 UFY720506:UFY720507 UPU720506:UPU720507 UZQ720506:UZQ720507 VJM720506:VJM720507 VTI720506:VTI720507 WDE720506:WDE720507 WNA720506:WNA720507 WWW720506:WWW720507 AO786042:AO786043 KK786042:KK786043 UG786042:UG786043 AEC786042:AEC786043 ANY786042:ANY786043 AXU786042:AXU786043 BHQ786042:BHQ786043 BRM786042:BRM786043 CBI786042:CBI786043 CLE786042:CLE786043 CVA786042:CVA786043 DEW786042:DEW786043 DOS786042:DOS786043 DYO786042:DYO786043 EIK786042:EIK786043 ESG786042:ESG786043 FCC786042:FCC786043 FLY786042:FLY786043 FVU786042:FVU786043 GFQ786042:GFQ786043 GPM786042:GPM786043 GZI786042:GZI786043 HJE786042:HJE786043 HTA786042:HTA786043 ICW786042:ICW786043 IMS786042:IMS786043 IWO786042:IWO786043 JGK786042:JGK786043 JQG786042:JQG786043 KAC786042:KAC786043 KJY786042:KJY786043 KTU786042:KTU786043 LDQ786042:LDQ786043 LNM786042:LNM786043 LXI786042:LXI786043 MHE786042:MHE786043 MRA786042:MRA786043 NAW786042:NAW786043 NKS786042:NKS786043 NUO786042:NUO786043 OEK786042:OEK786043 OOG786042:OOG786043 OYC786042:OYC786043 PHY786042:PHY786043 PRU786042:PRU786043 QBQ786042:QBQ786043 QLM786042:QLM786043 QVI786042:QVI786043 RFE786042:RFE786043 RPA786042:RPA786043 RYW786042:RYW786043 SIS786042:SIS786043 SSO786042:SSO786043 TCK786042:TCK786043 TMG786042:TMG786043 TWC786042:TWC786043 UFY786042:UFY786043 UPU786042:UPU786043 UZQ786042:UZQ786043 VJM786042:VJM786043 VTI786042:VTI786043 WDE786042:WDE786043 WNA786042:WNA786043 WWW786042:WWW786043 AO851578:AO851579 KK851578:KK851579 UG851578:UG851579 AEC851578:AEC851579 ANY851578:ANY851579 AXU851578:AXU851579 BHQ851578:BHQ851579 BRM851578:BRM851579 CBI851578:CBI851579 CLE851578:CLE851579 CVA851578:CVA851579 DEW851578:DEW851579 DOS851578:DOS851579 DYO851578:DYO851579 EIK851578:EIK851579 ESG851578:ESG851579 FCC851578:FCC851579 FLY851578:FLY851579 FVU851578:FVU851579 GFQ851578:GFQ851579 GPM851578:GPM851579 GZI851578:GZI851579 HJE851578:HJE851579 HTA851578:HTA851579 ICW851578:ICW851579 IMS851578:IMS851579 IWO851578:IWO851579 JGK851578:JGK851579 JQG851578:JQG851579 KAC851578:KAC851579 KJY851578:KJY851579 KTU851578:KTU851579 LDQ851578:LDQ851579 LNM851578:LNM851579 LXI851578:LXI851579 MHE851578:MHE851579 MRA851578:MRA851579 NAW851578:NAW851579 NKS851578:NKS851579 NUO851578:NUO851579 OEK851578:OEK851579 OOG851578:OOG851579 OYC851578:OYC851579 PHY851578:PHY851579 PRU851578:PRU851579 QBQ851578:QBQ851579 QLM851578:QLM851579 QVI851578:QVI851579 RFE851578:RFE851579 RPA851578:RPA851579 RYW851578:RYW851579 SIS851578:SIS851579 SSO851578:SSO851579 TCK851578:TCK851579 TMG851578:TMG851579 TWC851578:TWC851579 UFY851578:UFY851579 UPU851578:UPU851579 UZQ851578:UZQ851579 VJM851578:VJM851579 VTI851578:VTI851579 WDE851578:WDE851579 WNA851578:WNA851579 WWW851578:WWW851579 AO917114:AO917115 KK917114:KK917115 UG917114:UG917115 AEC917114:AEC917115 ANY917114:ANY917115 AXU917114:AXU917115 BHQ917114:BHQ917115 BRM917114:BRM917115 CBI917114:CBI917115 CLE917114:CLE917115 CVA917114:CVA917115 DEW917114:DEW917115 DOS917114:DOS917115 DYO917114:DYO917115 EIK917114:EIK917115 ESG917114:ESG917115 FCC917114:FCC917115 FLY917114:FLY917115 FVU917114:FVU917115 GFQ917114:GFQ917115 GPM917114:GPM917115 GZI917114:GZI917115 HJE917114:HJE917115 HTA917114:HTA917115 ICW917114:ICW917115 IMS917114:IMS917115 IWO917114:IWO917115 JGK917114:JGK917115 JQG917114:JQG917115 KAC917114:KAC917115 KJY917114:KJY917115 KTU917114:KTU917115 LDQ917114:LDQ917115 LNM917114:LNM917115 LXI917114:LXI917115 MHE917114:MHE917115 MRA917114:MRA917115 NAW917114:NAW917115 NKS917114:NKS917115 NUO917114:NUO917115 OEK917114:OEK917115 OOG917114:OOG917115 OYC917114:OYC917115 PHY917114:PHY917115 PRU917114:PRU917115 QBQ917114:QBQ917115 QLM917114:QLM917115 QVI917114:QVI917115 RFE917114:RFE917115 RPA917114:RPA917115 RYW917114:RYW917115 SIS917114:SIS917115 SSO917114:SSO917115 TCK917114:TCK917115 TMG917114:TMG917115 TWC917114:TWC917115 UFY917114:UFY917115 UPU917114:UPU917115 UZQ917114:UZQ917115 VJM917114:VJM917115 VTI917114:VTI917115 WDE917114:WDE917115 WNA917114:WNA917115 WWW917114:WWW917115 AO982650:AO982651 KK982650:KK982651 UG982650:UG982651 AEC982650:AEC982651 ANY982650:ANY982651 AXU982650:AXU982651 BHQ982650:BHQ982651 BRM982650:BRM982651 CBI982650:CBI982651 CLE982650:CLE982651 CVA982650:CVA982651 DEW982650:DEW982651 DOS982650:DOS982651 DYO982650:DYO982651 EIK982650:EIK982651 ESG982650:ESG982651 FCC982650:FCC982651 FLY982650:FLY982651 FVU982650:FVU982651 GFQ982650:GFQ982651 GPM982650:GPM982651 GZI982650:GZI982651 HJE982650:HJE982651 HTA982650:HTA982651 ICW982650:ICW982651 IMS982650:IMS982651 IWO982650:IWO982651 JGK982650:JGK982651 JQG982650:JQG982651 KAC982650:KAC982651 KJY982650:KJY982651 KTU982650:KTU982651 LDQ982650:LDQ982651 LNM982650:LNM982651 LXI982650:LXI982651 MHE982650:MHE982651 MRA982650:MRA982651 NAW982650:NAW982651 NKS982650:NKS982651 NUO982650:NUO982651 OEK982650:OEK982651 OOG982650:OOG982651 OYC982650:OYC982651 PHY982650:PHY982651 PRU982650:PRU982651 QBQ982650:QBQ982651 QLM982650:QLM982651 QVI982650:QVI982651 RFE982650:RFE982651 RPA982650:RPA982651 RYW982650:RYW982651 SIS982650:SIS982651 SSO982650:SSO982651 TCK982650:TCK982651 TMG982650:TMG982651 TWC982650:TWC982651 UFY982650:UFY982651 UPU982650:UPU982651 UZQ982650:UZQ982651 VJM982650:VJM982651 VTI982650:VTI982651 WDE982650:WDE982651 WNA982650:WNA982651 WWW982650:WWW982651 AS851578:AS851579 KO851578:KO851579 UK851578:UK851579 AEG851578:AEG851579 AOC851578:AOC851579 AXY851578:AXY851579 BHU851578:BHU851579 BRQ851578:BRQ851579 CBM851578:CBM851579 CLI851578:CLI851579 CVE851578:CVE851579 DFA851578:DFA851579 DOW851578:DOW851579 DYS851578:DYS851579 EIO851578:EIO851579 ESK851578:ESK851579 FCG851578:FCG851579 FMC851578:FMC851579 FVY851578:FVY851579 GFU851578:GFU851579 GPQ851578:GPQ851579 GZM851578:GZM851579 HJI851578:HJI851579 HTE851578:HTE851579 IDA851578:IDA851579 IMW851578:IMW851579 IWS851578:IWS851579 JGO851578:JGO851579 JQK851578:JQK851579 KAG851578:KAG851579 KKC851578:KKC851579 KTY851578:KTY851579 LDU851578:LDU851579 LNQ851578:LNQ851579 LXM851578:LXM851579 MHI851578:MHI851579 MRE851578:MRE851579 NBA851578:NBA851579 NKW851578:NKW851579 NUS851578:NUS851579 OEO851578:OEO851579 OOK851578:OOK851579 OYG851578:OYG851579 PIC851578:PIC851579 PRY851578:PRY851579 QBU851578:QBU851579 QLQ851578:QLQ851579 QVM851578:QVM851579 RFI851578:RFI851579 RPE851578:RPE851579 RZA851578:RZA851579 SIW851578:SIW851579 SSS851578:SSS851579 TCO851578:TCO851579 TMK851578:TMK851579 TWG851578:TWG851579 UGC851578:UGC851579 UPY851578:UPY851579 UZU851578:UZU851579 VJQ851578:VJQ851579 VTM851578:VTM851579 WDI851578:WDI851579 WNE851578:WNE851579 WXA851578:WXA851579 AC65146:AC65147 JY65146:JY65147 TU65146:TU65147 ADQ65146:ADQ65147 ANM65146:ANM65147 AXI65146:AXI65147 BHE65146:BHE65147 BRA65146:BRA65147 CAW65146:CAW65147 CKS65146:CKS65147 CUO65146:CUO65147 DEK65146:DEK65147 DOG65146:DOG65147 DYC65146:DYC65147 EHY65146:EHY65147 ERU65146:ERU65147 FBQ65146:FBQ65147 FLM65146:FLM65147 FVI65146:FVI65147 GFE65146:GFE65147 GPA65146:GPA65147 GYW65146:GYW65147 HIS65146:HIS65147 HSO65146:HSO65147 ICK65146:ICK65147 IMG65146:IMG65147 IWC65146:IWC65147 JFY65146:JFY65147 JPU65146:JPU65147 JZQ65146:JZQ65147 KJM65146:KJM65147 KTI65146:KTI65147 LDE65146:LDE65147 LNA65146:LNA65147 LWW65146:LWW65147 MGS65146:MGS65147 MQO65146:MQO65147 NAK65146:NAK65147 NKG65146:NKG65147 NUC65146:NUC65147 ODY65146:ODY65147 ONU65146:ONU65147 OXQ65146:OXQ65147 PHM65146:PHM65147 PRI65146:PRI65147 QBE65146:QBE65147 QLA65146:QLA65147 QUW65146:QUW65147 RES65146:RES65147 ROO65146:ROO65147 RYK65146:RYK65147 SIG65146:SIG65147 SSC65146:SSC65147 TBY65146:TBY65147 TLU65146:TLU65147 TVQ65146:TVQ65147 UFM65146:UFM65147 UPI65146:UPI65147 UZE65146:UZE65147 VJA65146:VJA65147 VSW65146:VSW65147 WCS65146:WCS65147 WMO65146:WMO65147 WWK65146:WWK65147 AC130682:AC130683 JY130682:JY130683 TU130682:TU130683 ADQ130682:ADQ130683 ANM130682:ANM130683 AXI130682:AXI130683 BHE130682:BHE130683 BRA130682:BRA130683 CAW130682:CAW130683 CKS130682:CKS130683 CUO130682:CUO130683 DEK130682:DEK130683 DOG130682:DOG130683 DYC130682:DYC130683 EHY130682:EHY130683 ERU130682:ERU130683 FBQ130682:FBQ130683 FLM130682:FLM130683 FVI130682:FVI130683 GFE130682:GFE130683 GPA130682:GPA130683 GYW130682:GYW130683 HIS130682:HIS130683 HSO130682:HSO130683 ICK130682:ICK130683 IMG130682:IMG130683 IWC130682:IWC130683 JFY130682:JFY130683 JPU130682:JPU130683 JZQ130682:JZQ130683 KJM130682:KJM130683 KTI130682:KTI130683 LDE130682:LDE130683 LNA130682:LNA130683 LWW130682:LWW130683 MGS130682:MGS130683 MQO130682:MQO130683 NAK130682:NAK130683 NKG130682:NKG130683 NUC130682:NUC130683 ODY130682:ODY130683 ONU130682:ONU130683 OXQ130682:OXQ130683 PHM130682:PHM130683 PRI130682:PRI130683 QBE130682:QBE130683 QLA130682:QLA130683 QUW130682:QUW130683 RES130682:RES130683 ROO130682:ROO130683 RYK130682:RYK130683 SIG130682:SIG130683 SSC130682:SSC130683 TBY130682:TBY130683 TLU130682:TLU130683 TVQ130682:TVQ130683 UFM130682:UFM130683 UPI130682:UPI130683 UZE130682:UZE130683 VJA130682:VJA130683 VSW130682:VSW130683 WCS130682:WCS130683 WMO130682:WMO130683 WWK130682:WWK130683 AC196218:AC196219 JY196218:JY196219 TU196218:TU196219 ADQ196218:ADQ196219 ANM196218:ANM196219 AXI196218:AXI196219 BHE196218:BHE196219 BRA196218:BRA196219 CAW196218:CAW196219 CKS196218:CKS196219 CUO196218:CUO196219 DEK196218:DEK196219 DOG196218:DOG196219 DYC196218:DYC196219 EHY196218:EHY196219 ERU196218:ERU196219 FBQ196218:FBQ196219 FLM196218:FLM196219 FVI196218:FVI196219 GFE196218:GFE196219 GPA196218:GPA196219 GYW196218:GYW196219 HIS196218:HIS196219 HSO196218:HSO196219 ICK196218:ICK196219 IMG196218:IMG196219 IWC196218:IWC196219 JFY196218:JFY196219 JPU196218:JPU196219 JZQ196218:JZQ196219 KJM196218:KJM196219 KTI196218:KTI196219 LDE196218:LDE196219 LNA196218:LNA196219 LWW196218:LWW196219 MGS196218:MGS196219 MQO196218:MQO196219 NAK196218:NAK196219 NKG196218:NKG196219 NUC196218:NUC196219 ODY196218:ODY196219 ONU196218:ONU196219 OXQ196218:OXQ196219 PHM196218:PHM196219 PRI196218:PRI196219 QBE196218:QBE196219 QLA196218:QLA196219 QUW196218:QUW196219 RES196218:RES196219 ROO196218:ROO196219 RYK196218:RYK196219 SIG196218:SIG196219 SSC196218:SSC196219 TBY196218:TBY196219 TLU196218:TLU196219 TVQ196218:TVQ196219 UFM196218:UFM196219 UPI196218:UPI196219 UZE196218:UZE196219 VJA196218:VJA196219 VSW196218:VSW196219 WCS196218:WCS196219 WMO196218:WMO196219 WWK196218:WWK196219 AC261754:AC261755 JY261754:JY261755 TU261754:TU261755 ADQ261754:ADQ261755 ANM261754:ANM261755 AXI261754:AXI261755 BHE261754:BHE261755 BRA261754:BRA261755 CAW261754:CAW261755 CKS261754:CKS261755 CUO261754:CUO261755 DEK261754:DEK261755 DOG261754:DOG261755 DYC261754:DYC261755 EHY261754:EHY261755 ERU261754:ERU261755 FBQ261754:FBQ261755 FLM261754:FLM261755 FVI261754:FVI261755 GFE261754:GFE261755 GPA261754:GPA261755 GYW261754:GYW261755 HIS261754:HIS261755 HSO261754:HSO261755 ICK261754:ICK261755 IMG261754:IMG261755 IWC261754:IWC261755 JFY261754:JFY261755 JPU261754:JPU261755 JZQ261754:JZQ261755 KJM261754:KJM261755 KTI261754:KTI261755 LDE261754:LDE261755 LNA261754:LNA261755 LWW261754:LWW261755 MGS261754:MGS261755 MQO261754:MQO261755 NAK261754:NAK261755 NKG261754:NKG261755 NUC261754:NUC261755 ODY261754:ODY261755 ONU261754:ONU261755 OXQ261754:OXQ261755 PHM261754:PHM261755 PRI261754:PRI261755 QBE261754:QBE261755 QLA261754:QLA261755 QUW261754:QUW261755 RES261754:RES261755 ROO261754:ROO261755 RYK261754:RYK261755 SIG261754:SIG261755 SSC261754:SSC261755 TBY261754:TBY261755 TLU261754:TLU261755 TVQ261754:TVQ261755 UFM261754:UFM261755 UPI261754:UPI261755 UZE261754:UZE261755 VJA261754:VJA261755 VSW261754:VSW261755 WCS261754:WCS261755 WMO261754:WMO261755 WWK261754:WWK261755 AC327290:AC327291 JY327290:JY327291 TU327290:TU327291 ADQ327290:ADQ327291 ANM327290:ANM327291 AXI327290:AXI327291 BHE327290:BHE327291 BRA327290:BRA327291 CAW327290:CAW327291 CKS327290:CKS327291 CUO327290:CUO327291 DEK327290:DEK327291 DOG327290:DOG327291 DYC327290:DYC327291 EHY327290:EHY327291 ERU327290:ERU327291 FBQ327290:FBQ327291 FLM327290:FLM327291 FVI327290:FVI327291 GFE327290:GFE327291 GPA327290:GPA327291 GYW327290:GYW327291 HIS327290:HIS327291 HSO327290:HSO327291 ICK327290:ICK327291 IMG327290:IMG327291 IWC327290:IWC327291 JFY327290:JFY327291 JPU327290:JPU327291 JZQ327290:JZQ327291 KJM327290:KJM327291 KTI327290:KTI327291 LDE327290:LDE327291 LNA327290:LNA327291 LWW327290:LWW327291 MGS327290:MGS327291 MQO327290:MQO327291 NAK327290:NAK327291 NKG327290:NKG327291 NUC327290:NUC327291 ODY327290:ODY327291 ONU327290:ONU327291 OXQ327290:OXQ327291 PHM327290:PHM327291 PRI327290:PRI327291 QBE327290:QBE327291 QLA327290:QLA327291 QUW327290:QUW327291 RES327290:RES327291 ROO327290:ROO327291 RYK327290:RYK327291 SIG327290:SIG327291 SSC327290:SSC327291 TBY327290:TBY327291 TLU327290:TLU327291 TVQ327290:TVQ327291 UFM327290:UFM327291 UPI327290:UPI327291 UZE327290:UZE327291 VJA327290:VJA327291 VSW327290:VSW327291 WCS327290:WCS327291 WMO327290:WMO327291 WWK327290:WWK327291 AC392826:AC392827 JY392826:JY392827 TU392826:TU392827 ADQ392826:ADQ392827 ANM392826:ANM392827 AXI392826:AXI392827 BHE392826:BHE392827 BRA392826:BRA392827 CAW392826:CAW392827 CKS392826:CKS392827 CUO392826:CUO392827 DEK392826:DEK392827 DOG392826:DOG392827 DYC392826:DYC392827 EHY392826:EHY392827 ERU392826:ERU392827 FBQ392826:FBQ392827 FLM392826:FLM392827 FVI392826:FVI392827 GFE392826:GFE392827 GPA392826:GPA392827 GYW392826:GYW392827 HIS392826:HIS392827 HSO392826:HSO392827 ICK392826:ICK392827 IMG392826:IMG392827 IWC392826:IWC392827 JFY392826:JFY392827 JPU392826:JPU392827 JZQ392826:JZQ392827 KJM392826:KJM392827 KTI392826:KTI392827 LDE392826:LDE392827 LNA392826:LNA392827 LWW392826:LWW392827 MGS392826:MGS392827 MQO392826:MQO392827 NAK392826:NAK392827 NKG392826:NKG392827 NUC392826:NUC392827 ODY392826:ODY392827 ONU392826:ONU392827 OXQ392826:OXQ392827 PHM392826:PHM392827 PRI392826:PRI392827 QBE392826:QBE392827 QLA392826:QLA392827 QUW392826:QUW392827 RES392826:RES392827 ROO392826:ROO392827 RYK392826:RYK392827 SIG392826:SIG392827 SSC392826:SSC392827 TBY392826:TBY392827 TLU392826:TLU392827 TVQ392826:TVQ392827 UFM392826:UFM392827 UPI392826:UPI392827 UZE392826:UZE392827 VJA392826:VJA392827 VSW392826:VSW392827 WCS392826:WCS392827 WMO392826:WMO392827 WWK392826:WWK392827 AC458362:AC458363 JY458362:JY458363 TU458362:TU458363 ADQ458362:ADQ458363 ANM458362:ANM458363 AXI458362:AXI458363 BHE458362:BHE458363 BRA458362:BRA458363 CAW458362:CAW458363 CKS458362:CKS458363 CUO458362:CUO458363 DEK458362:DEK458363 DOG458362:DOG458363 DYC458362:DYC458363 EHY458362:EHY458363 ERU458362:ERU458363 FBQ458362:FBQ458363 FLM458362:FLM458363 FVI458362:FVI458363 GFE458362:GFE458363 GPA458362:GPA458363 GYW458362:GYW458363 HIS458362:HIS458363 HSO458362:HSO458363 ICK458362:ICK458363 IMG458362:IMG458363 IWC458362:IWC458363 JFY458362:JFY458363 JPU458362:JPU458363 JZQ458362:JZQ458363 KJM458362:KJM458363 KTI458362:KTI458363 LDE458362:LDE458363 LNA458362:LNA458363 LWW458362:LWW458363 MGS458362:MGS458363 MQO458362:MQO458363 NAK458362:NAK458363 NKG458362:NKG458363 NUC458362:NUC458363 ODY458362:ODY458363 ONU458362:ONU458363 OXQ458362:OXQ458363 PHM458362:PHM458363 PRI458362:PRI458363 QBE458362:QBE458363 QLA458362:QLA458363 QUW458362:QUW458363 RES458362:RES458363 ROO458362:ROO458363 RYK458362:RYK458363 SIG458362:SIG458363 SSC458362:SSC458363 TBY458362:TBY458363 TLU458362:TLU458363 TVQ458362:TVQ458363 UFM458362:UFM458363 UPI458362:UPI458363 UZE458362:UZE458363 VJA458362:VJA458363 VSW458362:VSW458363 WCS458362:WCS458363 WMO458362:WMO458363 WWK458362:WWK458363 AC523898:AC523899 JY523898:JY523899 TU523898:TU523899 ADQ523898:ADQ523899 ANM523898:ANM523899 AXI523898:AXI523899 BHE523898:BHE523899 BRA523898:BRA523899 CAW523898:CAW523899 CKS523898:CKS523899 CUO523898:CUO523899 DEK523898:DEK523899 DOG523898:DOG523899 DYC523898:DYC523899 EHY523898:EHY523899 ERU523898:ERU523899 FBQ523898:FBQ523899 FLM523898:FLM523899 FVI523898:FVI523899 GFE523898:GFE523899 GPA523898:GPA523899 GYW523898:GYW523899 HIS523898:HIS523899 HSO523898:HSO523899 ICK523898:ICK523899 IMG523898:IMG523899 IWC523898:IWC523899 JFY523898:JFY523899 JPU523898:JPU523899 JZQ523898:JZQ523899 KJM523898:KJM523899 KTI523898:KTI523899 LDE523898:LDE523899 LNA523898:LNA523899 LWW523898:LWW523899 MGS523898:MGS523899 MQO523898:MQO523899 NAK523898:NAK523899 NKG523898:NKG523899 NUC523898:NUC523899 ODY523898:ODY523899 ONU523898:ONU523899 OXQ523898:OXQ523899 PHM523898:PHM523899 PRI523898:PRI523899 QBE523898:QBE523899 QLA523898:QLA523899 QUW523898:QUW523899 RES523898:RES523899 ROO523898:ROO523899 RYK523898:RYK523899 SIG523898:SIG523899 SSC523898:SSC523899 TBY523898:TBY523899 TLU523898:TLU523899 TVQ523898:TVQ523899 UFM523898:UFM523899 UPI523898:UPI523899 UZE523898:UZE523899 VJA523898:VJA523899 VSW523898:VSW523899 WCS523898:WCS523899 WMO523898:WMO523899 WWK523898:WWK523899 AC589434:AC589435 JY589434:JY589435 TU589434:TU589435 ADQ589434:ADQ589435 ANM589434:ANM589435 AXI589434:AXI589435 BHE589434:BHE589435 BRA589434:BRA589435 CAW589434:CAW589435 CKS589434:CKS589435 CUO589434:CUO589435 DEK589434:DEK589435 DOG589434:DOG589435 DYC589434:DYC589435 EHY589434:EHY589435 ERU589434:ERU589435 FBQ589434:FBQ589435 FLM589434:FLM589435 FVI589434:FVI589435 GFE589434:GFE589435 GPA589434:GPA589435 GYW589434:GYW589435 HIS589434:HIS589435 HSO589434:HSO589435 ICK589434:ICK589435 IMG589434:IMG589435 IWC589434:IWC589435 JFY589434:JFY589435 JPU589434:JPU589435 JZQ589434:JZQ589435 KJM589434:KJM589435 KTI589434:KTI589435 LDE589434:LDE589435 LNA589434:LNA589435 LWW589434:LWW589435 MGS589434:MGS589435 MQO589434:MQO589435 NAK589434:NAK589435 NKG589434:NKG589435 NUC589434:NUC589435 ODY589434:ODY589435 ONU589434:ONU589435 OXQ589434:OXQ589435 PHM589434:PHM589435 PRI589434:PRI589435 QBE589434:QBE589435 QLA589434:QLA589435 QUW589434:QUW589435 RES589434:RES589435 ROO589434:ROO589435 RYK589434:RYK589435 SIG589434:SIG589435 SSC589434:SSC589435 TBY589434:TBY589435 TLU589434:TLU589435 TVQ589434:TVQ589435 UFM589434:UFM589435 UPI589434:UPI589435 UZE589434:UZE589435 VJA589434:VJA589435 VSW589434:VSW589435 WCS589434:WCS589435 WMO589434:WMO589435 WWK589434:WWK589435 AC654970:AC654971 JY654970:JY654971 TU654970:TU654971 ADQ654970:ADQ654971 ANM654970:ANM654971 AXI654970:AXI654971 BHE654970:BHE654971 BRA654970:BRA654971 CAW654970:CAW654971 CKS654970:CKS654971 CUO654970:CUO654971 DEK654970:DEK654971 DOG654970:DOG654971 DYC654970:DYC654971 EHY654970:EHY654971 ERU654970:ERU654971 FBQ654970:FBQ654971 FLM654970:FLM654971 FVI654970:FVI654971 GFE654970:GFE654971 GPA654970:GPA654971 GYW654970:GYW654971 HIS654970:HIS654971 HSO654970:HSO654971 ICK654970:ICK654971 IMG654970:IMG654971 IWC654970:IWC654971 JFY654970:JFY654971 JPU654970:JPU654971 JZQ654970:JZQ654971 KJM654970:KJM654971 KTI654970:KTI654971 LDE654970:LDE654971 LNA654970:LNA654971 LWW654970:LWW654971 MGS654970:MGS654971 MQO654970:MQO654971 NAK654970:NAK654971 NKG654970:NKG654971 NUC654970:NUC654971 ODY654970:ODY654971 ONU654970:ONU654971 OXQ654970:OXQ654971 PHM654970:PHM654971 PRI654970:PRI654971 QBE654970:QBE654971 QLA654970:QLA654971 QUW654970:QUW654971 RES654970:RES654971 ROO654970:ROO654971 RYK654970:RYK654971 SIG654970:SIG654971 SSC654970:SSC654971 TBY654970:TBY654971 TLU654970:TLU654971 TVQ654970:TVQ654971 UFM654970:UFM654971 UPI654970:UPI654971 UZE654970:UZE654971 VJA654970:VJA654971 VSW654970:VSW654971 WCS654970:WCS654971 WMO654970:WMO654971 WWK654970:WWK654971 AC720506:AC720507 JY720506:JY720507 TU720506:TU720507 ADQ720506:ADQ720507 ANM720506:ANM720507 AXI720506:AXI720507 BHE720506:BHE720507 BRA720506:BRA720507 CAW720506:CAW720507 CKS720506:CKS720507 CUO720506:CUO720507 DEK720506:DEK720507 DOG720506:DOG720507 DYC720506:DYC720507 EHY720506:EHY720507 ERU720506:ERU720507 FBQ720506:FBQ720507 FLM720506:FLM720507 FVI720506:FVI720507 GFE720506:GFE720507 GPA720506:GPA720507 GYW720506:GYW720507 HIS720506:HIS720507 HSO720506:HSO720507 ICK720506:ICK720507 IMG720506:IMG720507 IWC720506:IWC720507 JFY720506:JFY720507 JPU720506:JPU720507 JZQ720506:JZQ720507 KJM720506:KJM720507 KTI720506:KTI720507 LDE720506:LDE720507 LNA720506:LNA720507 LWW720506:LWW720507 MGS720506:MGS720507 MQO720506:MQO720507 NAK720506:NAK720507 NKG720506:NKG720507 NUC720506:NUC720507 ODY720506:ODY720507 ONU720506:ONU720507 OXQ720506:OXQ720507 PHM720506:PHM720507 PRI720506:PRI720507 QBE720506:QBE720507 QLA720506:QLA720507 QUW720506:QUW720507 RES720506:RES720507 ROO720506:ROO720507 RYK720506:RYK720507 SIG720506:SIG720507 SSC720506:SSC720507 TBY720506:TBY720507 TLU720506:TLU720507 TVQ720506:TVQ720507 UFM720506:UFM720507 UPI720506:UPI720507 UZE720506:UZE720507 VJA720506:VJA720507 VSW720506:VSW720507 WCS720506:WCS720507 WMO720506:WMO720507 WWK720506:WWK720507 AC786042:AC786043 JY786042:JY786043 TU786042:TU786043 ADQ786042:ADQ786043 ANM786042:ANM786043 AXI786042:AXI786043 BHE786042:BHE786043 BRA786042:BRA786043 CAW786042:CAW786043 CKS786042:CKS786043 CUO786042:CUO786043 DEK786042:DEK786043 DOG786042:DOG786043 DYC786042:DYC786043 EHY786042:EHY786043 ERU786042:ERU786043 FBQ786042:FBQ786043 FLM786042:FLM786043 FVI786042:FVI786043 GFE786042:GFE786043 GPA786042:GPA786043 GYW786042:GYW786043 HIS786042:HIS786043 HSO786042:HSO786043 ICK786042:ICK786043 IMG786042:IMG786043 IWC786042:IWC786043 JFY786042:JFY786043 JPU786042:JPU786043 JZQ786042:JZQ786043 KJM786042:KJM786043 KTI786042:KTI786043 LDE786042:LDE786043 LNA786042:LNA786043 LWW786042:LWW786043 MGS786042:MGS786043 MQO786042:MQO786043 NAK786042:NAK786043 NKG786042:NKG786043 NUC786042:NUC786043 ODY786042:ODY786043 ONU786042:ONU786043 OXQ786042:OXQ786043 PHM786042:PHM786043 PRI786042:PRI786043 QBE786042:QBE786043 QLA786042:QLA786043 QUW786042:QUW786043 RES786042:RES786043 ROO786042:ROO786043 RYK786042:RYK786043 SIG786042:SIG786043 SSC786042:SSC786043 TBY786042:TBY786043 TLU786042:TLU786043 TVQ786042:TVQ786043 UFM786042:UFM786043 UPI786042:UPI786043 UZE786042:UZE786043 VJA786042:VJA786043 VSW786042:VSW786043 WCS786042:WCS786043 WMO786042:WMO786043 WWK786042:WWK786043 AC851578:AC851579 JY851578:JY851579 TU851578:TU851579 ADQ851578:ADQ851579 ANM851578:ANM851579 AXI851578:AXI851579 BHE851578:BHE851579 BRA851578:BRA851579 CAW851578:CAW851579 CKS851578:CKS851579 CUO851578:CUO851579 DEK851578:DEK851579 DOG851578:DOG851579 DYC851578:DYC851579 EHY851578:EHY851579 ERU851578:ERU851579 FBQ851578:FBQ851579 FLM851578:FLM851579 FVI851578:FVI851579 GFE851578:GFE851579 GPA851578:GPA851579 GYW851578:GYW851579 HIS851578:HIS851579 HSO851578:HSO851579 ICK851578:ICK851579 IMG851578:IMG851579 IWC851578:IWC851579 JFY851578:JFY851579 JPU851578:JPU851579 JZQ851578:JZQ851579 KJM851578:KJM851579 KTI851578:KTI851579 LDE851578:LDE851579 LNA851578:LNA851579 LWW851578:LWW851579 MGS851578:MGS851579 MQO851578:MQO851579 NAK851578:NAK851579 NKG851578:NKG851579 NUC851578:NUC851579 ODY851578:ODY851579 ONU851578:ONU851579 OXQ851578:OXQ851579 PHM851578:PHM851579 PRI851578:PRI851579 QBE851578:QBE851579 QLA851578:QLA851579 QUW851578:QUW851579 RES851578:RES851579 ROO851578:ROO851579 RYK851578:RYK851579 SIG851578:SIG851579 SSC851578:SSC851579 TBY851578:TBY851579 TLU851578:TLU851579 TVQ851578:TVQ851579 UFM851578:UFM851579 UPI851578:UPI851579 UZE851578:UZE851579 VJA851578:VJA851579 VSW851578:VSW851579 WCS851578:WCS851579 WMO851578:WMO851579 WWK851578:WWK851579 AC917114:AC917115 JY917114:JY917115 TU917114:TU917115 ADQ917114:ADQ917115 ANM917114:ANM917115 AXI917114:AXI917115 BHE917114:BHE917115 BRA917114:BRA917115 CAW917114:CAW917115 CKS917114:CKS917115 CUO917114:CUO917115 DEK917114:DEK917115 DOG917114:DOG917115 DYC917114:DYC917115 EHY917114:EHY917115 ERU917114:ERU917115 FBQ917114:FBQ917115 FLM917114:FLM917115 FVI917114:FVI917115 GFE917114:GFE917115 GPA917114:GPA917115 GYW917114:GYW917115 HIS917114:HIS917115 HSO917114:HSO917115 ICK917114:ICK917115 IMG917114:IMG917115 IWC917114:IWC917115 JFY917114:JFY917115 JPU917114:JPU917115 JZQ917114:JZQ917115 KJM917114:KJM917115 KTI917114:KTI917115 LDE917114:LDE917115 LNA917114:LNA917115 LWW917114:LWW917115 MGS917114:MGS917115 MQO917114:MQO917115 NAK917114:NAK917115 NKG917114:NKG917115 NUC917114:NUC917115 ODY917114:ODY917115 ONU917114:ONU917115 OXQ917114:OXQ917115 PHM917114:PHM917115 PRI917114:PRI917115 QBE917114:QBE917115 QLA917114:QLA917115 QUW917114:QUW917115 RES917114:RES917115 ROO917114:ROO917115 RYK917114:RYK917115 SIG917114:SIG917115 SSC917114:SSC917115 TBY917114:TBY917115 TLU917114:TLU917115 TVQ917114:TVQ917115 UFM917114:UFM917115 UPI917114:UPI917115 UZE917114:UZE917115 VJA917114:VJA917115 VSW917114:VSW917115 WCS917114:WCS917115 WMO917114:WMO917115 WWK917114:WWK917115 AC982650:AC982651 JY982650:JY982651 TU982650:TU982651 ADQ982650:ADQ982651 ANM982650:ANM982651 AXI982650:AXI982651 BHE982650:BHE982651 BRA982650:BRA982651 CAW982650:CAW982651 CKS982650:CKS982651 CUO982650:CUO982651 DEK982650:DEK982651 DOG982650:DOG982651 DYC982650:DYC982651 EHY982650:EHY982651 ERU982650:ERU982651 FBQ982650:FBQ982651 FLM982650:FLM982651 FVI982650:FVI982651 GFE982650:GFE982651 GPA982650:GPA982651 GYW982650:GYW982651 HIS982650:HIS982651 HSO982650:HSO982651 ICK982650:ICK982651 IMG982650:IMG982651 IWC982650:IWC982651 JFY982650:JFY982651 JPU982650:JPU982651 JZQ982650:JZQ982651 KJM982650:KJM982651 KTI982650:KTI982651 LDE982650:LDE982651 LNA982650:LNA982651 LWW982650:LWW982651 MGS982650:MGS982651 MQO982650:MQO982651 NAK982650:NAK982651 NKG982650:NKG982651 NUC982650:NUC982651 ODY982650:ODY982651 ONU982650:ONU982651 OXQ982650:OXQ982651 PHM982650:PHM982651 PRI982650:PRI982651 QBE982650:QBE982651 QLA982650:QLA982651 QUW982650:QUW982651 RES982650:RES982651 ROO982650:ROO982651 RYK982650:RYK982651 SIG982650:SIG982651 SSC982650:SSC982651 TBY982650:TBY982651 TLU982650:TLU982651 TVQ982650:TVQ982651 UFM982650:UFM982651 UPI982650:UPI982651 UZE982650:UZE982651 VJA982650:VJA982651 VSW982650:VSW982651 WCS982650:WCS982651 WMO982650:WMO982651 WWK982650:WWK982651 AS917114:AS917115 KO917114:KO917115 UK917114:UK917115 AEG917114:AEG917115 AOC917114:AOC917115 AXY917114:AXY917115 BHU917114:BHU917115 BRQ917114:BRQ917115 CBM917114:CBM917115 CLI917114:CLI917115 CVE917114:CVE917115 DFA917114:DFA917115 DOW917114:DOW917115 DYS917114:DYS917115 EIO917114:EIO917115 ESK917114:ESK917115 FCG917114:FCG917115 FMC917114:FMC917115 FVY917114:FVY917115 GFU917114:GFU917115 GPQ917114:GPQ917115 GZM917114:GZM917115 HJI917114:HJI917115 HTE917114:HTE917115 IDA917114:IDA917115 IMW917114:IMW917115 IWS917114:IWS917115 JGO917114:JGO917115 JQK917114:JQK917115 KAG917114:KAG917115 KKC917114:KKC917115 KTY917114:KTY917115 LDU917114:LDU917115 LNQ917114:LNQ917115 LXM917114:LXM917115 MHI917114:MHI917115 MRE917114:MRE917115 NBA917114:NBA917115 NKW917114:NKW917115 NUS917114:NUS917115 OEO917114:OEO917115 OOK917114:OOK917115 OYG917114:OYG917115 PIC917114:PIC917115 PRY917114:PRY917115 QBU917114:QBU917115 QLQ917114:QLQ917115 QVM917114:QVM917115 RFI917114:RFI917115 RPE917114:RPE917115 RZA917114:RZA917115 SIW917114:SIW917115 SSS917114:SSS917115 TCO917114:TCO917115 TMK917114:TMK917115 TWG917114:TWG917115 UGC917114:UGC917115 UPY917114:UPY917115 UZU917114:UZU917115 VJQ917114:VJQ917115 VTM917114:VTM917115 WDI917114:WDI917115 WNE917114:WNE917115 WXA917114:WXA917115 AG65146:AG65147 KC65146:KC65147 TY65146:TY65147 ADU65146:ADU65147 ANQ65146:ANQ65147 AXM65146:AXM65147 BHI65146:BHI65147 BRE65146:BRE65147 CBA65146:CBA65147 CKW65146:CKW65147 CUS65146:CUS65147 DEO65146:DEO65147 DOK65146:DOK65147 DYG65146:DYG65147 EIC65146:EIC65147 ERY65146:ERY65147 FBU65146:FBU65147 FLQ65146:FLQ65147 FVM65146:FVM65147 GFI65146:GFI65147 GPE65146:GPE65147 GZA65146:GZA65147 HIW65146:HIW65147 HSS65146:HSS65147 ICO65146:ICO65147 IMK65146:IMK65147 IWG65146:IWG65147 JGC65146:JGC65147 JPY65146:JPY65147 JZU65146:JZU65147 KJQ65146:KJQ65147 KTM65146:KTM65147 LDI65146:LDI65147 LNE65146:LNE65147 LXA65146:LXA65147 MGW65146:MGW65147 MQS65146:MQS65147 NAO65146:NAO65147 NKK65146:NKK65147 NUG65146:NUG65147 OEC65146:OEC65147 ONY65146:ONY65147 OXU65146:OXU65147 PHQ65146:PHQ65147 PRM65146:PRM65147 QBI65146:QBI65147 QLE65146:QLE65147 QVA65146:QVA65147 REW65146:REW65147 ROS65146:ROS65147 RYO65146:RYO65147 SIK65146:SIK65147 SSG65146:SSG65147 TCC65146:TCC65147 TLY65146:TLY65147 TVU65146:TVU65147 UFQ65146:UFQ65147 UPM65146:UPM65147 UZI65146:UZI65147 VJE65146:VJE65147 VTA65146:VTA65147 WCW65146:WCW65147 WMS65146:WMS65147 WWO65146:WWO65147 AG130682:AG130683 KC130682:KC130683 TY130682:TY130683 ADU130682:ADU130683 ANQ130682:ANQ130683 AXM130682:AXM130683 BHI130682:BHI130683 BRE130682:BRE130683 CBA130682:CBA130683 CKW130682:CKW130683 CUS130682:CUS130683 DEO130682:DEO130683 DOK130682:DOK130683 DYG130682:DYG130683 EIC130682:EIC130683 ERY130682:ERY130683 FBU130682:FBU130683 FLQ130682:FLQ130683 FVM130682:FVM130683 GFI130682:GFI130683 GPE130682:GPE130683 GZA130682:GZA130683 HIW130682:HIW130683 HSS130682:HSS130683 ICO130682:ICO130683 IMK130682:IMK130683 IWG130682:IWG130683 JGC130682:JGC130683 JPY130682:JPY130683 JZU130682:JZU130683 KJQ130682:KJQ130683 KTM130682:KTM130683 LDI130682:LDI130683 LNE130682:LNE130683 LXA130682:LXA130683 MGW130682:MGW130683 MQS130682:MQS130683 NAO130682:NAO130683 NKK130682:NKK130683 NUG130682:NUG130683 OEC130682:OEC130683 ONY130682:ONY130683 OXU130682:OXU130683 PHQ130682:PHQ130683 PRM130682:PRM130683 QBI130682:QBI130683 QLE130682:QLE130683 QVA130682:QVA130683 REW130682:REW130683 ROS130682:ROS130683 RYO130682:RYO130683 SIK130682:SIK130683 SSG130682:SSG130683 TCC130682:TCC130683 TLY130682:TLY130683 TVU130682:TVU130683 UFQ130682:UFQ130683 UPM130682:UPM130683 UZI130682:UZI130683 VJE130682:VJE130683 VTA130682:VTA130683 WCW130682:WCW130683 WMS130682:WMS130683 WWO130682:WWO130683 AG196218:AG196219 KC196218:KC196219 TY196218:TY196219 ADU196218:ADU196219 ANQ196218:ANQ196219 AXM196218:AXM196219 BHI196218:BHI196219 BRE196218:BRE196219 CBA196218:CBA196219 CKW196218:CKW196219 CUS196218:CUS196219 DEO196218:DEO196219 DOK196218:DOK196219 DYG196218:DYG196219 EIC196218:EIC196219 ERY196218:ERY196219 FBU196218:FBU196219 FLQ196218:FLQ196219 FVM196218:FVM196219 GFI196218:GFI196219 GPE196218:GPE196219 GZA196218:GZA196219 HIW196218:HIW196219 HSS196218:HSS196219 ICO196218:ICO196219 IMK196218:IMK196219 IWG196218:IWG196219 JGC196218:JGC196219 JPY196218:JPY196219 JZU196218:JZU196219 KJQ196218:KJQ196219 KTM196218:KTM196219 LDI196218:LDI196219 LNE196218:LNE196219 LXA196218:LXA196219 MGW196218:MGW196219 MQS196218:MQS196219 NAO196218:NAO196219 NKK196218:NKK196219 NUG196218:NUG196219 OEC196218:OEC196219 ONY196218:ONY196219 OXU196218:OXU196219 PHQ196218:PHQ196219 PRM196218:PRM196219 QBI196218:QBI196219 QLE196218:QLE196219 QVA196218:QVA196219 REW196218:REW196219 ROS196218:ROS196219 RYO196218:RYO196219 SIK196218:SIK196219 SSG196218:SSG196219 TCC196218:TCC196219 TLY196218:TLY196219 TVU196218:TVU196219 UFQ196218:UFQ196219 UPM196218:UPM196219 UZI196218:UZI196219 VJE196218:VJE196219 VTA196218:VTA196219 WCW196218:WCW196219 WMS196218:WMS196219 WWO196218:WWO196219 AG261754:AG261755 KC261754:KC261755 TY261754:TY261755 ADU261754:ADU261755 ANQ261754:ANQ261755 AXM261754:AXM261755 BHI261754:BHI261755 BRE261754:BRE261755 CBA261754:CBA261755 CKW261754:CKW261755 CUS261754:CUS261755 DEO261754:DEO261755 DOK261754:DOK261755 DYG261754:DYG261755 EIC261754:EIC261755 ERY261754:ERY261755 FBU261754:FBU261755 FLQ261754:FLQ261755 FVM261754:FVM261755 GFI261754:GFI261755 GPE261754:GPE261755 GZA261754:GZA261755 HIW261754:HIW261755 HSS261754:HSS261755 ICO261754:ICO261755 IMK261754:IMK261755 IWG261754:IWG261755 JGC261754:JGC261755 JPY261754:JPY261755 JZU261754:JZU261755 KJQ261754:KJQ261755 KTM261754:KTM261755 LDI261754:LDI261755 LNE261754:LNE261755 LXA261754:LXA261755 MGW261754:MGW261755 MQS261754:MQS261755 NAO261754:NAO261755 NKK261754:NKK261755 NUG261754:NUG261755 OEC261754:OEC261755 ONY261754:ONY261755 OXU261754:OXU261755 PHQ261754:PHQ261755 PRM261754:PRM261755 QBI261754:QBI261755 QLE261754:QLE261755 QVA261754:QVA261755 REW261754:REW261755 ROS261754:ROS261755 RYO261754:RYO261755 SIK261754:SIK261755 SSG261754:SSG261755 TCC261754:TCC261755 TLY261754:TLY261755 TVU261754:TVU261755 UFQ261754:UFQ261755 UPM261754:UPM261755 UZI261754:UZI261755 VJE261754:VJE261755 VTA261754:VTA261755 WCW261754:WCW261755 WMS261754:WMS261755 WWO261754:WWO261755 AG327290:AG327291 KC327290:KC327291 TY327290:TY327291 ADU327290:ADU327291 ANQ327290:ANQ327291 AXM327290:AXM327291 BHI327290:BHI327291 BRE327290:BRE327291 CBA327290:CBA327291 CKW327290:CKW327291 CUS327290:CUS327291 DEO327290:DEO327291 DOK327290:DOK327291 DYG327290:DYG327291 EIC327290:EIC327291 ERY327290:ERY327291 FBU327290:FBU327291 FLQ327290:FLQ327291 FVM327290:FVM327291 GFI327290:GFI327291 GPE327290:GPE327291 GZA327290:GZA327291 HIW327290:HIW327291 HSS327290:HSS327291 ICO327290:ICO327291 IMK327290:IMK327291 IWG327290:IWG327291 JGC327290:JGC327291 JPY327290:JPY327291 JZU327290:JZU327291 KJQ327290:KJQ327291 KTM327290:KTM327291 LDI327290:LDI327291 LNE327290:LNE327291 LXA327290:LXA327291 MGW327290:MGW327291 MQS327290:MQS327291 NAO327290:NAO327291 NKK327290:NKK327291 NUG327290:NUG327291 OEC327290:OEC327291 ONY327290:ONY327291 OXU327290:OXU327291 PHQ327290:PHQ327291 PRM327290:PRM327291 QBI327290:QBI327291 QLE327290:QLE327291 QVA327290:QVA327291 REW327290:REW327291 ROS327290:ROS327291 RYO327290:RYO327291 SIK327290:SIK327291 SSG327290:SSG327291 TCC327290:TCC327291 TLY327290:TLY327291 TVU327290:TVU327291 UFQ327290:UFQ327291 UPM327290:UPM327291 UZI327290:UZI327291 VJE327290:VJE327291 VTA327290:VTA327291 WCW327290:WCW327291 WMS327290:WMS327291 WWO327290:WWO327291 AG392826:AG392827 KC392826:KC392827 TY392826:TY392827 ADU392826:ADU392827 ANQ392826:ANQ392827 AXM392826:AXM392827 BHI392826:BHI392827 BRE392826:BRE392827 CBA392826:CBA392827 CKW392826:CKW392827 CUS392826:CUS392827 DEO392826:DEO392827 DOK392826:DOK392827 DYG392826:DYG392827 EIC392826:EIC392827 ERY392826:ERY392827 FBU392826:FBU392827 FLQ392826:FLQ392827 FVM392826:FVM392827 GFI392826:GFI392827 GPE392826:GPE392827 GZA392826:GZA392827 HIW392826:HIW392827 HSS392826:HSS392827 ICO392826:ICO392827 IMK392826:IMK392827 IWG392826:IWG392827 JGC392826:JGC392827 JPY392826:JPY392827 JZU392826:JZU392827 KJQ392826:KJQ392827 KTM392826:KTM392827 LDI392826:LDI392827 LNE392826:LNE392827 LXA392826:LXA392827 MGW392826:MGW392827 MQS392826:MQS392827 NAO392826:NAO392827 NKK392826:NKK392827 NUG392826:NUG392827 OEC392826:OEC392827 ONY392826:ONY392827 OXU392826:OXU392827 PHQ392826:PHQ392827 PRM392826:PRM392827 QBI392826:QBI392827 QLE392826:QLE392827 QVA392826:QVA392827 REW392826:REW392827 ROS392826:ROS392827 RYO392826:RYO392827 SIK392826:SIK392827 SSG392826:SSG392827 TCC392826:TCC392827 TLY392826:TLY392827 TVU392826:TVU392827 UFQ392826:UFQ392827 UPM392826:UPM392827 UZI392826:UZI392827 VJE392826:VJE392827 VTA392826:VTA392827 WCW392826:WCW392827 WMS392826:WMS392827 WWO392826:WWO392827 AG458362:AG458363 KC458362:KC458363 TY458362:TY458363 ADU458362:ADU458363 ANQ458362:ANQ458363 AXM458362:AXM458363 BHI458362:BHI458363 BRE458362:BRE458363 CBA458362:CBA458363 CKW458362:CKW458363 CUS458362:CUS458363 DEO458362:DEO458363 DOK458362:DOK458363 DYG458362:DYG458363 EIC458362:EIC458363 ERY458362:ERY458363 FBU458362:FBU458363 FLQ458362:FLQ458363 FVM458362:FVM458363 GFI458362:GFI458363 GPE458362:GPE458363 GZA458362:GZA458363 HIW458362:HIW458363 HSS458362:HSS458363 ICO458362:ICO458363 IMK458362:IMK458363 IWG458362:IWG458363 JGC458362:JGC458363 JPY458362:JPY458363 JZU458362:JZU458363 KJQ458362:KJQ458363 KTM458362:KTM458363 LDI458362:LDI458363 LNE458362:LNE458363 LXA458362:LXA458363 MGW458362:MGW458363 MQS458362:MQS458363 NAO458362:NAO458363 NKK458362:NKK458363 NUG458362:NUG458363 OEC458362:OEC458363 ONY458362:ONY458363 OXU458362:OXU458363 PHQ458362:PHQ458363 PRM458362:PRM458363 QBI458362:QBI458363 QLE458362:QLE458363 QVA458362:QVA458363 REW458362:REW458363 ROS458362:ROS458363 RYO458362:RYO458363 SIK458362:SIK458363 SSG458362:SSG458363 TCC458362:TCC458363 TLY458362:TLY458363 TVU458362:TVU458363 UFQ458362:UFQ458363 UPM458362:UPM458363 UZI458362:UZI458363 VJE458362:VJE458363 VTA458362:VTA458363 WCW458362:WCW458363 WMS458362:WMS458363 WWO458362:WWO458363 AG523898:AG523899 KC523898:KC523899 TY523898:TY523899 ADU523898:ADU523899 ANQ523898:ANQ523899 AXM523898:AXM523899 BHI523898:BHI523899 BRE523898:BRE523899 CBA523898:CBA523899 CKW523898:CKW523899 CUS523898:CUS523899 DEO523898:DEO523899 DOK523898:DOK523899 DYG523898:DYG523899 EIC523898:EIC523899 ERY523898:ERY523899 FBU523898:FBU523899 FLQ523898:FLQ523899 FVM523898:FVM523899 GFI523898:GFI523899 GPE523898:GPE523899 GZA523898:GZA523899 HIW523898:HIW523899 HSS523898:HSS523899 ICO523898:ICO523899 IMK523898:IMK523899 IWG523898:IWG523899 JGC523898:JGC523899 JPY523898:JPY523899 JZU523898:JZU523899 KJQ523898:KJQ523899 KTM523898:KTM523899 LDI523898:LDI523899 LNE523898:LNE523899 LXA523898:LXA523899 MGW523898:MGW523899 MQS523898:MQS523899 NAO523898:NAO523899 NKK523898:NKK523899 NUG523898:NUG523899 OEC523898:OEC523899 ONY523898:ONY523899 OXU523898:OXU523899 PHQ523898:PHQ523899 PRM523898:PRM523899 QBI523898:QBI523899 QLE523898:QLE523899 QVA523898:QVA523899 REW523898:REW523899 ROS523898:ROS523899 RYO523898:RYO523899 SIK523898:SIK523899 SSG523898:SSG523899 TCC523898:TCC523899 TLY523898:TLY523899 TVU523898:TVU523899 UFQ523898:UFQ523899 UPM523898:UPM523899 UZI523898:UZI523899 VJE523898:VJE523899 VTA523898:VTA523899 WCW523898:WCW523899 WMS523898:WMS523899 WWO523898:WWO523899 AG589434:AG589435 KC589434:KC589435 TY589434:TY589435 ADU589434:ADU589435 ANQ589434:ANQ589435 AXM589434:AXM589435 BHI589434:BHI589435 BRE589434:BRE589435 CBA589434:CBA589435 CKW589434:CKW589435 CUS589434:CUS589435 DEO589434:DEO589435 DOK589434:DOK589435 DYG589434:DYG589435 EIC589434:EIC589435 ERY589434:ERY589435 FBU589434:FBU589435 FLQ589434:FLQ589435 FVM589434:FVM589435 GFI589434:GFI589435 GPE589434:GPE589435 GZA589434:GZA589435 HIW589434:HIW589435 HSS589434:HSS589435 ICO589434:ICO589435 IMK589434:IMK589435 IWG589434:IWG589435 JGC589434:JGC589435 JPY589434:JPY589435 JZU589434:JZU589435 KJQ589434:KJQ589435 KTM589434:KTM589435 LDI589434:LDI589435 LNE589434:LNE589435 LXA589434:LXA589435 MGW589434:MGW589435 MQS589434:MQS589435 NAO589434:NAO589435 NKK589434:NKK589435 NUG589434:NUG589435 OEC589434:OEC589435 ONY589434:ONY589435 OXU589434:OXU589435 PHQ589434:PHQ589435 PRM589434:PRM589435 QBI589434:QBI589435 QLE589434:QLE589435 QVA589434:QVA589435 REW589434:REW589435 ROS589434:ROS589435 RYO589434:RYO589435 SIK589434:SIK589435 SSG589434:SSG589435 TCC589434:TCC589435 TLY589434:TLY589435 TVU589434:TVU589435 UFQ589434:UFQ589435 UPM589434:UPM589435 UZI589434:UZI589435 VJE589434:VJE589435 VTA589434:VTA589435 WCW589434:WCW589435 WMS589434:WMS589435 WWO589434:WWO589435 AG654970:AG654971 KC654970:KC654971 TY654970:TY654971 ADU654970:ADU654971 ANQ654970:ANQ654971 AXM654970:AXM654971 BHI654970:BHI654971 BRE654970:BRE654971 CBA654970:CBA654971 CKW654970:CKW654971 CUS654970:CUS654971 DEO654970:DEO654971 DOK654970:DOK654971 DYG654970:DYG654971 EIC654970:EIC654971 ERY654970:ERY654971 FBU654970:FBU654971 FLQ654970:FLQ654971 FVM654970:FVM654971 GFI654970:GFI654971 GPE654970:GPE654971 GZA654970:GZA654971 HIW654970:HIW654971 HSS654970:HSS654971 ICO654970:ICO654971 IMK654970:IMK654971 IWG654970:IWG654971 JGC654970:JGC654971 JPY654970:JPY654971 JZU654970:JZU654971 KJQ654970:KJQ654971 KTM654970:KTM654971 LDI654970:LDI654971 LNE654970:LNE654971 LXA654970:LXA654971 MGW654970:MGW654971 MQS654970:MQS654971 NAO654970:NAO654971 NKK654970:NKK654971 NUG654970:NUG654971 OEC654970:OEC654971 ONY654970:ONY654971 OXU654970:OXU654971 PHQ654970:PHQ654971 PRM654970:PRM654971 QBI654970:QBI654971 QLE654970:QLE654971 QVA654970:QVA654971 REW654970:REW654971 ROS654970:ROS654971 RYO654970:RYO654971 SIK654970:SIK654971 SSG654970:SSG654971 TCC654970:TCC654971 TLY654970:TLY654971 TVU654970:TVU654971 UFQ654970:UFQ654971 UPM654970:UPM654971 UZI654970:UZI654971 VJE654970:VJE654971 VTA654970:VTA654971 WCW654970:WCW654971 WMS654970:WMS654971 WWO654970:WWO654971 AG720506:AG720507 KC720506:KC720507 TY720506:TY720507 ADU720506:ADU720507 ANQ720506:ANQ720507 AXM720506:AXM720507 BHI720506:BHI720507 BRE720506:BRE720507 CBA720506:CBA720507 CKW720506:CKW720507 CUS720506:CUS720507 DEO720506:DEO720507 DOK720506:DOK720507 DYG720506:DYG720507 EIC720506:EIC720507 ERY720506:ERY720507 FBU720506:FBU720507 FLQ720506:FLQ720507 FVM720506:FVM720507 GFI720506:GFI720507 GPE720506:GPE720507 GZA720506:GZA720507 HIW720506:HIW720507 HSS720506:HSS720507 ICO720506:ICO720507 IMK720506:IMK720507 IWG720506:IWG720507 JGC720506:JGC720507 JPY720506:JPY720507 JZU720506:JZU720507 KJQ720506:KJQ720507 KTM720506:KTM720507 LDI720506:LDI720507 LNE720506:LNE720507 LXA720506:LXA720507 MGW720506:MGW720507 MQS720506:MQS720507 NAO720506:NAO720507 NKK720506:NKK720507 NUG720506:NUG720507 OEC720506:OEC720507 ONY720506:ONY720507 OXU720506:OXU720507 PHQ720506:PHQ720507 PRM720506:PRM720507 QBI720506:QBI720507 QLE720506:QLE720507 QVA720506:QVA720507 REW720506:REW720507 ROS720506:ROS720507 RYO720506:RYO720507 SIK720506:SIK720507 SSG720506:SSG720507 TCC720506:TCC720507 TLY720506:TLY720507 TVU720506:TVU720507 UFQ720506:UFQ720507 UPM720506:UPM720507 UZI720506:UZI720507 VJE720506:VJE720507 VTA720506:VTA720507 WCW720506:WCW720507 WMS720506:WMS720507 WWO720506:WWO720507 AG786042:AG786043 KC786042:KC786043 TY786042:TY786043 ADU786042:ADU786043 ANQ786042:ANQ786043 AXM786042:AXM786043 BHI786042:BHI786043 BRE786042:BRE786043 CBA786042:CBA786043 CKW786042:CKW786043 CUS786042:CUS786043 DEO786042:DEO786043 DOK786042:DOK786043 DYG786042:DYG786043 EIC786042:EIC786043 ERY786042:ERY786043 FBU786042:FBU786043 FLQ786042:FLQ786043 FVM786042:FVM786043 GFI786042:GFI786043 GPE786042:GPE786043 GZA786042:GZA786043 HIW786042:HIW786043 HSS786042:HSS786043 ICO786042:ICO786043 IMK786042:IMK786043 IWG786042:IWG786043 JGC786042:JGC786043 JPY786042:JPY786043 JZU786042:JZU786043 KJQ786042:KJQ786043 KTM786042:KTM786043 LDI786042:LDI786043 LNE786042:LNE786043 LXA786042:LXA786043 MGW786042:MGW786043 MQS786042:MQS786043 NAO786042:NAO786043 NKK786042:NKK786043 NUG786042:NUG786043 OEC786042:OEC786043 ONY786042:ONY786043 OXU786042:OXU786043 PHQ786042:PHQ786043 PRM786042:PRM786043 QBI786042:QBI786043 QLE786042:QLE786043 QVA786042:QVA786043 REW786042:REW786043 ROS786042:ROS786043 RYO786042:RYO786043 SIK786042:SIK786043 SSG786042:SSG786043 TCC786042:TCC786043 TLY786042:TLY786043 TVU786042:TVU786043 UFQ786042:UFQ786043 UPM786042:UPM786043 UZI786042:UZI786043 VJE786042:VJE786043 VTA786042:VTA786043 WCW786042:WCW786043 WMS786042:WMS786043 WWO786042:WWO786043 AG851578:AG851579 KC851578:KC851579 TY851578:TY851579 ADU851578:ADU851579 ANQ851578:ANQ851579 AXM851578:AXM851579 BHI851578:BHI851579 BRE851578:BRE851579 CBA851578:CBA851579 CKW851578:CKW851579 CUS851578:CUS851579 DEO851578:DEO851579 DOK851578:DOK851579 DYG851578:DYG851579 EIC851578:EIC851579 ERY851578:ERY851579 FBU851578:FBU851579 FLQ851578:FLQ851579 FVM851578:FVM851579 GFI851578:GFI851579 GPE851578:GPE851579 GZA851578:GZA851579 HIW851578:HIW851579 HSS851578:HSS851579 ICO851578:ICO851579 IMK851578:IMK851579 IWG851578:IWG851579 JGC851578:JGC851579 JPY851578:JPY851579 JZU851578:JZU851579 KJQ851578:KJQ851579 KTM851578:KTM851579 LDI851578:LDI851579 LNE851578:LNE851579 LXA851578:LXA851579 MGW851578:MGW851579 MQS851578:MQS851579 NAO851578:NAO851579 NKK851578:NKK851579 NUG851578:NUG851579 OEC851578:OEC851579 ONY851578:ONY851579 OXU851578:OXU851579 PHQ851578:PHQ851579 PRM851578:PRM851579 QBI851578:QBI851579 QLE851578:QLE851579 QVA851578:QVA851579 REW851578:REW851579 ROS851578:ROS851579 RYO851578:RYO851579 SIK851578:SIK851579 SSG851578:SSG851579 TCC851578:TCC851579 TLY851578:TLY851579 TVU851578:TVU851579 UFQ851578:UFQ851579 UPM851578:UPM851579 UZI851578:UZI851579 VJE851578:VJE851579 VTA851578:VTA851579 WCW851578:WCW851579 WMS851578:WMS851579 WWO851578:WWO851579 AG917114:AG917115 KC917114:KC917115 TY917114:TY917115 ADU917114:ADU917115 ANQ917114:ANQ917115 AXM917114:AXM917115 BHI917114:BHI917115 BRE917114:BRE917115 CBA917114:CBA917115 CKW917114:CKW917115 CUS917114:CUS917115 DEO917114:DEO917115 DOK917114:DOK917115 DYG917114:DYG917115 EIC917114:EIC917115 ERY917114:ERY917115 FBU917114:FBU917115 FLQ917114:FLQ917115 FVM917114:FVM917115 GFI917114:GFI917115 GPE917114:GPE917115 GZA917114:GZA917115 HIW917114:HIW917115 HSS917114:HSS917115 ICO917114:ICO917115 IMK917114:IMK917115 IWG917114:IWG917115 JGC917114:JGC917115 JPY917114:JPY917115 JZU917114:JZU917115 KJQ917114:KJQ917115 KTM917114:KTM917115 LDI917114:LDI917115 LNE917114:LNE917115 LXA917114:LXA917115 MGW917114:MGW917115 MQS917114:MQS917115 NAO917114:NAO917115 NKK917114:NKK917115 NUG917114:NUG917115 OEC917114:OEC917115 ONY917114:ONY917115 OXU917114:OXU917115 PHQ917114:PHQ917115 PRM917114:PRM917115 QBI917114:QBI917115 QLE917114:QLE917115 QVA917114:QVA917115 REW917114:REW917115 ROS917114:ROS917115 RYO917114:RYO917115 SIK917114:SIK917115 SSG917114:SSG917115 TCC917114:TCC917115 TLY917114:TLY917115 TVU917114:TVU917115 UFQ917114:UFQ917115 UPM917114:UPM917115 UZI917114:UZI917115 VJE917114:VJE917115 VTA917114:VTA917115 WCW917114:WCW917115 WMS917114:WMS917115 WWO917114:WWO917115 AG982650:AG982651 KC982650:KC982651 TY982650:TY982651 ADU982650:ADU982651 ANQ982650:ANQ982651 AXM982650:AXM982651 BHI982650:BHI982651 BRE982650:BRE982651 CBA982650:CBA982651 CKW982650:CKW982651 CUS982650:CUS982651 DEO982650:DEO982651 DOK982650:DOK982651 DYG982650:DYG982651 EIC982650:EIC982651 ERY982650:ERY982651 FBU982650:FBU982651 FLQ982650:FLQ982651 FVM982650:FVM982651 GFI982650:GFI982651 GPE982650:GPE982651 GZA982650:GZA982651 HIW982650:HIW982651 HSS982650:HSS982651 ICO982650:ICO982651 IMK982650:IMK982651 IWG982650:IWG982651 JGC982650:JGC982651 JPY982650:JPY982651 JZU982650:JZU982651 KJQ982650:KJQ982651 KTM982650:KTM982651 LDI982650:LDI982651 LNE982650:LNE982651 LXA982650:LXA982651 MGW982650:MGW982651 MQS982650:MQS982651 NAO982650:NAO982651 NKK982650:NKK982651 NUG982650:NUG982651 OEC982650:OEC982651 ONY982650:ONY982651 OXU982650:OXU982651 PHQ982650:PHQ982651 PRM982650:PRM982651 QBI982650:QBI982651 QLE982650:QLE982651 QVA982650:QVA982651 REW982650:REW982651 ROS982650:ROS982651 RYO982650:RYO982651 SIK982650:SIK982651 SSG982650:SSG982651 TCC982650:TCC982651 TLY982650:TLY982651 TVU982650:TVU982651 UFQ982650:UFQ982651 UPM982650:UPM982651 UZI982650:UZI982651 VJE982650:VJE982651 VTA982650:VTA982651 WCW982650:WCW982651 WMS982650:WMS982651 WWO982650:WWO982651 AS982650:AS982651 KO982650:KO982651 UK982650:UK982651 AEG982650:AEG982651 AOC982650:AOC982651 AXY982650:AXY982651 BHU982650:BHU982651 BRQ982650:BRQ982651 CBM982650:CBM982651 CLI982650:CLI982651 CVE982650:CVE982651 DFA982650:DFA982651 DOW982650:DOW982651 DYS982650:DYS982651 EIO982650:EIO982651 ESK982650:ESK982651 FCG982650:FCG982651 FMC982650:FMC982651 FVY982650:FVY982651 GFU982650:GFU982651 GPQ982650:GPQ982651 GZM982650:GZM982651 HJI982650:HJI982651 HTE982650:HTE982651 IDA982650:IDA982651 IMW982650:IMW982651 IWS982650:IWS982651 JGO982650:JGO982651 JQK982650:JQK982651 KAG982650:KAG982651 KKC982650:KKC982651 KTY982650:KTY982651 LDU982650:LDU982651 LNQ982650:LNQ982651 LXM982650:LXM982651 MHI982650:MHI982651 MRE982650:MRE982651 NBA982650:NBA982651 NKW982650:NKW982651 NUS982650:NUS982651 OEO982650:OEO982651 OOK982650:OOK982651 OYG982650:OYG982651 PIC982650:PIC982651 PRY982650:PRY982651 QBU982650:QBU982651 QLQ982650:QLQ982651 QVM982650:QVM982651 RFI982650:RFI982651 RPE982650:RPE982651 RZA982650:RZA982651 SIW982650:SIW982651 SSS982650:SSS982651 TCO982650:TCO982651 TMK982650:TMK982651 TWG982650:TWG982651 UGC982650:UGC982651 UPY982650:UPY982651 UZU982650:UZU982651 VJQ982650:VJQ982651 VTM982650:VTM982651 WDI982650:WDI982651 WNE982650:WNE982651 WXA982650:WXA982651 AS65146:AS65147 KO65146:KO65147 UK65146:UK65147 AEG65146:AEG65147 AOC65146:AOC65147 AXY65146:AXY65147 BHU65146:BHU65147 BRQ65146:BRQ65147 CBM65146:CBM65147 CLI65146:CLI65147 CVE65146:CVE65147 DFA65146:DFA65147 DOW65146:DOW65147 DYS65146:DYS65147 EIO65146:EIO65147 ESK65146:ESK65147 FCG65146:FCG65147 FMC65146:FMC65147 FVY65146:FVY65147 GFU65146:GFU65147 GPQ65146:GPQ65147 GZM65146:GZM65147 HJI65146:HJI65147 HTE65146:HTE65147 IDA65146:IDA65147 IMW65146:IMW65147 IWS65146:IWS65147 JGO65146:JGO65147 JQK65146:JQK65147 KAG65146:KAG65147 KKC65146:KKC65147 KTY65146:KTY65147 LDU65146:LDU65147 LNQ65146:LNQ65147 LXM65146:LXM65147 MHI65146:MHI65147 MRE65146:MRE65147 NBA65146:NBA65147 NKW65146:NKW65147 NUS65146:NUS65147 OEO65146:OEO65147 OOK65146:OOK65147 OYG65146:OYG65147 PIC65146:PIC65147 PRY65146:PRY65147 QBU65146:QBU65147 QLQ65146:QLQ65147 QVM65146:QVM65147 RFI65146:RFI65147 RPE65146:RPE65147 RZA65146:RZA65147 SIW65146:SIW65147 SSS65146:SSS65147 TCO65146:TCO65147 TMK65146:TMK65147 TWG65146:TWG65147 UGC65146:UGC65147 UPY65146:UPY65147 UZU65146:UZU65147 VJQ65146:VJQ65147 VTM65146:VTM65147 WDI65146:WDI65147 WNE65146:WNE65147 WXA65146:WXA65147 AS130682:AS130683 KO130682:KO130683 UK130682:UK130683 AEG130682:AEG130683 AOC130682:AOC130683 AXY130682:AXY130683 BHU130682:BHU130683 BRQ130682:BRQ130683 CBM130682:CBM130683 CLI130682:CLI130683 CVE130682:CVE130683 DFA130682:DFA130683 DOW130682:DOW130683 DYS130682:DYS130683 EIO130682:EIO130683 ESK130682:ESK130683 FCG130682:FCG130683 FMC130682:FMC130683 FVY130682:FVY130683 GFU130682:GFU130683 GPQ130682:GPQ130683 GZM130682:GZM130683 HJI130682:HJI130683 HTE130682:HTE130683 IDA130682:IDA130683 IMW130682:IMW130683 IWS130682:IWS130683 JGO130682:JGO130683 JQK130682:JQK130683 KAG130682:KAG130683 KKC130682:KKC130683 KTY130682:KTY130683 LDU130682:LDU130683 LNQ130682:LNQ130683 LXM130682:LXM130683 MHI130682:MHI130683 MRE130682:MRE130683 NBA130682:NBA130683 NKW130682:NKW130683 NUS130682:NUS130683 OEO130682:OEO130683 OOK130682:OOK130683 OYG130682:OYG130683 PIC130682:PIC130683 PRY130682:PRY130683 QBU130682:QBU130683 QLQ130682:QLQ130683 QVM130682:QVM130683 RFI130682:RFI130683 RPE130682:RPE130683 RZA130682:RZA130683 SIW130682:SIW130683 SSS130682:SSS130683 TCO130682:TCO130683 TMK130682:TMK130683 TWG130682:TWG130683 UGC130682:UGC130683 UPY130682:UPY130683 UZU130682:UZU130683 VJQ130682:VJQ130683 VTM130682:VTM130683 WDI130682:WDI130683 WNE130682:WNE130683 WXA130682:WXA130683 AS196218:AS196219 KO196218:KO196219 UK196218:UK196219 AEG196218:AEG196219 AOC196218:AOC196219 AXY196218:AXY196219 BHU196218:BHU196219 BRQ196218:BRQ196219 CBM196218:CBM196219 CLI196218:CLI196219 CVE196218:CVE196219 DFA196218:DFA196219 DOW196218:DOW196219 DYS196218:DYS196219 EIO196218:EIO196219 ESK196218:ESK196219 FCG196218:FCG196219 FMC196218:FMC196219 FVY196218:FVY196219 GFU196218:GFU196219 GPQ196218:GPQ196219 GZM196218:GZM196219 HJI196218:HJI196219 HTE196218:HTE196219 IDA196218:IDA196219 IMW196218:IMW196219 IWS196218:IWS196219 JGO196218:JGO196219 JQK196218:JQK196219 KAG196218:KAG196219 KKC196218:KKC196219 KTY196218:KTY196219 LDU196218:LDU196219 LNQ196218:LNQ196219 LXM196218:LXM196219 MHI196218:MHI196219 MRE196218:MRE196219 NBA196218:NBA196219 NKW196218:NKW196219 NUS196218:NUS196219 OEO196218:OEO196219 OOK196218:OOK196219 OYG196218:OYG196219 PIC196218:PIC196219 PRY196218:PRY196219 QBU196218:QBU196219 QLQ196218:QLQ196219 QVM196218:QVM196219 RFI196218:RFI196219 RPE196218:RPE196219 RZA196218:RZA196219 SIW196218:SIW196219 SSS196218:SSS196219 TCO196218:TCO196219 TMK196218:TMK196219 TWG196218:TWG196219 UGC196218:UGC196219 UPY196218:UPY196219 UZU196218:UZU196219 VJQ196218:VJQ196219 VTM196218:VTM196219 WDI196218:WDI196219 WNE196218:WNE196219 WXA196218:WXA196219 AS261754:AS261755 KO261754:KO261755 UK261754:UK261755 AEG261754:AEG261755 AOC261754:AOC261755 AXY261754:AXY261755 BHU261754:BHU261755 BRQ261754:BRQ261755 CBM261754:CBM261755 CLI261754:CLI261755 CVE261754:CVE261755 DFA261754:DFA261755 DOW261754:DOW261755 DYS261754:DYS261755 EIO261754:EIO261755 ESK261754:ESK261755 FCG261754:FCG261755 FMC261754:FMC261755 FVY261754:FVY261755 GFU261754:GFU261755 GPQ261754:GPQ261755 GZM261754:GZM261755 HJI261754:HJI261755 HTE261754:HTE261755 IDA261754:IDA261755 IMW261754:IMW261755 IWS261754:IWS261755 JGO261754:JGO261755 JQK261754:JQK261755 KAG261754:KAG261755 KKC261754:KKC261755 KTY261754:KTY261755 LDU261754:LDU261755 LNQ261754:LNQ261755 LXM261754:LXM261755 MHI261754:MHI261755 MRE261754:MRE261755 NBA261754:NBA261755 NKW261754:NKW261755 NUS261754:NUS261755 OEO261754:OEO261755 OOK261754:OOK261755 OYG261754:OYG261755 PIC261754:PIC261755 PRY261754:PRY261755 QBU261754:QBU261755 QLQ261754:QLQ261755 QVM261754:QVM261755 RFI261754:RFI261755 RPE261754:RPE261755 RZA261754:RZA261755 SIW261754:SIW261755 SSS261754:SSS261755 TCO261754:TCO261755 TMK261754:TMK261755 TWG261754:TWG261755 UGC261754:UGC261755 UPY261754:UPY261755 UZU261754:UZU261755 VJQ261754:VJQ261755 VTM261754:VTM261755 WDI261754:WDI261755 WNE261754:WNE261755 WXA261754:WXA261755 AS327290:AS327291 KO327290:KO327291 UK327290:UK327291 AEG327290:AEG327291 AOC327290:AOC327291 AXY327290:AXY327291 BHU327290:BHU327291 BRQ327290:BRQ327291 CBM327290:CBM327291 CLI327290:CLI327291 CVE327290:CVE327291 DFA327290:DFA327291 DOW327290:DOW327291 DYS327290:DYS327291 EIO327290:EIO327291 ESK327290:ESK327291 FCG327290:FCG327291 FMC327290:FMC327291 FVY327290:FVY327291 GFU327290:GFU327291 GPQ327290:GPQ327291 GZM327290:GZM327291 HJI327290:HJI327291 HTE327290:HTE327291 IDA327290:IDA327291 IMW327290:IMW327291 IWS327290:IWS327291 JGO327290:JGO327291 JQK327290:JQK327291 KAG327290:KAG327291 KKC327290:KKC327291 KTY327290:KTY327291 LDU327290:LDU327291 LNQ327290:LNQ327291 LXM327290:LXM327291 MHI327290:MHI327291 MRE327290:MRE327291 NBA327290:NBA327291 NKW327290:NKW327291 NUS327290:NUS327291 OEO327290:OEO327291 OOK327290:OOK327291 OYG327290:OYG327291 PIC327290:PIC327291 PRY327290:PRY327291 QBU327290:QBU327291 QLQ327290:QLQ327291 QVM327290:QVM327291 RFI327290:RFI327291 RPE327290:RPE327291 RZA327290:RZA327291 SIW327290:SIW327291 SSS327290:SSS327291 TCO327290:TCO327291 TMK327290:TMK327291 TWG327290:TWG327291 UGC327290:UGC327291 UPY327290:UPY327291 UZU327290:UZU327291 VJQ327290:VJQ327291 VTM327290:VTM327291 WDI327290:WDI327291 WNE327290:WNE327291 WXA327290:WXA327291 AS392826:AS392827 KO392826:KO392827 UK392826:UK392827 AEG392826:AEG392827 AOC392826:AOC392827 AXY392826:AXY392827 BHU392826:BHU392827 BRQ392826:BRQ392827 CBM392826:CBM392827 CLI392826:CLI392827 CVE392826:CVE392827 DFA392826:DFA392827 DOW392826:DOW392827 DYS392826:DYS392827 EIO392826:EIO392827 ESK392826:ESK392827 FCG392826:FCG392827 FMC392826:FMC392827 FVY392826:FVY392827 GFU392826:GFU392827 GPQ392826:GPQ392827 GZM392826:GZM392827 HJI392826:HJI392827 HTE392826:HTE392827 IDA392826:IDA392827 IMW392826:IMW392827 IWS392826:IWS392827 JGO392826:JGO392827 JQK392826:JQK392827 KAG392826:KAG392827 KKC392826:KKC392827 KTY392826:KTY392827 LDU392826:LDU392827 LNQ392826:LNQ392827 LXM392826:LXM392827 MHI392826:MHI392827 MRE392826:MRE392827 NBA392826:NBA392827 NKW392826:NKW392827 NUS392826:NUS392827 OEO392826:OEO392827 OOK392826:OOK392827 OYG392826:OYG392827 PIC392826:PIC392827 PRY392826:PRY392827 QBU392826:QBU392827 QLQ392826:QLQ392827 QVM392826:QVM392827 RFI392826:RFI392827 RPE392826:RPE392827 RZA392826:RZA392827 SIW392826:SIW392827 SSS392826:SSS392827 TCO392826:TCO392827 TMK392826:TMK392827 TWG392826:TWG392827 UGC392826:UGC392827 UPY392826:UPY392827 UZU392826:UZU392827 VJQ392826:VJQ392827 VTM392826:VTM392827 WDI392826:WDI392827 WNE392826:WNE392827 WXA392826:WXA392827 AS458362:AS458363 KO458362:KO458363 UK458362:UK458363 AEG458362:AEG458363 AOC458362:AOC458363 AXY458362:AXY458363 BHU458362:BHU458363 BRQ458362:BRQ458363 CBM458362:CBM458363 CLI458362:CLI458363 CVE458362:CVE458363 DFA458362:DFA458363 DOW458362:DOW458363 DYS458362:DYS458363 EIO458362:EIO458363 ESK458362:ESK458363 FCG458362:FCG458363 FMC458362:FMC458363 FVY458362:FVY458363 GFU458362:GFU458363 GPQ458362:GPQ458363 GZM458362:GZM458363 HJI458362:HJI458363 HTE458362:HTE458363 IDA458362:IDA458363 IMW458362:IMW458363 IWS458362:IWS458363 JGO458362:JGO458363 JQK458362:JQK458363 KAG458362:KAG458363 KKC458362:KKC458363 KTY458362:KTY458363 LDU458362:LDU458363 LNQ458362:LNQ458363 LXM458362:LXM458363 MHI458362:MHI458363 MRE458362:MRE458363 NBA458362:NBA458363 NKW458362:NKW458363 NUS458362:NUS458363 OEO458362:OEO458363 OOK458362:OOK458363 OYG458362:OYG458363 PIC458362:PIC458363 PRY458362:PRY458363 QBU458362:QBU458363 QLQ458362:QLQ458363 QVM458362:QVM458363 RFI458362:RFI458363 RPE458362:RPE458363 RZA458362:RZA458363 SIW458362:SIW458363 SSS458362:SSS458363 TCO458362:TCO458363 TMK458362:TMK458363 TWG458362:TWG458363 UGC458362:UGC458363 UPY458362:UPY458363 UZU458362:UZU458363 VJQ458362:VJQ458363 VTM458362:VTM458363 WDI458362:WDI458363 WNE458362:WNE458363 WXA458362:WXA458363 AS523898:AS523899 KO523898:KO523899 UK523898:UK523899 AEG523898:AEG523899 AOC523898:AOC523899 AXY523898:AXY523899 BHU523898:BHU523899 BRQ523898:BRQ523899 CBM523898:CBM523899 CLI523898:CLI523899 CVE523898:CVE523899 DFA523898:DFA523899 DOW523898:DOW523899 DYS523898:DYS523899 EIO523898:EIO523899 ESK523898:ESK523899 FCG523898:FCG523899 FMC523898:FMC523899 FVY523898:FVY523899 GFU523898:GFU523899 GPQ523898:GPQ523899 GZM523898:GZM523899 HJI523898:HJI523899 HTE523898:HTE523899 IDA523898:IDA523899 IMW523898:IMW523899 IWS523898:IWS523899 JGO523898:JGO523899 JQK523898:JQK523899 KAG523898:KAG523899 KKC523898:KKC523899 KTY523898:KTY523899 LDU523898:LDU523899 LNQ523898:LNQ523899 LXM523898:LXM523899 MHI523898:MHI523899 MRE523898:MRE523899 NBA523898:NBA523899 NKW523898:NKW523899 NUS523898:NUS523899 OEO523898:OEO523899 OOK523898:OOK523899 OYG523898:OYG523899 PIC523898:PIC523899 PRY523898:PRY523899 QBU523898:QBU523899 QLQ523898:QLQ523899 QVM523898:QVM523899 RFI523898:RFI523899 RPE523898:RPE523899 RZA523898:RZA523899 SIW523898:SIW523899 SSS523898:SSS523899 TCO523898:TCO523899 TMK523898:TMK523899 TWG523898:TWG523899 UGC523898:UGC523899 UPY523898:UPY523899 UZU523898:UZU523899 VJQ523898:VJQ523899 VTM523898:VTM523899 WDI523898:WDI523899 WNE523898:WNE523899 WXA523898:WXA523899 AS589434:AS589435 KO589434:KO589435 UK589434:UK589435 AEG589434:AEG589435 AOC589434:AOC589435 AXY589434:AXY589435 BHU589434:BHU589435 BRQ589434:BRQ589435 CBM589434:CBM589435 CLI589434:CLI589435 CVE589434:CVE589435 DFA589434:DFA589435 DOW589434:DOW589435 DYS589434:DYS589435 EIO589434:EIO589435 ESK589434:ESK589435 FCG589434:FCG589435 FMC589434:FMC589435 FVY589434:FVY589435 GFU589434:GFU589435 GPQ589434:GPQ589435 GZM589434:GZM589435 HJI589434:HJI589435 HTE589434:HTE589435 IDA589434:IDA589435 IMW589434:IMW589435 IWS589434:IWS589435 JGO589434:JGO589435 JQK589434:JQK589435 KAG589434:KAG589435 KKC589434:KKC589435 KTY589434:KTY589435 LDU589434:LDU589435 LNQ589434:LNQ589435 LXM589434:LXM589435 MHI589434:MHI589435 MRE589434:MRE589435 NBA589434:NBA589435 NKW589434:NKW589435 NUS589434:NUS589435 OEO589434:OEO589435 OOK589434:OOK589435 OYG589434:OYG589435 PIC589434:PIC589435 PRY589434:PRY589435 QBU589434:QBU589435 QLQ589434:QLQ589435 QVM589434:QVM589435 RFI589434:RFI589435 RPE589434:RPE589435 RZA589434:RZA589435 SIW589434:SIW589435 SSS589434:SSS589435 TCO589434:TCO589435 TMK589434:TMK589435 TWG589434:TWG589435 UGC589434:UGC589435 UPY589434:UPY589435 UZU589434:UZU589435 VJQ589434:VJQ589435 VTM589434:VTM589435 WDI589434:WDI589435 WNE589434:WNE589435 WXA589434:WXA589435 AS654970:AS654971 KO654970:KO654971 UK654970:UK654971 AEG654970:AEG654971 AOC654970:AOC654971 AXY654970:AXY654971 BHU654970:BHU654971 BRQ654970:BRQ654971 CBM654970:CBM654971 CLI654970:CLI654971 CVE654970:CVE654971 DFA654970:DFA654971 DOW654970:DOW654971 DYS654970:DYS654971 EIO654970:EIO654971 ESK654970:ESK654971 FCG654970:FCG654971 FMC654970:FMC654971 FVY654970:FVY654971 GFU654970:GFU654971 GPQ654970:GPQ654971 GZM654970:GZM654971 HJI654970:HJI654971 HTE654970:HTE654971 IDA654970:IDA654971 IMW654970:IMW654971 IWS654970:IWS654971 JGO654970:JGO654971 JQK654970:JQK654971 KAG654970:KAG654971 KKC654970:KKC654971 KTY654970:KTY654971 LDU654970:LDU654971 LNQ654970:LNQ654971 LXM654970:LXM654971 MHI654970:MHI654971 MRE654970:MRE654971 NBA654970:NBA654971 NKW654970:NKW654971 NUS654970:NUS654971 OEO654970:OEO654971 OOK654970:OOK654971 OYG654970:OYG654971 PIC654970:PIC654971 PRY654970:PRY654971 QBU654970:QBU654971 QLQ654970:QLQ654971 QVM654970:QVM654971 RFI654970:RFI654971 RPE654970:RPE654971 RZA654970:RZA654971 SIW654970:SIW654971 SSS654970:SSS654971 TCO654970:TCO654971 TMK654970:TMK654971 TWG654970:TWG654971 UGC654970:UGC654971 UPY654970:UPY654971 UZU654970:UZU654971 VJQ654970:VJQ654971 VTM654970:VTM654971 WDI654970:WDI654971 WNE654970:WNE654971 WXA654970:WXA654971 AK3:AK4 KG3:KG4 UC3:UC4 ADY3:ADY4 ANU3:ANU4 AXQ3:AXQ4 BHM3:BHM4 BRI3:BRI4 CBE3:CBE4 CLA3:CLA4 CUW3:CUW4 DES3:DES4 DOO3:DOO4 DYK3:DYK4 EIG3:EIG4 ESC3:ESC4 FBY3:FBY4 FLU3:FLU4 FVQ3:FVQ4 GFM3:GFM4 GPI3:GPI4 GZE3:GZE4 HJA3:HJA4 HSW3:HSW4 ICS3:ICS4 IMO3:IMO4 IWK3:IWK4 JGG3:JGG4 JQC3:JQC4 JZY3:JZY4 KJU3:KJU4 KTQ3:KTQ4 LDM3:LDM4 LNI3:LNI4 LXE3:LXE4 MHA3:MHA4 MQW3:MQW4 NAS3:NAS4 NKO3:NKO4 NUK3:NUK4 OEG3:OEG4 OOC3:OOC4 OXY3:OXY4 PHU3:PHU4 PRQ3:PRQ4 QBM3:QBM4 QLI3:QLI4 QVE3:QVE4 RFA3:RFA4 ROW3:ROW4 RYS3:RYS4 SIO3:SIO4 SSK3:SSK4 TCG3:TCG4 TMC3:TMC4 TVY3:TVY4 UFU3:UFU4 UPQ3:UPQ4 UZM3:UZM4 VJI3:VJI4 VTE3:VTE4 WDA3:WDA4 WMW3:WMW4 WWS3:WWS4 AO3:AO4 KK3:KK4 UG3:UG4 AEC3:AEC4 ANY3:ANY4 AXU3:AXU4 BHQ3:BHQ4 BRM3:BRM4 CBI3:CBI4 CLE3:CLE4 CVA3:CVA4 DEW3:DEW4 DOS3:DOS4 DYO3:DYO4 EIK3:EIK4 ESG3:ESG4 FCC3:FCC4 FLY3:FLY4 FVU3:FVU4 GFQ3:GFQ4 GPM3:GPM4 GZI3:GZI4 HJE3:HJE4 HTA3:HTA4 ICW3:ICW4 IMS3:IMS4 IWO3:IWO4 JGK3:JGK4 JQG3:JQG4 KAC3:KAC4 KJY3:KJY4 KTU3:KTU4 LDQ3:LDQ4 LNM3:LNM4 LXI3:LXI4 MHE3:MHE4 MRA3:MRA4 NAW3:NAW4 NKS3:NKS4 NUO3:NUO4 OEK3:OEK4 OOG3:OOG4 OYC3:OYC4 PHY3:PHY4 PRU3:PRU4 QBQ3:QBQ4 QLM3:QLM4 QVI3:QVI4 RFE3:RFE4 RPA3:RPA4 RYW3:RYW4 SIS3:SIS4 SSO3:SSO4 TCK3:TCK4 TMG3:TMG4 TWC3:TWC4 UFY3:UFY4 UPU3:UPU4 UZQ3:UZQ4 VJM3:VJM4 VTI3:VTI4 WDE3:WDE4 WNA3:WNA4 WWW3:WWW4 AC3:AC4 JY3:JY4 TU3:TU4 ADQ3:ADQ4 ANM3:ANM4 AXI3:AXI4 BHE3:BHE4 BRA3:BRA4 CAW3:CAW4 CKS3:CKS4 CUO3:CUO4 DEK3:DEK4 DOG3:DOG4 DYC3:DYC4 EHY3:EHY4 ERU3:ERU4 FBQ3:FBQ4 FLM3:FLM4 FVI3:FVI4 GFE3:GFE4 GPA3:GPA4 GYW3:GYW4 HIS3:HIS4 HSO3:HSO4 ICK3:ICK4 IMG3:IMG4 IWC3:IWC4 JFY3:JFY4 JPU3:JPU4 JZQ3:JZQ4 KJM3:KJM4 KTI3:KTI4 LDE3:LDE4 LNA3:LNA4 LWW3:LWW4 MGS3:MGS4 MQO3:MQO4 NAK3:NAK4 NKG3:NKG4 NUC3:NUC4 ODY3:ODY4 ONU3:ONU4 OXQ3:OXQ4 PHM3:PHM4 PRI3:PRI4 QBE3:QBE4 QLA3:QLA4 QUW3:QUW4 RES3:RES4 ROO3:ROO4 RYK3:RYK4 SIG3:SIG4 SSC3:SSC4 TBY3:TBY4 TLU3:TLU4 TVQ3:TVQ4 UFM3:UFM4 UPI3:UPI4 UZE3:UZE4 VJA3:VJA4 VSW3:VSW4 WCS3:WCS4 WMO3:WMO4 WWK3:WWK4 AG3:AG4 KC3:KC4 TY3:TY4 ADU3:ADU4 ANQ3:ANQ4 AXM3:AXM4 BHI3:BHI4 BRE3:BRE4 CBA3:CBA4 CKW3:CKW4 CUS3:CUS4 DEO3:DEO4 DOK3:DOK4 DYG3:DYG4 EIC3:EIC4 ERY3:ERY4 FBU3:FBU4 FLQ3:FLQ4 FVM3:FVM4 GFI3:GFI4 GPE3:GPE4 GZA3:GZA4 HIW3:HIW4 HSS3:HSS4 ICO3:ICO4 IMK3:IMK4 IWG3:IWG4 JGC3:JGC4 JPY3:JPY4 JZU3:JZU4 KJQ3:KJQ4 KTM3:KTM4 LDI3:LDI4 LNE3:LNE4 LXA3:LXA4 MGW3:MGW4 MQS3:MQS4 NAO3:NAO4 NKK3:NKK4 NUG3:NUG4 OEC3:OEC4 ONY3:ONY4 OXU3:OXU4 PHQ3:PHQ4 PRM3:PRM4 QBI3:QBI4 QLE3:QLE4 QVA3:QVA4 REW3:REW4 ROS3:ROS4 RYO3:RYO4 SIK3:SIK4 SSG3:SSG4 TCC3:TCC4 TLY3:TLY4 TVU3:TVU4 UFQ3:UFQ4 UPM3:UPM4 UZI3:UZI4 VJE3:VJE4 VTA3:VTA4 WCW3:WCW4 WMS3:WMS4 WWO3:WWO4 AS3:AS4 KO3:KO4 UK3:UK4 AEG3:AEG4 AOC3:AOC4 AXY3:AXY4 BHU3:BHU4 BRQ3:BRQ4 CBM3:CBM4 CLI3:CLI4 CVE3:CVE4 DFA3:DFA4 DOW3:DOW4 DYS3:DYS4 EIO3:EIO4 ESK3:ESK4 FCG3:FCG4 FMC3:FMC4 FVY3:FVY4 GFU3:GFU4 GPQ3:GPQ4 GZM3:GZM4 HJI3:HJI4 HTE3:HTE4 IDA3:IDA4 IMW3:IMW4 IWS3:IWS4 JGO3:JGO4 JQK3:JQK4 KAG3:KAG4 KKC3:KKC4 KTY3:KTY4 LDU3:LDU4 LNQ3:LNQ4 LXM3:LXM4 MHI3:MHI4 MRE3:MRE4 NBA3:NBA4 NKW3:NKW4 NUS3:NUS4 OEO3:OEO4 OOK3:OOK4 OYG3:OYG4 PIC3:PIC4 PRY3:PRY4 QBU3:QBU4 QLQ3:QLQ4 QVM3:QVM4 RFI3:RFI4 RPE3:RPE4 RZA3:RZA4 SIW3:SIW4 SSS3:SSS4 TCO3:TCO4 TMK3:TMK4 TWG3:TWG4 UGC3:UGC4 UPY3:UPY4 UZU3:UZU4 VJQ3:VJQ4 VTM3:VTM4 WDI3:WDI4 WNE3:WNE4 WXA3:WXA4" xr:uid="{00000000-0002-0000-0900-000002000000}"/>
    <dataValidation type="decimal" operator="greaterThanOrEqual" allowBlank="1" showInputMessage="1" showErrorMessage="1" promptTitle="Future Warehouse Stock Quantity" prompt="Optionally input a Quantity of stock that you wish to report as arriving soon to this warehouse._x000a_" sqref="AR720506:AR720507 KN720506:KN720507 UJ720506:UJ720507 AEF720506:AEF720507 AOB720506:AOB720507 AXX720506:AXX720507 BHT720506:BHT720507 BRP720506:BRP720507 CBL720506:CBL720507 CLH720506:CLH720507 CVD720506:CVD720507 DEZ720506:DEZ720507 DOV720506:DOV720507 DYR720506:DYR720507 EIN720506:EIN720507 ESJ720506:ESJ720507 FCF720506:FCF720507 FMB720506:FMB720507 FVX720506:FVX720507 GFT720506:GFT720507 GPP720506:GPP720507 GZL720506:GZL720507 HJH720506:HJH720507 HTD720506:HTD720507 ICZ720506:ICZ720507 IMV720506:IMV720507 IWR720506:IWR720507 JGN720506:JGN720507 JQJ720506:JQJ720507 KAF720506:KAF720507 KKB720506:KKB720507 KTX720506:KTX720507 LDT720506:LDT720507 LNP720506:LNP720507 LXL720506:LXL720507 MHH720506:MHH720507 MRD720506:MRD720507 NAZ720506:NAZ720507 NKV720506:NKV720507 NUR720506:NUR720507 OEN720506:OEN720507 OOJ720506:OOJ720507 OYF720506:OYF720507 PIB720506:PIB720507 PRX720506:PRX720507 QBT720506:QBT720507 QLP720506:QLP720507 QVL720506:QVL720507 RFH720506:RFH720507 RPD720506:RPD720507 RYZ720506:RYZ720507 SIV720506:SIV720507 SSR720506:SSR720507 TCN720506:TCN720507 TMJ720506:TMJ720507 TWF720506:TWF720507 UGB720506:UGB720507 UPX720506:UPX720507 UZT720506:UZT720507 VJP720506:VJP720507 VTL720506:VTL720507 WDH720506:WDH720507 WND720506:WND720507 WWZ720506:WWZ720507 AN65146:AN65147 KJ65146:KJ65147 UF65146:UF65147 AEB65146:AEB65147 ANX65146:ANX65147 AXT65146:AXT65147 BHP65146:BHP65147 BRL65146:BRL65147 CBH65146:CBH65147 CLD65146:CLD65147 CUZ65146:CUZ65147 DEV65146:DEV65147 DOR65146:DOR65147 DYN65146:DYN65147 EIJ65146:EIJ65147 ESF65146:ESF65147 FCB65146:FCB65147 FLX65146:FLX65147 FVT65146:FVT65147 GFP65146:GFP65147 GPL65146:GPL65147 GZH65146:GZH65147 HJD65146:HJD65147 HSZ65146:HSZ65147 ICV65146:ICV65147 IMR65146:IMR65147 IWN65146:IWN65147 JGJ65146:JGJ65147 JQF65146:JQF65147 KAB65146:KAB65147 KJX65146:KJX65147 KTT65146:KTT65147 LDP65146:LDP65147 LNL65146:LNL65147 LXH65146:LXH65147 MHD65146:MHD65147 MQZ65146:MQZ65147 NAV65146:NAV65147 NKR65146:NKR65147 NUN65146:NUN65147 OEJ65146:OEJ65147 OOF65146:OOF65147 OYB65146:OYB65147 PHX65146:PHX65147 PRT65146:PRT65147 QBP65146:QBP65147 QLL65146:QLL65147 QVH65146:QVH65147 RFD65146:RFD65147 ROZ65146:ROZ65147 RYV65146:RYV65147 SIR65146:SIR65147 SSN65146:SSN65147 TCJ65146:TCJ65147 TMF65146:TMF65147 TWB65146:TWB65147 UFX65146:UFX65147 UPT65146:UPT65147 UZP65146:UZP65147 VJL65146:VJL65147 VTH65146:VTH65147 WDD65146:WDD65147 WMZ65146:WMZ65147 WWV65146:WWV65147 AN130682:AN130683 KJ130682:KJ130683 UF130682:UF130683 AEB130682:AEB130683 ANX130682:ANX130683 AXT130682:AXT130683 BHP130682:BHP130683 BRL130682:BRL130683 CBH130682:CBH130683 CLD130682:CLD130683 CUZ130682:CUZ130683 DEV130682:DEV130683 DOR130682:DOR130683 DYN130682:DYN130683 EIJ130682:EIJ130683 ESF130682:ESF130683 FCB130682:FCB130683 FLX130682:FLX130683 FVT130682:FVT130683 GFP130682:GFP130683 GPL130682:GPL130683 GZH130682:GZH130683 HJD130682:HJD130683 HSZ130682:HSZ130683 ICV130682:ICV130683 IMR130682:IMR130683 IWN130682:IWN130683 JGJ130682:JGJ130683 JQF130682:JQF130683 KAB130682:KAB130683 KJX130682:KJX130683 KTT130682:KTT130683 LDP130682:LDP130683 LNL130682:LNL130683 LXH130682:LXH130683 MHD130682:MHD130683 MQZ130682:MQZ130683 NAV130682:NAV130683 NKR130682:NKR130683 NUN130682:NUN130683 OEJ130682:OEJ130683 OOF130682:OOF130683 OYB130682:OYB130683 PHX130682:PHX130683 PRT130682:PRT130683 QBP130682:QBP130683 QLL130682:QLL130683 QVH130682:QVH130683 RFD130682:RFD130683 ROZ130682:ROZ130683 RYV130682:RYV130683 SIR130682:SIR130683 SSN130682:SSN130683 TCJ130682:TCJ130683 TMF130682:TMF130683 TWB130682:TWB130683 UFX130682:UFX130683 UPT130682:UPT130683 UZP130682:UZP130683 VJL130682:VJL130683 VTH130682:VTH130683 WDD130682:WDD130683 WMZ130682:WMZ130683 WWV130682:WWV130683 AN196218:AN196219 KJ196218:KJ196219 UF196218:UF196219 AEB196218:AEB196219 ANX196218:ANX196219 AXT196218:AXT196219 BHP196218:BHP196219 BRL196218:BRL196219 CBH196218:CBH196219 CLD196218:CLD196219 CUZ196218:CUZ196219 DEV196218:DEV196219 DOR196218:DOR196219 DYN196218:DYN196219 EIJ196218:EIJ196219 ESF196218:ESF196219 FCB196218:FCB196219 FLX196218:FLX196219 FVT196218:FVT196219 GFP196218:GFP196219 GPL196218:GPL196219 GZH196218:GZH196219 HJD196218:HJD196219 HSZ196218:HSZ196219 ICV196218:ICV196219 IMR196218:IMR196219 IWN196218:IWN196219 JGJ196218:JGJ196219 JQF196218:JQF196219 KAB196218:KAB196219 KJX196218:KJX196219 KTT196218:KTT196219 LDP196218:LDP196219 LNL196218:LNL196219 LXH196218:LXH196219 MHD196218:MHD196219 MQZ196218:MQZ196219 NAV196218:NAV196219 NKR196218:NKR196219 NUN196218:NUN196219 OEJ196218:OEJ196219 OOF196218:OOF196219 OYB196218:OYB196219 PHX196218:PHX196219 PRT196218:PRT196219 QBP196218:QBP196219 QLL196218:QLL196219 QVH196218:QVH196219 RFD196218:RFD196219 ROZ196218:ROZ196219 RYV196218:RYV196219 SIR196218:SIR196219 SSN196218:SSN196219 TCJ196218:TCJ196219 TMF196218:TMF196219 TWB196218:TWB196219 UFX196218:UFX196219 UPT196218:UPT196219 UZP196218:UZP196219 VJL196218:VJL196219 VTH196218:VTH196219 WDD196218:WDD196219 WMZ196218:WMZ196219 WWV196218:WWV196219 AN261754:AN261755 KJ261754:KJ261755 UF261754:UF261755 AEB261754:AEB261755 ANX261754:ANX261755 AXT261754:AXT261755 BHP261754:BHP261755 BRL261754:BRL261755 CBH261754:CBH261755 CLD261754:CLD261755 CUZ261754:CUZ261755 DEV261754:DEV261755 DOR261754:DOR261755 DYN261754:DYN261755 EIJ261754:EIJ261755 ESF261754:ESF261755 FCB261754:FCB261755 FLX261754:FLX261755 FVT261754:FVT261755 GFP261754:GFP261755 GPL261754:GPL261755 GZH261754:GZH261755 HJD261754:HJD261755 HSZ261754:HSZ261755 ICV261754:ICV261755 IMR261754:IMR261755 IWN261754:IWN261755 JGJ261754:JGJ261755 JQF261754:JQF261755 KAB261754:KAB261755 KJX261754:KJX261755 KTT261754:KTT261755 LDP261754:LDP261755 LNL261754:LNL261755 LXH261754:LXH261755 MHD261754:MHD261755 MQZ261754:MQZ261755 NAV261754:NAV261755 NKR261754:NKR261755 NUN261754:NUN261755 OEJ261754:OEJ261755 OOF261754:OOF261755 OYB261754:OYB261755 PHX261754:PHX261755 PRT261754:PRT261755 QBP261754:QBP261755 QLL261754:QLL261755 QVH261754:QVH261755 RFD261754:RFD261755 ROZ261754:ROZ261755 RYV261754:RYV261755 SIR261754:SIR261755 SSN261754:SSN261755 TCJ261754:TCJ261755 TMF261754:TMF261755 TWB261754:TWB261755 UFX261754:UFX261755 UPT261754:UPT261755 UZP261754:UZP261755 VJL261754:VJL261755 VTH261754:VTH261755 WDD261754:WDD261755 WMZ261754:WMZ261755 WWV261754:WWV261755 AN327290:AN327291 KJ327290:KJ327291 UF327290:UF327291 AEB327290:AEB327291 ANX327290:ANX327291 AXT327290:AXT327291 BHP327290:BHP327291 BRL327290:BRL327291 CBH327290:CBH327291 CLD327290:CLD327291 CUZ327290:CUZ327291 DEV327290:DEV327291 DOR327290:DOR327291 DYN327290:DYN327291 EIJ327290:EIJ327291 ESF327290:ESF327291 FCB327290:FCB327291 FLX327290:FLX327291 FVT327290:FVT327291 GFP327290:GFP327291 GPL327290:GPL327291 GZH327290:GZH327291 HJD327290:HJD327291 HSZ327290:HSZ327291 ICV327290:ICV327291 IMR327290:IMR327291 IWN327290:IWN327291 JGJ327290:JGJ327291 JQF327290:JQF327291 KAB327290:KAB327291 KJX327290:KJX327291 KTT327290:KTT327291 LDP327290:LDP327291 LNL327290:LNL327291 LXH327290:LXH327291 MHD327290:MHD327291 MQZ327290:MQZ327291 NAV327290:NAV327291 NKR327290:NKR327291 NUN327290:NUN327291 OEJ327290:OEJ327291 OOF327290:OOF327291 OYB327290:OYB327291 PHX327290:PHX327291 PRT327290:PRT327291 QBP327290:QBP327291 QLL327290:QLL327291 QVH327290:QVH327291 RFD327290:RFD327291 ROZ327290:ROZ327291 RYV327290:RYV327291 SIR327290:SIR327291 SSN327290:SSN327291 TCJ327290:TCJ327291 TMF327290:TMF327291 TWB327290:TWB327291 UFX327290:UFX327291 UPT327290:UPT327291 UZP327290:UZP327291 VJL327290:VJL327291 VTH327290:VTH327291 WDD327290:WDD327291 WMZ327290:WMZ327291 WWV327290:WWV327291 AN392826:AN392827 KJ392826:KJ392827 UF392826:UF392827 AEB392826:AEB392827 ANX392826:ANX392827 AXT392826:AXT392827 BHP392826:BHP392827 BRL392826:BRL392827 CBH392826:CBH392827 CLD392826:CLD392827 CUZ392826:CUZ392827 DEV392826:DEV392827 DOR392826:DOR392827 DYN392826:DYN392827 EIJ392826:EIJ392827 ESF392826:ESF392827 FCB392826:FCB392827 FLX392826:FLX392827 FVT392826:FVT392827 GFP392826:GFP392827 GPL392826:GPL392827 GZH392826:GZH392827 HJD392826:HJD392827 HSZ392826:HSZ392827 ICV392826:ICV392827 IMR392826:IMR392827 IWN392826:IWN392827 JGJ392826:JGJ392827 JQF392826:JQF392827 KAB392826:KAB392827 KJX392826:KJX392827 KTT392826:KTT392827 LDP392826:LDP392827 LNL392826:LNL392827 LXH392826:LXH392827 MHD392826:MHD392827 MQZ392826:MQZ392827 NAV392826:NAV392827 NKR392826:NKR392827 NUN392826:NUN392827 OEJ392826:OEJ392827 OOF392826:OOF392827 OYB392826:OYB392827 PHX392826:PHX392827 PRT392826:PRT392827 QBP392826:QBP392827 QLL392826:QLL392827 QVH392826:QVH392827 RFD392826:RFD392827 ROZ392826:ROZ392827 RYV392826:RYV392827 SIR392826:SIR392827 SSN392826:SSN392827 TCJ392826:TCJ392827 TMF392826:TMF392827 TWB392826:TWB392827 UFX392826:UFX392827 UPT392826:UPT392827 UZP392826:UZP392827 VJL392826:VJL392827 VTH392826:VTH392827 WDD392826:WDD392827 WMZ392826:WMZ392827 WWV392826:WWV392827 AN458362:AN458363 KJ458362:KJ458363 UF458362:UF458363 AEB458362:AEB458363 ANX458362:ANX458363 AXT458362:AXT458363 BHP458362:BHP458363 BRL458362:BRL458363 CBH458362:CBH458363 CLD458362:CLD458363 CUZ458362:CUZ458363 DEV458362:DEV458363 DOR458362:DOR458363 DYN458362:DYN458363 EIJ458362:EIJ458363 ESF458362:ESF458363 FCB458362:FCB458363 FLX458362:FLX458363 FVT458362:FVT458363 GFP458362:GFP458363 GPL458362:GPL458363 GZH458362:GZH458363 HJD458362:HJD458363 HSZ458362:HSZ458363 ICV458362:ICV458363 IMR458362:IMR458363 IWN458362:IWN458363 JGJ458362:JGJ458363 JQF458362:JQF458363 KAB458362:KAB458363 KJX458362:KJX458363 KTT458362:KTT458363 LDP458362:LDP458363 LNL458362:LNL458363 LXH458362:LXH458363 MHD458362:MHD458363 MQZ458362:MQZ458363 NAV458362:NAV458363 NKR458362:NKR458363 NUN458362:NUN458363 OEJ458362:OEJ458363 OOF458362:OOF458363 OYB458362:OYB458363 PHX458362:PHX458363 PRT458362:PRT458363 QBP458362:QBP458363 QLL458362:QLL458363 QVH458362:QVH458363 RFD458362:RFD458363 ROZ458362:ROZ458363 RYV458362:RYV458363 SIR458362:SIR458363 SSN458362:SSN458363 TCJ458362:TCJ458363 TMF458362:TMF458363 TWB458362:TWB458363 UFX458362:UFX458363 UPT458362:UPT458363 UZP458362:UZP458363 VJL458362:VJL458363 VTH458362:VTH458363 WDD458362:WDD458363 WMZ458362:WMZ458363 WWV458362:WWV458363 AN523898:AN523899 KJ523898:KJ523899 UF523898:UF523899 AEB523898:AEB523899 ANX523898:ANX523899 AXT523898:AXT523899 BHP523898:BHP523899 BRL523898:BRL523899 CBH523898:CBH523899 CLD523898:CLD523899 CUZ523898:CUZ523899 DEV523898:DEV523899 DOR523898:DOR523899 DYN523898:DYN523899 EIJ523898:EIJ523899 ESF523898:ESF523899 FCB523898:FCB523899 FLX523898:FLX523899 FVT523898:FVT523899 GFP523898:GFP523899 GPL523898:GPL523899 GZH523898:GZH523899 HJD523898:HJD523899 HSZ523898:HSZ523899 ICV523898:ICV523899 IMR523898:IMR523899 IWN523898:IWN523899 JGJ523898:JGJ523899 JQF523898:JQF523899 KAB523898:KAB523899 KJX523898:KJX523899 KTT523898:KTT523899 LDP523898:LDP523899 LNL523898:LNL523899 LXH523898:LXH523899 MHD523898:MHD523899 MQZ523898:MQZ523899 NAV523898:NAV523899 NKR523898:NKR523899 NUN523898:NUN523899 OEJ523898:OEJ523899 OOF523898:OOF523899 OYB523898:OYB523899 PHX523898:PHX523899 PRT523898:PRT523899 QBP523898:QBP523899 QLL523898:QLL523899 QVH523898:QVH523899 RFD523898:RFD523899 ROZ523898:ROZ523899 RYV523898:RYV523899 SIR523898:SIR523899 SSN523898:SSN523899 TCJ523898:TCJ523899 TMF523898:TMF523899 TWB523898:TWB523899 UFX523898:UFX523899 UPT523898:UPT523899 UZP523898:UZP523899 VJL523898:VJL523899 VTH523898:VTH523899 WDD523898:WDD523899 WMZ523898:WMZ523899 WWV523898:WWV523899 AN589434:AN589435 KJ589434:KJ589435 UF589434:UF589435 AEB589434:AEB589435 ANX589434:ANX589435 AXT589434:AXT589435 BHP589434:BHP589435 BRL589434:BRL589435 CBH589434:CBH589435 CLD589434:CLD589435 CUZ589434:CUZ589435 DEV589434:DEV589435 DOR589434:DOR589435 DYN589434:DYN589435 EIJ589434:EIJ589435 ESF589434:ESF589435 FCB589434:FCB589435 FLX589434:FLX589435 FVT589434:FVT589435 GFP589434:GFP589435 GPL589434:GPL589435 GZH589434:GZH589435 HJD589434:HJD589435 HSZ589434:HSZ589435 ICV589434:ICV589435 IMR589434:IMR589435 IWN589434:IWN589435 JGJ589434:JGJ589435 JQF589434:JQF589435 KAB589434:KAB589435 KJX589434:KJX589435 KTT589434:KTT589435 LDP589434:LDP589435 LNL589434:LNL589435 LXH589434:LXH589435 MHD589434:MHD589435 MQZ589434:MQZ589435 NAV589434:NAV589435 NKR589434:NKR589435 NUN589434:NUN589435 OEJ589434:OEJ589435 OOF589434:OOF589435 OYB589434:OYB589435 PHX589434:PHX589435 PRT589434:PRT589435 QBP589434:QBP589435 QLL589434:QLL589435 QVH589434:QVH589435 RFD589434:RFD589435 ROZ589434:ROZ589435 RYV589434:RYV589435 SIR589434:SIR589435 SSN589434:SSN589435 TCJ589434:TCJ589435 TMF589434:TMF589435 TWB589434:TWB589435 UFX589434:UFX589435 UPT589434:UPT589435 UZP589434:UZP589435 VJL589434:VJL589435 VTH589434:VTH589435 WDD589434:WDD589435 WMZ589434:WMZ589435 WWV589434:WWV589435 AN654970:AN654971 KJ654970:KJ654971 UF654970:UF654971 AEB654970:AEB654971 ANX654970:ANX654971 AXT654970:AXT654971 BHP654970:BHP654971 BRL654970:BRL654971 CBH654970:CBH654971 CLD654970:CLD654971 CUZ654970:CUZ654971 DEV654970:DEV654971 DOR654970:DOR654971 DYN654970:DYN654971 EIJ654970:EIJ654971 ESF654970:ESF654971 FCB654970:FCB654971 FLX654970:FLX654971 FVT654970:FVT654971 GFP654970:GFP654971 GPL654970:GPL654971 GZH654970:GZH654971 HJD654970:HJD654971 HSZ654970:HSZ654971 ICV654970:ICV654971 IMR654970:IMR654971 IWN654970:IWN654971 JGJ654970:JGJ654971 JQF654970:JQF654971 KAB654970:KAB654971 KJX654970:KJX654971 KTT654970:KTT654971 LDP654970:LDP654971 LNL654970:LNL654971 LXH654970:LXH654971 MHD654970:MHD654971 MQZ654970:MQZ654971 NAV654970:NAV654971 NKR654970:NKR654971 NUN654970:NUN654971 OEJ654970:OEJ654971 OOF654970:OOF654971 OYB654970:OYB654971 PHX654970:PHX654971 PRT654970:PRT654971 QBP654970:QBP654971 QLL654970:QLL654971 QVH654970:QVH654971 RFD654970:RFD654971 ROZ654970:ROZ654971 RYV654970:RYV654971 SIR654970:SIR654971 SSN654970:SSN654971 TCJ654970:TCJ654971 TMF654970:TMF654971 TWB654970:TWB654971 UFX654970:UFX654971 UPT654970:UPT654971 UZP654970:UZP654971 VJL654970:VJL654971 VTH654970:VTH654971 WDD654970:WDD654971 WMZ654970:WMZ654971 WWV654970:WWV654971 AN720506:AN720507 KJ720506:KJ720507 UF720506:UF720507 AEB720506:AEB720507 ANX720506:ANX720507 AXT720506:AXT720507 BHP720506:BHP720507 BRL720506:BRL720507 CBH720506:CBH720507 CLD720506:CLD720507 CUZ720506:CUZ720507 DEV720506:DEV720507 DOR720506:DOR720507 DYN720506:DYN720507 EIJ720506:EIJ720507 ESF720506:ESF720507 FCB720506:FCB720507 FLX720506:FLX720507 FVT720506:FVT720507 GFP720506:GFP720507 GPL720506:GPL720507 GZH720506:GZH720507 HJD720506:HJD720507 HSZ720506:HSZ720507 ICV720506:ICV720507 IMR720506:IMR720507 IWN720506:IWN720507 JGJ720506:JGJ720507 JQF720506:JQF720507 KAB720506:KAB720507 KJX720506:KJX720507 KTT720506:KTT720507 LDP720506:LDP720507 LNL720506:LNL720507 LXH720506:LXH720507 MHD720506:MHD720507 MQZ720506:MQZ720507 NAV720506:NAV720507 NKR720506:NKR720507 NUN720506:NUN720507 OEJ720506:OEJ720507 OOF720506:OOF720507 OYB720506:OYB720507 PHX720506:PHX720507 PRT720506:PRT720507 QBP720506:QBP720507 QLL720506:QLL720507 QVH720506:QVH720507 RFD720506:RFD720507 ROZ720506:ROZ720507 RYV720506:RYV720507 SIR720506:SIR720507 SSN720506:SSN720507 TCJ720506:TCJ720507 TMF720506:TMF720507 TWB720506:TWB720507 UFX720506:UFX720507 UPT720506:UPT720507 UZP720506:UZP720507 VJL720506:VJL720507 VTH720506:VTH720507 WDD720506:WDD720507 WMZ720506:WMZ720507 WWV720506:WWV720507 AN786042:AN786043 KJ786042:KJ786043 UF786042:UF786043 AEB786042:AEB786043 ANX786042:ANX786043 AXT786042:AXT786043 BHP786042:BHP786043 BRL786042:BRL786043 CBH786042:CBH786043 CLD786042:CLD786043 CUZ786042:CUZ786043 DEV786042:DEV786043 DOR786042:DOR786043 DYN786042:DYN786043 EIJ786042:EIJ786043 ESF786042:ESF786043 FCB786042:FCB786043 FLX786042:FLX786043 FVT786042:FVT786043 GFP786042:GFP786043 GPL786042:GPL786043 GZH786042:GZH786043 HJD786042:HJD786043 HSZ786042:HSZ786043 ICV786042:ICV786043 IMR786042:IMR786043 IWN786042:IWN786043 JGJ786042:JGJ786043 JQF786042:JQF786043 KAB786042:KAB786043 KJX786042:KJX786043 KTT786042:KTT786043 LDP786042:LDP786043 LNL786042:LNL786043 LXH786042:LXH786043 MHD786042:MHD786043 MQZ786042:MQZ786043 NAV786042:NAV786043 NKR786042:NKR786043 NUN786042:NUN786043 OEJ786042:OEJ786043 OOF786042:OOF786043 OYB786042:OYB786043 PHX786042:PHX786043 PRT786042:PRT786043 QBP786042:QBP786043 QLL786042:QLL786043 QVH786042:QVH786043 RFD786042:RFD786043 ROZ786042:ROZ786043 RYV786042:RYV786043 SIR786042:SIR786043 SSN786042:SSN786043 TCJ786042:TCJ786043 TMF786042:TMF786043 TWB786042:TWB786043 UFX786042:UFX786043 UPT786042:UPT786043 UZP786042:UZP786043 VJL786042:VJL786043 VTH786042:VTH786043 WDD786042:WDD786043 WMZ786042:WMZ786043 WWV786042:WWV786043 AN851578:AN851579 KJ851578:KJ851579 UF851578:UF851579 AEB851578:AEB851579 ANX851578:ANX851579 AXT851578:AXT851579 BHP851578:BHP851579 BRL851578:BRL851579 CBH851578:CBH851579 CLD851578:CLD851579 CUZ851578:CUZ851579 DEV851578:DEV851579 DOR851578:DOR851579 DYN851578:DYN851579 EIJ851578:EIJ851579 ESF851578:ESF851579 FCB851578:FCB851579 FLX851578:FLX851579 FVT851578:FVT851579 GFP851578:GFP851579 GPL851578:GPL851579 GZH851578:GZH851579 HJD851578:HJD851579 HSZ851578:HSZ851579 ICV851578:ICV851579 IMR851578:IMR851579 IWN851578:IWN851579 JGJ851578:JGJ851579 JQF851578:JQF851579 KAB851578:KAB851579 KJX851578:KJX851579 KTT851578:KTT851579 LDP851578:LDP851579 LNL851578:LNL851579 LXH851578:LXH851579 MHD851578:MHD851579 MQZ851578:MQZ851579 NAV851578:NAV851579 NKR851578:NKR851579 NUN851578:NUN851579 OEJ851578:OEJ851579 OOF851578:OOF851579 OYB851578:OYB851579 PHX851578:PHX851579 PRT851578:PRT851579 QBP851578:QBP851579 QLL851578:QLL851579 QVH851578:QVH851579 RFD851578:RFD851579 ROZ851578:ROZ851579 RYV851578:RYV851579 SIR851578:SIR851579 SSN851578:SSN851579 TCJ851578:TCJ851579 TMF851578:TMF851579 TWB851578:TWB851579 UFX851578:UFX851579 UPT851578:UPT851579 UZP851578:UZP851579 VJL851578:VJL851579 VTH851578:VTH851579 WDD851578:WDD851579 WMZ851578:WMZ851579 WWV851578:WWV851579 AN917114:AN917115 KJ917114:KJ917115 UF917114:UF917115 AEB917114:AEB917115 ANX917114:ANX917115 AXT917114:AXT917115 BHP917114:BHP917115 BRL917114:BRL917115 CBH917114:CBH917115 CLD917114:CLD917115 CUZ917114:CUZ917115 DEV917114:DEV917115 DOR917114:DOR917115 DYN917114:DYN917115 EIJ917114:EIJ917115 ESF917114:ESF917115 FCB917114:FCB917115 FLX917114:FLX917115 FVT917114:FVT917115 GFP917114:GFP917115 GPL917114:GPL917115 GZH917114:GZH917115 HJD917114:HJD917115 HSZ917114:HSZ917115 ICV917114:ICV917115 IMR917114:IMR917115 IWN917114:IWN917115 JGJ917114:JGJ917115 JQF917114:JQF917115 KAB917114:KAB917115 KJX917114:KJX917115 KTT917114:KTT917115 LDP917114:LDP917115 LNL917114:LNL917115 LXH917114:LXH917115 MHD917114:MHD917115 MQZ917114:MQZ917115 NAV917114:NAV917115 NKR917114:NKR917115 NUN917114:NUN917115 OEJ917114:OEJ917115 OOF917114:OOF917115 OYB917114:OYB917115 PHX917114:PHX917115 PRT917114:PRT917115 QBP917114:QBP917115 QLL917114:QLL917115 QVH917114:QVH917115 RFD917114:RFD917115 ROZ917114:ROZ917115 RYV917114:RYV917115 SIR917114:SIR917115 SSN917114:SSN917115 TCJ917114:TCJ917115 TMF917114:TMF917115 TWB917114:TWB917115 UFX917114:UFX917115 UPT917114:UPT917115 UZP917114:UZP917115 VJL917114:VJL917115 VTH917114:VTH917115 WDD917114:WDD917115 WMZ917114:WMZ917115 WWV917114:WWV917115 AN982650:AN982651 KJ982650:KJ982651 UF982650:UF982651 AEB982650:AEB982651 ANX982650:ANX982651 AXT982650:AXT982651 BHP982650:BHP982651 BRL982650:BRL982651 CBH982650:CBH982651 CLD982650:CLD982651 CUZ982650:CUZ982651 DEV982650:DEV982651 DOR982650:DOR982651 DYN982650:DYN982651 EIJ982650:EIJ982651 ESF982650:ESF982651 FCB982650:FCB982651 FLX982650:FLX982651 FVT982650:FVT982651 GFP982650:GFP982651 GPL982650:GPL982651 GZH982650:GZH982651 HJD982650:HJD982651 HSZ982650:HSZ982651 ICV982650:ICV982651 IMR982650:IMR982651 IWN982650:IWN982651 JGJ982650:JGJ982651 JQF982650:JQF982651 KAB982650:KAB982651 KJX982650:KJX982651 KTT982650:KTT982651 LDP982650:LDP982651 LNL982650:LNL982651 LXH982650:LXH982651 MHD982650:MHD982651 MQZ982650:MQZ982651 NAV982650:NAV982651 NKR982650:NKR982651 NUN982650:NUN982651 OEJ982650:OEJ982651 OOF982650:OOF982651 OYB982650:OYB982651 PHX982650:PHX982651 PRT982650:PRT982651 QBP982650:QBP982651 QLL982650:QLL982651 QVH982650:QVH982651 RFD982650:RFD982651 ROZ982650:ROZ982651 RYV982650:RYV982651 SIR982650:SIR982651 SSN982650:SSN982651 TCJ982650:TCJ982651 TMF982650:TMF982651 TWB982650:TWB982651 UFX982650:UFX982651 UPT982650:UPT982651 UZP982650:UZP982651 VJL982650:VJL982651 VTH982650:VTH982651 WDD982650:WDD982651 WMZ982650:WMZ982651 WWV982650:WWV982651 AR786042:AR786043 KN786042:KN786043 UJ786042:UJ786043 AEF786042:AEF786043 AOB786042:AOB786043 AXX786042:AXX786043 BHT786042:BHT786043 BRP786042:BRP786043 CBL786042:CBL786043 CLH786042:CLH786043 CVD786042:CVD786043 DEZ786042:DEZ786043 DOV786042:DOV786043 DYR786042:DYR786043 EIN786042:EIN786043 ESJ786042:ESJ786043 FCF786042:FCF786043 FMB786042:FMB786043 FVX786042:FVX786043 GFT786042:GFT786043 GPP786042:GPP786043 GZL786042:GZL786043 HJH786042:HJH786043 HTD786042:HTD786043 ICZ786042:ICZ786043 IMV786042:IMV786043 IWR786042:IWR786043 JGN786042:JGN786043 JQJ786042:JQJ786043 KAF786042:KAF786043 KKB786042:KKB786043 KTX786042:KTX786043 LDT786042:LDT786043 LNP786042:LNP786043 LXL786042:LXL786043 MHH786042:MHH786043 MRD786042:MRD786043 NAZ786042:NAZ786043 NKV786042:NKV786043 NUR786042:NUR786043 OEN786042:OEN786043 OOJ786042:OOJ786043 OYF786042:OYF786043 PIB786042:PIB786043 PRX786042:PRX786043 QBT786042:QBT786043 QLP786042:QLP786043 QVL786042:QVL786043 RFH786042:RFH786043 RPD786042:RPD786043 RYZ786042:RYZ786043 SIV786042:SIV786043 SSR786042:SSR786043 TCN786042:TCN786043 TMJ786042:TMJ786043 TWF786042:TWF786043 UGB786042:UGB786043 UPX786042:UPX786043 UZT786042:UZT786043 VJP786042:VJP786043 VTL786042:VTL786043 WDH786042:WDH786043 WND786042:WND786043 WWZ786042:WWZ786043 AJ65146:AJ65147 KF65146:KF65147 UB65146:UB65147 ADX65146:ADX65147 ANT65146:ANT65147 AXP65146:AXP65147 BHL65146:BHL65147 BRH65146:BRH65147 CBD65146:CBD65147 CKZ65146:CKZ65147 CUV65146:CUV65147 DER65146:DER65147 DON65146:DON65147 DYJ65146:DYJ65147 EIF65146:EIF65147 ESB65146:ESB65147 FBX65146:FBX65147 FLT65146:FLT65147 FVP65146:FVP65147 GFL65146:GFL65147 GPH65146:GPH65147 GZD65146:GZD65147 HIZ65146:HIZ65147 HSV65146:HSV65147 ICR65146:ICR65147 IMN65146:IMN65147 IWJ65146:IWJ65147 JGF65146:JGF65147 JQB65146:JQB65147 JZX65146:JZX65147 KJT65146:KJT65147 KTP65146:KTP65147 LDL65146:LDL65147 LNH65146:LNH65147 LXD65146:LXD65147 MGZ65146:MGZ65147 MQV65146:MQV65147 NAR65146:NAR65147 NKN65146:NKN65147 NUJ65146:NUJ65147 OEF65146:OEF65147 OOB65146:OOB65147 OXX65146:OXX65147 PHT65146:PHT65147 PRP65146:PRP65147 QBL65146:QBL65147 QLH65146:QLH65147 QVD65146:QVD65147 REZ65146:REZ65147 ROV65146:ROV65147 RYR65146:RYR65147 SIN65146:SIN65147 SSJ65146:SSJ65147 TCF65146:TCF65147 TMB65146:TMB65147 TVX65146:TVX65147 UFT65146:UFT65147 UPP65146:UPP65147 UZL65146:UZL65147 VJH65146:VJH65147 VTD65146:VTD65147 WCZ65146:WCZ65147 WMV65146:WMV65147 WWR65146:WWR65147 AJ130682:AJ130683 KF130682:KF130683 UB130682:UB130683 ADX130682:ADX130683 ANT130682:ANT130683 AXP130682:AXP130683 BHL130682:BHL130683 BRH130682:BRH130683 CBD130682:CBD130683 CKZ130682:CKZ130683 CUV130682:CUV130683 DER130682:DER130683 DON130682:DON130683 DYJ130682:DYJ130683 EIF130682:EIF130683 ESB130682:ESB130683 FBX130682:FBX130683 FLT130682:FLT130683 FVP130682:FVP130683 GFL130682:GFL130683 GPH130682:GPH130683 GZD130682:GZD130683 HIZ130682:HIZ130683 HSV130682:HSV130683 ICR130682:ICR130683 IMN130682:IMN130683 IWJ130682:IWJ130683 JGF130682:JGF130683 JQB130682:JQB130683 JZX130682:JZX130683 KJT130682:KJT130683 KTP130682:KTP130683 LDL130682:LDL130683 LNH130682:LNH130683 LXD130682:LXD130683 MGZ130682:MGZ130683 MQV130682:MQV130683 NAR130682:NAR130683 NKN130682:NKN130683 NUJ130682:NUJ130683 OEF130682:OEF130683 OOB130682:OOB130683 OXX130682:OXX130683 PHT130682:PHT130683 PRP130682:PRP130683 QBL130682:QBL130683 QLH130682:QLH130683 QVD130682:QVD130683 REZ130682:REZ130683 ROV130682:ROV130683 RYR130682:RYR130683 SIN130682:SIN130683 SSJ130682:SSJ130683 TCF130682:TCF130683 TMB130682:TMB130683 TVX130682:TVX130683 UFT130682:UFT130683 UPP130682:UPP130683 UZL130682:UZL130683 VJH130682:VJH130683 VTD130682:VTD130683 WCZ130682:WCZ130683 WMV130682:WMV130683 WWR130682:WWR130683 AJ196218:AJ196219 KF196218:KF196219 UB196218:UB196219 ADX196218:ADX196219 ANT196218:ANT196219 AXP196218:AXP196219 BHL196218:BHL196219 BRH196218:BRH196219 CBD196218:CBD196219 CKZ196218:CKZ196219 CUV196218:CUV196219 DER196218:DER196219 DON196218:DON196219 DYJ196218:DYJ196219 EIF196218:EIF196219 ESB196218:ESB196219 FBX196218:FBX196219 FLT196218:FLT196219 FVP196218:FVP196219 GFL196218:GFL196219 GPH196218:GPH196219 GZD196218:GZD196219 HIZ196218:HIZ196219 HSV196218:HSV196219 ICR196218:ICR196219 IMN196218:IMN196219 IWJ196218:IWJ196219 JGF196218:JGF196219 JQB196218:JQB196219 JZX196218:JZX196219 KJT196218:KJT196219 KTP196218:KTP196219 LDL196218:LDL196219 LNH196218:LNH196219 LXD196218:LXD196219 MGZ196218:MGZ196219 MQV196218:MQV196219 NAR196218:NAR196219 NKN196218:NKN196219 NUJ196218:NUJ196219 OEF196218:OEF196219 OOB196218:OOB196219 OXX196218:OXX196219 PHT196218:PHT196219 PRP196218:PRP196219 QBL196218:QBL196219 QLH196218:QLH196219 QVD196218:QVD196219 REZ196218:REZ196219 ROV196218:ROV196219 RYR196218:RYR196219 SIN196218:SIN196219 SSJ196218:SSJ196219 TCF196218:TCF196219 TMB196218:TMB196219 TVX196218:TVX196219 UFT196218:UFT196219 UPP196218:UPP196219 UZL196218:UZL196219 VJH196218:VJH196219 VTD196218:VTD196219 WCZ196218:WCZ196219 WMV196218:WMV196219 WWR196218:WWR196219 AJ261754:AJ261755 KF261754:KF261755 UB261754:UB261755 ADX261754:ADX261755 ANT261754:ANT261755 AXP261754:AXP261755 BHL261754:BHL261755 BRH261754:BRH261755 CBD261754:CBD261755 CKZ261754:CKZ261755 CUV261754:CUV261755 DER261754:DER261755 DON261754:DON261755 DYJ261754:DYJ261755 EIF261754:EIF261755 ESB261754:ESB261755 FBX261754:FBX261755 FLT261754:FLT261755 FVP261754:FVP261755 GFL261754:GFL261755 GPH261754:GPH261755 GZD261754:GZD261755 HIZ261754:HIZ261755 HSV261754:HSV261755 ICR261754:ICR261755 IMN261754:IMN261755 IWJ261754:IWJ261755 JGF261754:JGF261755 JQB261754:JQB261755 JZX261754:JZX261755 KJT261754:KJT261755 KTP261754:KTP261755 LDL261754:LDL261755 LNH261754:LNH261755 LXD261754:LXD261755 MGZ261754:MGZ261755 MQV261754:MQV261755 NAR261754:NAR261755 NKN261754:NKN261755 NUJ261754:NUJ261755 OEF261754:OEF261755 OOB261754:OOB261755 OXX261754:OXX261755 PHT261754:PHT261755 PRP261754:PRP261755 QBL261754:QBL261755 QLH261754:QLH261755 QVD261754:QVD261755 REZ261754:REZ261755 ROV261754:ROV261755 RYR261754:RYR261755 SIN261754:SIN261755 SSJ261754:SSJ261755 TCF261754:TCF261755 TMB261754:TMB261755 TVX261754:TVX261755 UFT261754:UFT261755 UPP261754:UPP261755 UZL261754:UZL261755 VJH261754:VJH261755 VTD261754:VTD261755 WCZ261754:WCZ261755 WMV261754:WMV261755 WWR261754:WWR261755 AJ327290:AJ327291 KF327290:KF327291 UB327290:UB327291 ADX327290:ADX327291 ANT327290:ANT327291 AXP327290:AXP327291 BHL327290:BHL327291 BRH327290:BRH327291 CBD327290:CBD327291 CKZ327290:CKZ327291 CUV327290:CUV327291 DER327290:DER327291 DON327290:DON327291 DYJ327290:DYJ327291 EIF327290:EIF327291 ESB327290:ESB327291 FBX327290:FBX327291 FLT327290:FLT327291 FVP327290:FVP327291 GFL327290:GFL327291 GPH327290:GPH327291 GZD327290:GZD327291 HIZ327290:HIZ327291 HSV327290:HSV327291 ICR327290:ICR327291 IMN327290:IMN327291 IWJ327290:IWJ327291 JGF327290:JGF327291 JQB327290:JQB327291 JZX327290:JZX327291 KJT327290:KJT327291 KTP327290:KTP327291 LDL327290:LDL327291 LNH327290:LNH327291 LXD327290:LXD327291 MGZ327290:MGZ327291 MQV327290:MQV327291 NAR327290:NAR327291 NKN327290:NKN327291 NUJ327290:NUJ327291 OEF327290:OEF327291 OOB327290:OOB327291 OXX327290:OXX327291 PHT327290:PHT327291 PRP327290:PRP327291 QBL327290:QBL327291 QLH327290:QLH327291 QVD327290:QVD327291 REZ327290:REZ327291 ROV327290:ROV327291 RYR327290:RYR327291 SIN327290:SIN327291 SSJ327290:SSJ327291 TCF327290:TCF327291 TMB327290:TMB327291 TVX327290:TVX327291 UFT327290:UFT327291 UPP327290:UPP327291 UZL327290:UZL327291 VJH327290:VJH327291 VTD327290:VTD327291 WCZ327290:WCZ327291 WMV327290:WMV327291 WWR327290:WWR327291 AJ392826:AJ392827 KF392826:KF392827 UB392826:UB392827 ADX392826:ADX392827 ANT392826:ANT392827 AXP392826:AXP392827 BHL392826:BHL392827 BRH392826:BRH392827 CBD392826:CBD392827 CKZ392826:CKZ392827 CUV392826:CUV392827 DER392826:DER392827 DON392826:DON392827 DYJ392826:DYJ392827 EIF392826:EIF392827 ESB392826:ESB392827 FBX392826:FBX392827 FLT392826:FLT392827 FVP392826:FVP392827 GFL392826:GFL392827 GPH392826:GPH392827 GZD392826:GZD392827 HIZ392826:HIZ392827 HSV392826:HSV392827 ICR392826:ICR392827 IMN392826:IMN392827 IWJ392826:IWJ392827 JGF392826:JGF392827 JQB392826:JQB392827 JZX392826:JZX392827 KJT392826:KJT392827 KTP392826:KTP392827 LDL392826:LDL392827 LNH392826:LNH392827 LXD392826:LXD392827 MGZ392826:MGZ392827 MQV392826:MQV392827 NAR392826:NAR392827 NKN392826:NKN392827 NUJ392826:NUJ392827 OEF392826:OEF392827 OOB392826:OOB392827 OXX392826:OXX392827 PHT392826:PHT392827 PRP392826:PRP392827 QBL392826:QBL392827 QLH392826:QLH392827 QVD392826:QVD392827 REZ392826:REZ392827 ROV392826:ROV392827 RYR392826:RYR392827 SIN392826:SIN392827 SSJ392826:SSJ392827 TCF392826:TCF392827 TMB392826:TMB392827 TVX392826:TVX392827 UFT392826:UFT392827 UPP392826:UPP392827 UZL392826:UZL392827 VJH392826:VJH392827 VTD392826:VTD392827 WCZ392826:WCZ392827 WMV392826:WMV392827 WWR392826:WWR392827 AJ458362:AJ458363 KF458362:KF458363 UB458362:UB458363 ADX458362:ADX458363 ANT458362:ANT458363 AXP458362:AXP458363 BHL458362:BHL458363 BRH458362:BRH458363 CBD458362:CBD458363 CKZ458362:CKZ458363 CUV458362:CUV458363 DER458362:DER458363 DON458362:DON458363 DYJ458362:DYJ458363 EIF458362:EIF458363 ESB458362:ESB458363 FBX458362:FBX458363 FLT458362:FLT458363 FVP458362:FVP458363 GFL458362:GFL458363 GPH458362:GPH458363 GZD458362:GZD458363 HIZ458362:HIZ458363 HSV458362:HSV458363 ICR458362:ICR458363 IMN458362:IMN458363 IWJ458362:IWJ458363 JGF458362:JGF458363 JQB458362:JQB458363 JZX458362:JZX458363 KJT458362:KJT458363 KTP458362:KTP458363 LDL458362:LDL458363 LNH458362:LNH458363 LXD458362:LXD458363 MGZ458362:MGZ458363 MQV458362:MQV458363 NAR458362:NAR458363 NKN458362:NKN458363 NUJ458362:NUJ458363 OEF458362:OEF458363 OOB458362:OOB458363 OXX458362:OXX458363 PHT458362:PHT458363 PRP458362:PRP458363 QBL458362:QBL458363 QLH458362:QLH458363 QVD458362:QVD458363 REZ458362:REZ458363 ROV458362:ROV458363 RYR458362:RYR458363 SIN458362:SIN458363 SSJ458362:SSJ458363 TCF458362:TCF458363 TMB458362:TMB458363 TVX458362:TVX458363 UFT458362:UFT458363 UPP458362:UPP458363 UZL458362:UZL458363 VJH458362:VJH458363 VTD458362:VTD458363 WCZ458362:WCZ458363 WMV458362:WMV458363 WWR458362:WWR458363 AJ523898:AJ523899 KF523898:KF523899 UB523898:UB523899 ADX523898:ADX523899 ANT523898:ANT523899 AXP523898:AXP523899 BHL523898:BHL523899 BRH523898:BRH523899 CBD523898:CBD523899 CKZ523898:CKZ523899 CUV523898:CUV523899 DER523898:DER523899 DON523898:DON523899 DYJ523898:DYJ523899 EIF523898:EIF523899 ESB523898:ESB523899 FBX523898:FBX523899 FLT523898:FLT523899 FVP523898:FVP523899 GFL523898:GFL523899 GPH523898:GPH523899 GZD523898:GZD523899 HIZ523898:HIZ523899 HSV523898:HSV523899 ICR523898:ICR523899 IMN523898:IMN523899 IWJ523898:IWJ523899 JGF523898:JGF523899 JQB523898:JQB523899 JZX523898:JZX523899 KJT523898:KJT523899 KTP523898:KTP523899 LDL523898:LDL523899 LNH523898:LNH523899 LXD523898:LXD523899 MGZ523898:MGZ523899 MQV523898:MQV523899 NAR523898:NAR523899 NKN523898:NKN523899 NUJ523898:NUJ523899 OEF523898:OEF523899 OOB523898:OOB523899 OXX523898:OXX523899 PHT523898:PHT523899 PRP523898:PRP523899 QBL523898:QBL523899 QLH523898:QLH523899 QVD523898:QVD523899 REZ523898:REZ523899 ROV523898:ROV523899 RYR523898:RYR523899 SIN523898:SIN523899 SSJ523898:SSJ523899 TCF523898:TCF523899 TMB523898:TMB523899 TVX523898:TVX523899 UFT523898:UFT523899 UPP523898:UPP523899 UZL523898:UZL523899 VJH523898:VJH523899 VTD523898:VTD523899 WCZ523898:WCZ523899 WMV523898:WMV523899 WWR523898:WWR523899 AJ589434:AJ589435 KF589434:KF589435 UB589434:UB589435 ADX589434:ADX589435 ANT589434:ANT589435 AXP589434:AXP589435 BHL589434:BHL589435 BRH589434:BRH589435 CBD589434:CBD589435 CKZ589434:CKZ589435 CUV589434:CUV589435 DER589434:DER589435 DON589434:DON589435 DYJ589434:DYJ589435 EIF589434:EIF589435 ESB589434:ESB589435 FBX589434:FBX589435 FLT589434:FLT589435 FVP589434:FVP589435 GFL589434:GFL589435 GPH589434:GPH589435 GZD589434:GZD589435 HIZ589434:HIZ589435 HSV589434:HSV589435 ICR589434:ICR589435 IMN589434:IMN589435 IWJ589434:IWJ589435 JGF589434:JGF589435 JQB589434:JQB589435 JZX589434:JZX589435 KJT589434:KJT589435 KTP589434:KTP589435 LDL589434:LDL589435 LNH589434:LNH589435 LXD589434:LXD589435 MGZ589434:MGZ589435 MQV589434:MQV589435 NAR589434:NAR589435 NKN589434:NKN589435 NUJ589434:NUJ589435 OEF589434:OEF589435 OOB589434:OOB589435 OXX589434:OXX589435 PHT589434:PHT589435 PRP589434:PRP589435 QBL589434:QBL589435 QLH589434:QLH589435 QVD589434:QVD589435 REZ589434:REZ589435 ROV589434:ROV589435 RYR589434:RYR589435 SIN589434:SIN589435 SSJ589434:SSJ589435 TCF589434:TCF589435 TMB589434:TMB589435 TVX589434:TVX589435 UFT589434:UFT589435 UPP589434:UPP589435 UZL589434:UZL589435 VJH589434:VJH589435 VTD589434:VTD589435 WCZ589434:WCZ589435 WMV589434:WMV589435 WWR589434:WWR589435 AJ654970:AJ654971 KF654970:KF654971 UB654970:UB654971 ADX654970:ADX654971 ANT654970:ANT654971 AXP654970:AXP654971 BHL654970:BHL654971 BRH654970:BRH654971 CBD654970:CBD654971 CKZ654970:CKZ654971 CUV654970:CUV654971 DER654970:DER654971 DON654970:DON654971 DYJ654970:DYJ654971 EIF654970:EIF654971 ESB654970:ESB654971 FBX654970:FBX654971 FLT654970:FLT654971 FVP654970:FVP654971 GFL654970:GFL654971 GPH654970:GPH654971 GZD654970:GZD654971 HIZ654970:HIZ654971 HSV654970:HSV654971 ICR654970:ICR654971 IMN654970:IMN654971 IWJ654970:IWJ654971 JGF654970:JGF654971 JQB654970:JQB654971 JZX654970:JZX654971 KJT654970:KJT654971 KTP654970:KTP654971 LDL654970:LDL654971 LNH654970:LNH654971 LXD654970:LXD654971 MGZ654970:MGZ654971 MQV654970:MQV654971 NAR654970:NAR654971 NKN654970:NKN654971 NUJ654970:NUJ654971 OEF654970:OEF654971 OOB654970:OOB654971 OXX654970:OXX654971 PHT654970:PHT654971 PRP654970:PRP654971 QBL654970:QBL654971 QLH654970:QLH654971 QVD654970:QVD654971 REZ654970:REZ654971 ROV654970:ROV654971 RYR654970:RYR654971 SIN654970:SIN654971 SSJ654970:SSJ654971 TCF654970:TCF654971 TMB654970:TMB654971 TVX654970:TVX654971 UFT654970:UFT654971 UPP654970:UPP654971 UZL654970:UZL654971 VJH654970:VJH654971 VTD654970:VTD654971 WCZ654970:WCZ654971 WMV654970:WMV654971 WWR654970:WWR654971 AJ720506:AJ720507 KF720506:KF720507 UB720506:UB720507 ADX720506:ADX720507 ANT720506:ANT720507 AXP720506:AXP720507 BHL720506:BHL720507 BRH720506:BRH720507 CBD720506:CBD720507 CKZ720506:CKZ720507 CUV720506:CUV720507 DER720506:DER720507 DON720506:DON720507 DYJ720506:DYJ720507 EIF720506:EIF720507 ESB720506:ESB720507 FBX720506:FBX720507 FLT720506:FLT720507 FVP720506:FVP720507 GFL720506:GFL720507 GPH720506:GPH720507 GZD720506:GZD720507 HIZ720506:HIZ720507 HSV720506:HSV720507 ICR720506:ICR720507 IMN720506:IMN720507 IWJ720506:IWJ720507 JGF720506:JGF720507 JQB720506:JQB720507 JZX720506:JZX720507 KJT720506:KJT720507 KTP720506:KTP720507 LDL720506:LDL720507 LNH720506:LNH720507 LXD720506:LXD720507 MGZ720506:MGZ720507 MQV720506:MQV720507 NAR720506:NAR720507 NKN720506:NKN720507 NUJ720506:NUJ720507 OEF720506:OEF720507 OOB720506:OOB720507 OXX720506:OXX720507 PHT720506:PHT720507 PRP720506:PRP720507 QBL720506:QBL720507 QLH720506:QLH720507 QVD720506:QVD720507 REZ720506:REZ720507 ROV720506:ROV720507 RYR720506:RYR720507 SIN720506:SIN720507 SSJ720506:SSJ720507 TCF720506:TCF720507 TMB720506:TMB720507 TVX720506:TVX720507 UFT720506:UFT720507 UPP720506:UPP720507 UZL720506:UZL720507 VJH720506:VJH720507 VTD720506:VTD720507 WCZ720506:WCZ720507 WMV720506:WMV720507 WWR720506:WWR720507 AJ786042:AJ786043 KF786042:KF786043 UB786042:UB786043 ADX786042:ADX786043 ANT786042:ANT786043 AXP786042:AXP786043 BHL786042:BHL786043 BRH786042:BRH786043 CBD786042:CBD786043 CKZ786042:CKZ786043 CUV786042:CUV786043 DER786042:DER786043 DON786042:DON786043 DYJ786042:DYJ786043 EIF786042:EIF786043 ESB786042:ESB786043 FBX786042:FBX786043 FLT786042:FLT786043 FVP786042:FVP786043 GFL786042:GFL786043 GPH786042:GPH786043 GZD786042:GZD786043 HIZ786042:HIZ786043 HSV786042:HSV786043 ICR786042:ICR786043 IMN786042:IMN786043 IWJ786042:IWJ786043 JGF786042:JGF786043 JQB786042:JQB786043 JZX786042:JZX786043 KJT786042:KJT786043 KTP786042:KTP786043 LDL786042:LDL786043 LNH786042:LNH786043 LXD786042:LXD786043 MGZ786042:MGZ786043 MQV786042:MQV786043 NAR786042:NAR786043 NKN786042:NKN786043 NUJ786042:NUJ786043 OEF786042:OEF786043 OOB786042:OOB786043 OXX786042:OXX786043 PHT786042:PHT786043 PRP786042:PRP786043 QBL786042:QBL786043 QLH786042:QLH786043 QVD786042:QVD786043 REZ786042:REZ786043 ROV786042:ROV786043 RYR786042:RYR786043 SIN786042:SIN786043 SSJ786042:SSJ786043 TCF786042:TCF786043 TMB786042:TMB786043 TVX786042:TVX786043 UFT786042:UFT786043 UPP786042:UPP786043 UZL786042:UZL786043 VJH786042:VJH786043 VTD786042:VTD786043 WCZ786042:WCZ786043 WMV786042:WMV786043 WWR786042:WWR786043 AJ851578:AJ851579 KF851578:KF851579 UB851578:UB851579 ADX851578:ADX851579 ANT851578:ANT851579 AXP851578:AXP851579 BHL851578:BHL851579 BRH851578:BRH851579 CBD851578:CBD851579 CKZ851578:CKZ851579 CUV851578:CUV851579 DER851578:DER851579 DON851578:DON851579 DYJ851578:DYJ851579 EIF851578:EIF851579 ESB851578:ESB851579 FBX851578:FBX851579 FLT851578:FLT851579 FVP851578:FVP851579 GFL851578:GFL851579 GPH851578:GPH851579 GZD851578:GZD851579 HIZ851578:HIZ851579 HSV851578:HSV851579 ICR851578:ICR851579 IMN851578:IMN851579 IWJ851578:IWJ851579 JGF851578:JGF851579 JQB851578:JQB851579 JZX851578:JZX851579 KJT851578:KJT851579 KTP851578:KTP851579 LDL851578:LDL851579 LNH851578:LNH851579 LXD851578:LXD851579 MGZ851578:MGZ851579 MQV851578:MQV851579 NAR851578:NAR851579 NKN851578:NKN851579 NUJ851578:NUJ851579 OEF851578:OEF851579 OOB851578:OOB851579 OXX851578:OXX851579 PHT851578:PHT851579 PRP851578:PRP851579 QBL851578:QBL851579 QLH851578:QLH851579 QVD851578:QVD851579 REZ851578:REZ851579 ROV851578:ROV851579 RYR851578:RYR851579 SIN851578:SIN851579 SSJ851578:SSJ851579 TCF851578:TCF851579 TMB851578:TMB851579 TVX851578:TVX851579 UFT851578:UFT851579 UPP851578:UPP851579 UZL851578:UZL851579 VJH851578:VJH851579 VTD851578:VTD851579 WCZ851578:WCZ851579 WMV851578:WMV851579 WWR851578:WWR851579 AJ917114:AJ917115 KF917114:KF917115 UB917114:UB917115 ADX917114:ADX917115 ANT917114:ANT917115 AXP917114:AXP917115 BHL917114:BHL917115 BRH917114:BRH917115 CBD917114:CBD917115 CKZ917114:CKZ917115 CUV917114:CUV917115 DER917114:DER917115 DON917114:DON917115 DYJ917114:DYJ917115 EIF917114:EIF917115 ESB917114:ESB917115 FBX917114:FBX917115 FLT917114:FLT917115 FVP917114:FVP917115 GFL917114:GFL917115 GPH917114:GPH917115 GZD917114:GZD917115 HIZ917114:HIZ917115 HSV917114:HSV917115 ICR917114:ICR917115 IMN917114:IMN917115 IWJ917114:IWJ917115 JGF917114:JGF917115 JQB917114:JQB917115 JZX917114:JZX917115 KJT917114:KJT917115 KTP917114:KTP917115 LDL917114:LDL917115 LNH917114:LNH917115 LXD917114:LXD917115 MGZ917114:MGZ917115 MQV917114:MQV917115 NAR917114:NAR917115 NKN917114:NKN917115 NUJ917114:NUJ917115 OEF917114:OEF917115 OOB917114:OOB917115 OXX917114:OXX917115 PHT917114:PHT917115 PRP917114:PRP917115 QBL917114:QBL917115 QLH917114:QLH917115 QVD917114:QVD917115 REZ917114:REZ917115 ROV917114:ROV917115 RYR917114:RYR917115 SIN917114:SIN917115 SSJ917114:SSJ917115 TCF917114:TCF917115 TMB917114:TMB917115 TVX917114:TVX917115 UFT917114:UFT917115 UPP917114:UPP917115 UZL917114:UZL917115 VJH917114:VJH917115 VTD917114:VTD917115 WCZ917114:WCZ917115 WMV917114:WMV917115 WWR917114:WWR917115 AJ982650:AJ982651 KF982650:KF982651 UB982650:UB982651 ADX982650:ADX982651 ANT982650:ANT982651 AXP982650:AXP982651 BHL982650:BHL982651 BRH982650:BRH982651 CBD982650:CBD982651 CKZ982650:CKZ982651 CUV982650:CUV982651 DER982650:DER982651 DON982650:DON982651 DYJ982650:DYJ982651 EIF982650:EIF982651 ESB982650:ESB982651 FBX982650:FBX982651 FLT982650:FLT982651 FVP982650:FVP982651 GFL982650:GFL982651 GPH982650:GPH982651 GZD982650:GZD982651 HIZ982650:HIZ982651 HSV982650:HSV982651 ICR982650:ICR982651 IMN982650:IMN982651 IWJ982650:IWJ982651 JGF982650:JGF982651 JQB982650:JQB982651 JZX982650:JZX982651 KJT982650:KJT982651 KTP982650:KTP982651 LDL982650:LDL982651 LNH982650:LNH982651 LXD982650:LXD982651 MGZ982650:MGZ982651 MQV982650:MQV982651 NAR982650:NAR982651 NKN982650:NKN982651 NUJ982650:NUJ982651 OEF982650:OEF982651 OOB982650:OOB982651 OXX982650:OXX982651 PHT982650:PHT982651 PRP982650:PRP982651 QBL982650:QBL982651 QLH982650:QLH982651 QVD982650:QVD982651 REZ982650:REZ982651 ROV982650:ROV982651 RYR982650:RYR982651 SIN982650:SIN982651 SSJ982650:SSJ982651 TCF982650:TCF982651 TMB982650:TMB982651 TVX982650:TVX982651 UFT982650:UFT982651 UPP982650:UPP982651 UZL982650:UZL982651 VJH982650:VJH982651 VTD982650:VTD982651 WCZ982650:WCZ982651 WMV982650:WMV982651 WWR982650:WWR982651 AR851578:AR851579 KN851578:KN851579 UJ851578:UJ851579 AEF851578:AEF851579 AOB851578:AOB851579 AXX851578:AXX851579 BHT851578:BHT851579 BRP851578:BRP851579 CBL851578:CBL851579 CLH851578:CLH851579 CVD851578:CVD851579 DEZ851578:DEZ851579 DOV851578:DOV851579 DYR851578:DYR851579 EIN851578:EIN851579 ESJ851578:ESJ851579 FCF851578:FCF851579 FMB851578:FMB851579 FVX851578:FVX851579 GFT851578:GFT851579 GPP851578:GPP851579 GZL851578:GZL851579 HJH851578:HJH851579 HTD851578:HTD851579 ICZ851578:ICZ851579 IMV851578:IMV851579 IWR851578:IWR851579 JGN851578:JGN851579 JQJ851578:JQJ851579 KAF851578:KAF851579 KKB851578:KKB851579 KTX851578:KTX851579 LDT851578:LDT851579 LNP851578:LNP851579 LXL851578:LXL851579 MHH851578:MHH851579 MRD851578:MRD851579 NAZ851578:NAZ851579 NKV851578:NKV851579 NUR851578:NUR851579 OEN851578:OEN851579 OOJ851578:OOJ851579 OYF851578:OYF851579 PIB851578:PIB851579 PRX851578:PRX851579 QBT851578:QBT851579 QLP851578:QLP851579 QVL851578:QVL851579 RFH851578:RFH851579 RPD851578:RPD851579 RYZ851578:RYZ851579 SIV851578:SIV851579 SSR851578:SSR851579 TCN851578:TCN851579 TMJ851578:TMJ851579 TWF851578:TWF851579 UGB851578:UGB851579 UPX851578:UPX851579 UZT851578:UZT851579 VJP851578:VJP851579 VTL851578:VTL851579 WDH851578:WDH851579 WND851578:WND851579 WWZ851578:WWZ851579 AB65146:AB65147 JX65146:JX65147 TT65146:TT65147 ADP65146:ADP65147 ANL65146:ANL65147 AXH65146:AXH65147 BHD65146:BHD65147 BQZ65146:BQZ65147 CAV65146:CAV65147 CKR65146:CKR65147 CUN65146:CUN65147 DEJ65146:DEJ65147 DOF65146:DOF65147 DYB65146:DYB65147 EHX65146:EHX65147 ERT65146:ERT65147 FBP65146:FBP65147 FLL65146:FLL65147 FVH65146:FVH65147 GFD65146:GFD65147 GOZ65146:GOZ65147 GYV65146:GYV65147 HIR65146:HIR65147 HSN65146:HSN65147 ICJ65146:ICJ65147 IMF65146:IMF65147 IWB65146:IWB65147 JFX65146:JFX65147 JPT65146:JPT65147 JZP65146:JZP65147 KJL65146:KJL65147 KTH65146:KTH65147 LDD65146:LDD65147 LMZ65146:LMZ65147 LWV65146:LWV65147 MGR65146:MGR65147 MQN65146:MQN65147 NAJ65146:NAJ65147 NKF65146:NKF65147 NUB65146:NUB65147 ODX65146:ODX65147 ONT65146:ONT65147 OXP65146:OXP65147 PHL65146:PHL65147 PRH65146:PRH65147 QBD65146:QBD65147 QKZ65146:QKZ65147 QUV65146:QUV65147 RER65146:RER65147 RON65146:RON65147 RYJ65146:RYJ65147 SIF65146:SIF65147 SSB65146:SSB65147 TBX65146:TBX65147 TLT65146:TLT65147 TVP65146:TVP65147 UFL65146:UFL65147 UPH65146:UPH65147 UZD65146:UZD65147 VIZ65146:VIZ65147 VSV65146:VSV65147 WCR65146:WCR65147 WMN65146:WMN65147 WWJ65146:WWJ65147 AB130682:AB130683 JX130682:JX130683 TT130682:TT130683 ADP130682:ADP130683 ANL130682:ANL130683 AXH130682:AXH130683 BHD130682:BHD130683 BQZ130682:BQZ130683 CAV130682:CAV130683 CKR130682:CKR130683 CUN130682:CUN130683 DEJ130682:DEJ130683 DOF130682:DOF130683 DYB130682:DYB130683 EHX130682:EHX130683 ERT130682:ERT130683 FBP130682:FBP130683 FLL130682:FLL130683 FVH130682:FVH130683 GFD130682:GFD130683 GOZ130682:GOZ130683 GYV130682:GYV130683 HIR130682:HIR130683 HSN130682:HSN130683 ICJ130682:ICJ130683 IMF130682:IMF130683 IWB130682:IWB130683 JFX130682:JFX130683 JPT130682:JPT130683 JZP130682:JZP130683 KJL130682:KJL130683 KTH130682:KTH130683 LDD130682:LDD130683 LMZ130682:LMZ130683 LWV130682:LWV130683 MGR130682:MGR130683 MQN130682:MQN130683 NAJ130682:NAJ130683 NKF130682:NKF130683 NUB130682:NUB130683 ODX130682:ODX130683 ONT130682:ONT130683 OXP130682:OXP130683 PHL130682:PHL130683 PRH130682:PRH130683 QBD130682:QBD130683 QKZ130682:QKZ130683 QUV130682:QUV130683 RER130682:RER130683 RON130682:RON130683 RYJ130682:RYJ130683 SIF130682:SIF130683 SSB130682:SSB130683 TBX130682:TBX130683 TLT130682:TLT130683 TVP130682:TVP130683 UFL130682:UFL130683 UPH130682:UPH130683 UZD130682:UZD130683 VIZ130682:VIZ130683 VSV130682:VSV130683 WCR130682:WCR130683 WMN130682:WMN130683 WWJ130682:WWJ130683 AB196218:AB196219 JX196218:JX196219 TT196218:TT196219 ADP196218:ADP196219 ANL196218:ANL196219 AXH196218:AXH196219 BHD196218:BHD196219 BQZ196218:BQZ196219 CAV196218:CAV196219 CKR196218:CKR196219 CUN196218:CUN196219 DEJ196218:DEJ196219 DOF196218:DOF196219 DYB196218:DYB196219 EHX196218:EHX196219 ERT196218:ERT196219 FBP196218:FBP196219 FLL196218:FLL196219 FVH196218:FVH196219 GFD196218:GFD196219 GOZ196218:GOZ196219 GYV196218:GYV196219 HIR196218:HIR196219 HSN196218:HSN196219 ICJ196218:ICJ196219 IMF196218:IMF196219 IWB196218:IWB196219 JFX196218:JFX196219 JPT196218:JPT196219 JZP196218:JZP196219 KJL196218:KJL196219 KTH196218:KTH196219 LDD196218:LDD196219 LMZ196218:LMZ196219 LWV196218:LWV196219 MGR196218:MGR196219 MQN196218:MQN196219 NAJ196218:NAJ196219 NKF196218:NKF196219 NUB196218:NUB196219 ODX196218:ODX196219 ONT196218:ONT196219 OXP196218:OXP196219 PHL196218:PHL196219 PRH196218:PRH196219 QBD196218:QBD196219 QKZ196218:QKZ196219 QUV196218:QUV196219 RER196218:RER196219 RON196218:RON196219 RYJ196218:RYJ196219 SIF196218:SIF196219 SSB196218:SSB196219 TBX196218:TBX196219 TLT196218:TLT196219 TVP196218:TVP196219 UFL196218:UFL196219 UPH196218:UPH196219 UZD196218:UZD196219 VIZ196218:VIZ196219 VSV196218:VSV196219 WCR196218:WCR196219 WMN196218:WMN196219 WWJ196218:WWJ196219 AB261754:AB261755 JX261754:JX261755 TT261754:TT261755 ADP261754:ADP261755 ANL261754:ANL261755 AXH261754:AXH261755 BHD261754:BHD261755 BQZ261754:BQZ261755 CAV261754:CAV261755 CKR261754:CKR261755 CUN261754:CUN261755 DEJ261754:DEJ261755 DOF261754:DOF261755 DYB261754:DYB261755 EHX261754:EHX261755 ERT261754:ERT261755 FBP261754:FBP261755 FLL261754:FLL261755 FVH261754:FVH261755 GFD261754:GFD261755 GOZ261754:GOZ261755 GYV261754:GYV261755 HIR261754:HIR261755 HSN261754:HSN261755 ICJ261754:ICJ261755 IMF261754:IMF261755 IWB261754:IWB261755 JFX261754:JFX261755 JPT261754:JPT261755 JZP261754:JZP261755 KJL261754:KJL261755 KTH261754:KTH261755 LDD261754:LDD261755 LMZ261754:LMZ261755 LWV261754:LWV261755 MGR261754:MGR261755 MQN261754:MQN261755 NAJ261754:NAJ261755 NKF261754:NKF261755 NUB261754:NUB261755 ODX261754:ODX261755 ONT261754:ONT261755 OXP261754:OXP261755 PHL261754:PHL261755 PRH261754:PRH261755 QBD261754:QBD261755 QKZ261754:QKZ261755 QUV261754:QUV261755 RER261754:RER261755 RON261754:RON261755 RYJ261754:RYJ261755 SIF261754:SIF261755 SSB261754:SSB261755 TBX261754:TBX261755 TLT261754:TLT261755 TVP261754:TVP261755 UFL261754:UFL261755 UPH261754:UPH261755 UZD261754:UZD261755 VIZ261754:VIZ261755 VSV261754:VSV261755 WCR261754:WCR261755 WMN261754:WMN261755 WWJ261754:WWJ261755 AB327290:AB327291 JX327290:JX327291 TT327290:TT327291 ADP327290:ADP327291 ANL327290:ANL327291 AXH327290:AXH327291 BHD327290:BHD327291 BQZ327290:BQZ327291 CAV327290:CAV327291 CKR327290:CKR327291 CUN327290:CUN327291 DEJ327290:DEJ327291 DOF327290:DOF327291 DYB327290:DYB327291 EHX327290:EHX327291 ERT327290:ERT327291 FBP327290:FBP327291 FLL327290:FLL327291 FVH327290:FVH327291 GFD327290:GFD327291 GOZ327290:GOZ327291 GYV327290:GYV327291 HIR327290:HIR327291 HSN327290:HSN327291 ICJ327290:ICJ327291 IMF327290:IMF327291 IWB327290:IWB327291 JFX327290:JFX327291 JPT327290:JPT327291 JZP327290:JZP327291 KJL327290:KJL327291 KTH327290:KTH327291 LDD327290:LDD327291 LMZ327290:LMZ327291 LWV327290:LWV327291 MGR327290:MGR327291 MQN327290:MQN327291 NAJ327290:NAJ327291 NKF327290:NKF327291 NUB327290:NUB327291 ODX327290:ODX327291 ONT327290:ONT327291 OXP327290:OXP327291 PHL327290:PHL327291 PRH327290:PRH327291 QBD327290:QBD327291 QKZ327290:QKZ327291 QUV327290:QUV327291 RER327290:RER327291 RON327290:RON327291 RYJ327290:RYJ327291 SIF327290:SIF327291 SSB327290:SSB327291 TBX327290:TBX327291 TLT327290:TLT327291 TVP327290:TVP327291 UFL327290:UFL327291 UPH327290:UPH327291 UZD327290:UZD327291 VIZ327290:VIZ327291 VSV327290:VSV327291 WCR327290:WCR327291 WMN327290:WMN327291 WWJ327290:WWJ327291 AB392826:AB392827 JX392826:JX392827 TT392826:TT392827 ADP392826:ADP392827 ANL392826:ANL392827 AXH392826:AXH392827 BHD392826:BHD392827 BQZ392826:BQZ392827 CAV392826:CAV392827 CKR392826:CKR392827 CUN392826:CUN392827 DEJ392826:DEJ392827 DOF392826:DOF392827 DYB392826:DYB392827 EHX392826:EHX392827 ERT392826:ERT392827 FBP392826:FBP392827 FLL392826:FLL392827 FVH392826:FVH392827 GFD392826:GFD392827 GOZ392826:GOZ392827 GYV392826:GYV392827 HIR392826:HIR392827 HSN392826:HSN392827 ICJ392826:ICJ392827 IMF392826:IMF392827 IWB392826:IWB392827 JFX392826:JFX392827 JPT392826:JPT392827 JZP392826:JZP392827 KJL392826:KJL392827 KTH392826:KTH392827 LDD392826:LDD392827 LMZ392826:LMZ392827 LWV392826:LWV392827 MGR392826:MGR392827 MQN392826:MQN392827 NAJ392826:NAJ392827 NKF392826:NKF392827 NUB392826:NUB392827 ODX392826:ODX392827 ONT392826:ONT392827 OXP392826:OXP392827 PHL392826:PHL392827 PRH392826:PRH392827 QBD392826:QBD392827 QKZ392826:QKZ392827 QUV392826:QUV392827 RER392826:RER392827 RON392826:RON392827 RYJ392826:RYJ392827 SIF392826:SIF392827 SSB392826:SSB392827 TBX392826:TBX392827 TLT392826:TLT392827 TVP392826:TVP392827 UFL392826:UFL392827 UPH392826:UPH392827 UZD392826:UZD392827 VIZ392826:VIZ392827 VSV392826:VSV392827 WCR392826:WCR392827 WMN392826:WMN392827 WWJ392826:WWJ392827 AB458362:AB458363 JX458362:JX458363 TT458362:TT458363 ADP458362:ADP458363 ANL458362:ANL458363 AXH458362:AXH458363 BHD458362:BHD458363 BQZ458362:BQZ458363 CAV458362:CAV458363 CKR458362:CKR458363 CUN458362:CUN458363 DEJ458362:DEJ458363 DOF458362:DOF458363 DYB458362:DYB458363 EHX458362:EHX458363 ERT458362:ERT458363 FBP458362:FBP458363 FLL458362:FLL458363 FVH458362:FVH458363 GFD458362:GFD458363 GOZ458362:GOZ458363 GYV458362:GYV458363 HIR458362:HIR458363 HSN458362:HSN458363 ICJ458362:ICJ458363 IMF458362:IMF458363 IWB458362:IWB458363 JFX458362:JFX458363 JPT458362:JPT458363 JZP458362:JZP458363 KJL458362:KJL458363 KTH458362:KTH458363 LDD458362:LDD458363 LMZ458362:LMZ458363 LWV458362:LWV458363 MGR458362:MGR458363 MQN458362:MQN458363 NAJ458362:NAJ458363 NKF458362:NKF458363 NUB458362:NUB458363 ODX458362:ODX458363 ONT458362:ONT458363 OXP458362:OXP458363 PHL458362:PHL458363 PRH458362:PRH458363 QBD458362:QBD458363 QKZ458362:QKZ458363 QUV458362:QUV458363 RER458362:RER458363 RON458362:RON458363 RYJ458362:RYJ458363 SIF458362:SIF458363 SSB458362:SSB458363 TBX458362:TBX458363 TLT458362:TLT458363 TVP458362:TVP458363 UFL458362:UFL458363 UPH458362:UPH458363 UZD458362:UZD458363 VIZ458362:VIZ458363 VSV458362:VSV458363 WCR458362:WCR458363 WMN458362:WMN458363 WWJ458362:WWJ458363 AB523898:AB523899 JX523898:JX523899 TT523898:TT523899 ADP523898:ADP523899 ANL523898:ANL523899 AXH523898:AXH523899 BHD523898:BHD523899 BQZ523898:BQZ523899 CAV523898:CAV523899 CKR523898:CKR523899 CUN523898:CUN523899 DEJ523898:DEJ523899 DOF523898:DOF523899 DYB523898:DYB523899 EHX523898:EHX523899 ERT523898:ERT523899 FBP523898:FBP523899 FLL523898:FLL523899 FVH523898:FVH523899 GFD523898:GFD523899 GOZ523898:GOZ523899 GYV523898:GYV523899 HIR523898:HIR523899 HSN523898:HSN523899 ICJ523898:ICJ523899 IMF523898:IMF523899 IWB523898:IWB523899 JFX523898:JFX523899 JPT523898:JPT523899 JZP523898:JZP523899 KJL523898:KJL523899 KTH523898:KTH523899 LDD523898:LDD523899 LMZ523898:LMZ523899 LWV523898:LWV523899 MGR523898:MGR523899 MQN523898:MQN523899 NAJ523898:NAJ523899 NKF523898:NKF523899 NUB523898:NUB523899 ODX523898:ODX523899 ONT523898:ONT523899 OXP523898:OXP523899 PHL523898:PHL523899 PRH523898:PRH523899 QBD523898:QBD523899 QKZ523898:QKZ523899 QUV523898:QUV523899 RER523898:RER523899 RON523898:RON523899 RYJ523898:RYJ523899 SIF523898:SIF523899 SSB523898:SSB523899 TBX523898:TBX523899 TLT523898:TLT523899 TVP523898:TVP523899 UFL523898:UFL523899 UPH523898:UPH523899 UZD523898:UZD523899 VIZ523898:VIZ523899 VSV523898:VSV523899 WCR523898:WCR523899 WMN523898:WMN523899 WWJ523898:WWJ523899 AB589434:AB589435 JX589434:JX589435 TT589434:TT589435 ADP589434:ADP589435 ANL589434:ANL589435 AXH589434:AXH589435 BHD589434:BHD589435 BQZ589434:BQZ589435 CAV589434:CAV589435 CKR589434:CKR589435 CUN589434:CUN589435 DEJ589434:DEJ589435 DOF589434:DOF589435 DYB589434:DYB589435 EHX589434:EHX589435 ERT589434:ERT589435 FBP589434:FBP589435 FLL589434:FLL589435 FVH589434:FVH589435 GFD589434:GFD589435 GOZ589434:GOZ589435 GYV589434:GYV589435 HIR589434:HIR589435 HSN589434:HSN589435 ICJ589434:ICJ589435 IMF589434:IMF589435 IWB589434:IWB589435 JFX589434:JFX589435 JPT589434:JPT589435 JZP589434:JZP589435 KJL589434:KJL589435 KTH589434:KTH589435 LDD589434:LDD589435 LMZ589434:LMZ589435 LWV589434:LWV589435 MGR589434:MGR589435 MQN589434:MQN589435 NAJ589434:NAJ589435 NKF589434:NKF589435 NUB589434:NUB589435 ODX589434:ODX589435 ONT589434:ONT589435 OXP589434:OXP589435 PHL589434:PHL589435 PRH589434:PRH589435 QBD589434:QBD589435 QKZ589434:QKZ589435 QUV589434:QUV589435 RER589434:RER589435 RON589434:RON589435 RYJ589434:RYJ589435 SIF589434:SIF589435 SSB589434:SSB589435 TBX589434:TBX589435 TLT589434:TLT589435 TVP589434:TVP589435 UFL589434:UFL589435 UPH589434:UPH589435 UZD589434:UZD589435 VIZ589434:VIZ589435 VSV589434:VSV589435 WCR589434:WCR589435 WMN589434:WMN589435 WWJ589434:WWJ589435 AB654970:AB654971 JX654970:JX654971 TT654970:TT654971 ADP654970:ADP654971 ANL654970:ANL654971 AXH654970:AXH654971 BHD654970:BHD654971 BQZ654970:BQZ654971 CAV654970:CAV654971 CKR654970:CKR654971 CUN654970:CUN654971 DEJ654970:DEJ654971 DOF654970:DOF654971 DYB654970:DYB654971 EHX654970:EHX654971 ERT654970:ERT654971 FBP654970:FBP654971 FLL654970:FLL654971 FVH654970:FVH654971 GFD654970:GFD654971 GOZ654970:GOZ654971 GYV654970:GYV654971 HIR654970:HIR654971 HSN654970:HSN654971 ICJ654970:ICJ654971 IMF654970:IMF654971 IWB654970:IWB654971 JFX654970:JFX654971 JPT654970:JPT654971 JZP654970:JZP654971 KJL654970:KJL654971 KTH654970:KTH654971 LDD654970:LDD654971 LMZ654970:LMZ654971 LWV654970:LWV654971 MGR654970:MGR654971 MQN654970:MQN654971 NAJ654970:NAJ654971 NKF654970:NKF654971 NUB654970:NUB654971 ODX654970:ODX654971 ONT654970:ONT654971 OXP654970:OXP654971 PHL654970:PHL654971 PRH654970:PRH654971 QBD654970:QBD654971 QKZ654970:QKZ654971 QUV654970:QUV654971 RER654970:RER654971 RON654970:RON654971 RYJ654970:RYJ654971 SIF654970:SIF654971 SSB654970:SSB654971 TBX654970:TBX654971 TLT654970:TLT654971 TVP654970:TVP654971 UFL654970:UFL654971 UPH654970:UPH654971 UZD654970:UZD654971 VIZ654970:VIZ654971 VSV654970:VSV654971 WCR654970:WCR654971 WMN654970:WMN654971 WWJ654970:WWJ654971 AB720506:AB720507 JX720506:JX720507 TT720506:TT720507 ADP720506:ADP720507 ANL720506:ANL720507 AXH720506:AXH720507 BHD720506:BHD720507 BQZ720506:BQZ720507 CAV720506:CAV720507 CKR720506:CKR720507 CUN720506:CUN720507 DEJ720506:DEJ720507 DOF720506:DOF720507 DYB720506:DYB720507 EHX720506:EHX720507 ERT720506:ERT720507 FBP720506:FBP720507 FLL720506:FLL720507 FVH720506:FVH720507 GFD720506:GFD720507 GOZ720506:GOZ720507 GYV720506:GYV720507 HIR720506:HIR720507 HSN720506:HSN720507 ICJ720506:ICJ720507 IMF720506:IMF720507 IWB720506:IWB720507 JFX720506:JFX720507 JPT720506:JPT720507 JZP720506:JZP720507 KJL720506:KJL720507 KTH720506:KTH720507 LDD720506:LDD720507 LMZ720506:LMZ720507 LWV720506:LWV720507 MGR720506:MGR720507 MQN720506:MQN720507 NAJ720506:NAJ720507 NKF720506:NKF720507 NUB720506:NUB720507 ODX720506:ODX720507 ONT720506:ONT720507 OXP720506:OXP720507 PHL720506:PHL720507 PRH720506:PRH720507 QBD720506:QBD720507 QKZ720506:QKZ720507 QUV720506:QUV720507 RER720506:RER720507 RON720506:RON720507 RYJ720506:RYJ720507 SIF720506:SIF720507 SSB720506:SSB720507 TBX720506:TBX720507 TLT720506:TLT720507 TVP720506:TVP720507 UFL720506:UFL720507 UPH720506:UPH720507 UZD720506:UZD720507 VIZ720506:VIZ720507 VSV720506:VSV720507 WCR720506:WCR720507 WMN720506:WMN720507 WWJ720506:WWJ720507 AB786042:AB786043 JX786042:JX786043 TT786042:TT786043 ADP786042:ADP786043 ANL786042:ANL786043 AXH786042:AXH786043 BHD786042:BHD786043 BQZ786042:BQZ786043 CAV786042:CAV786043 CKR786042:CKR786043 CUN786042:CUN786043 DEJ786042:DEJ786043 DOF786042:DOF786043 DYB786042:DYB786043 EHX786042:EHX786043 ERT786042:ERT786043 FBP786042:FBP786043 FLL786042:FLL786043 FVH786042:FVH786043 GFD786042:GFD786043 GOZ786042:GOZ786043 GYV786042:GYV786043 HIR786042:HIR786043 HSN786042:HSN786043 ICJ786042:ICJ786043 IMF786042:IMF786043 IWB786042:IWB786043 JFX786042:JFX786043 JPT786042:JPT786043 JZP786042:JZP786043 KJL786042:KJL786043 KTH786042:KTH786043 LDD786042:LDD786043 LMZ786042:LMZ786043 LWV786042:LWV786043 MGR786042:MGR786043 MQN786042:MQN786043 NAJ786042:NAJ786043 NKF786042:NKF786043 NUB786042:NUB786043 ODX786042:ODX786043 ONT786042:ONT786043 OXP786042:OXP786043 PHL786042:PHL786043 PRH786042:PRH786043 QBD786042:QBD786043 QKZ786042:QKZ786043 QUV786042:QUV786043 RER786042:RER786043 RON786042:RON786043 RYJ786042:RYJ786043 SIF786042:SIF786043 SSB786042:SSB786043 TBX786042:TBX786043 TLT786042:TLT786043 TVP786042:TVP786043 UFL786042:UFL786043 UPH786042:UPH786043 UZD786042:UZD786043 VIZ786042:VIZ786043 VSV786042:VSV786043 WCR786042:WCR786043 WMN786042:WMN786043 WWJ786042:WWJ786043 AB851578:AB851579 JX851578:JX851579 TT851578:TT851579 ADP851578:ADP851579 ANL851578:ANL851579 AXH851578:AXH851579 BHD851578:BHD851579 BQZ851578:BQZ851579 CAV851578:CAV851579 CKR851578:CKR851579 CUN851578:CUN851579 DEJ851578:DEJ851579 DOF851578:DOF851579 DYB851578:DYB851579 EHX851578:EHX851579 ERT851578:ERT851579 FBP851578:FBP851579 FLL851578:FLL851579 FVH851578:FVH851579 GFD851578:GFD851579 GOZ851578:GOZ851579 GYV851578:GYV851579 HIR851578:HIR851579 HSN851578:HSN851579 ICJ851578:ICJ851579 IMF851578:IMF851579 IWB851578:IWB851579 JFX851578:JFX851579 JPT851578:JPT851579 JZP851578:JZP851579 KJL851578:KJL851579 KTH851578:KTH851579 LDD851578:LDD851579 LMZ851578:LMZ851579 LWV851578:LWV851579 MGR851578:MGR851579 MQN851578:MQN851579 NAJ851578:NAJ851579 NKF851578:NKF851579 NUB851578:NUB851579 ODX851578:ODX851579 ONT851578:ONT851579 OXP851578:OXP851579 PHL851578:PHL851579 PRH851578:PRH851579 QBD851578:QBD851579 QKZ851578:QKZ851579 QUV851578:QUV851579 RER851578:RER851579 RON851578:RON851579 RYJ851578:RYJ851579 SIF851578:SIF851579 SSB851578:SSB851579 TBX851578:TBX851579 TLT851578:TLT851579 TVP851578:TVP851579 UFL851578:UFL851579 UPH851578:UPH851579 UZD851578:UZD851579 VIZ851578:VIZ851579 VSV851578:VSV851579 WCR851578:WCR851579 WMN851578:WMN851579 WWJ851578:WWJ851579 AB917114:AB917115 JX917114:JX917115 TT917114:TT917115 ADP917114:ADP917115 ANL917114:ANL917115 AXH917114:AXH917115 BHD917114:BHD917115 BQZ917114:BQZ917115 CAV917114:CAV917115 CKR917114:CKR917115 CUN917114:CUN917115 DEJ917114:DEJ917115 DOF917114:DOF917115 DYB917114:DYB917115 EHX917114:EHX917115 ERT917114:ERT917115 FBP917114:FBP917115 FLL917114:FLL917115 FVH917114:FVH917115 GFD917114:GFD917115 GOZ917114:GOZ917115 GYV917114:GYV917115 HIR917114:HIR917115 HSN917114:HSN917115 ICJ917114:ICJ917115 IMF917114:IMF917115 IWB917114:IWB917115 JFX917114:JFX917115 JPT917114:JPT917115 JZP917114:JZP917115 KJL917114:KJL917115 KTH917114:KTH917115 LDD917114:LDD917115 LMZ917114:LMZ917115 LWV917114:LWV917115 MGR917114:MGR917115 MQN917114:MQN917115 NAJ917114:NAJ917115 NKF917114:NKF917115 NUB917114:NUB917115 ODX917114:ODX917115 ONT917114:ONT917115 OXP917114:OXP917115 PHL917114:PHL917115 PRH917114:PRH917115 QBD917114:QBD917115 QKZ917114:QKZ917115 QUV917114:QUV917115 RER917114:RER917115 RON917114:RON917115 RYJ917114:RYJ917115 SIF917114:SIF917115 SSB917114:SSB917115 TBX917114:TBX917115 TLT917114:TLT917115 TVP917114:TVP917115 UFL917114:UFL917115 UPH917114:UPH917115 UZD917114:UZD917115 VIZ917114:VIZ917115 VSV917114:VSV917115 WCR917114:WCR917115 WMN917114:WMN917115 WWJ917114:WWJ917115 AB982650:AB982651 JX982650:JX982651 TT982650:TT982651 ADP982650:ADP982651 ANL982650:ANL982651 AXH982650:AXH982651 BHD982650:BHD982651 BQZ982650:BQZ982651 CAV982650:CAV982651 CKR982650:CKR982651 CUN982650:CUN982651 DEJ982650:DEJ982651 DOF982650:DOF982651 DYB982650:DYB982651 EHX982650:EHX982651 ERT982650:ERT982651 FBP982650:FBP982651 FLL982650:FLL982651 FVH982650:FVH982651 GFD982650:GFD982651 GOZ982650:GOZ982651 GYV982650:GYV982651 HIR982650:HIR982651 HSN982650:HSN982651 ICJ982650:ICJ982651 IMF982650:IMF982651 IWB982650:IWB982651 JFX982650:JFX982651 JPT982650:JPT982651 JZP982650:JZP982651 KJL982650:KJL982651 KTH982650:KTH982651 LDD982650:LDD982651 LMZ982650:LMZ982651 LWV982650:LWV982651 MGR982650:MGR982651 MQN982650:MQN982651 NAJ982650:NAJ982651 NKF982650:NKF982651 NUB982650:NUB982651 ODX982650:ODX982651 ONT982650:ONT982651 OXP982650:OXP982651 PHL982650:PHL982651 PRH982650:PRH982651 QBD982650:QBD982651 QKZ982650:QKZ982651 QUV982650:QUV982651 RER982650:RER982651 RON982650:RON982651 RYJ982650:RYJ982651 SIF982650:SIF982651 SSB982650:SSB982651 TBX982650:TBX982651 TLT982650:TLT982651 TVP982650:TVP982651 UFL982650:UFL982651 UPH982650:UPH982651 UZD982650:UZD982651 VIZ982650:VIZ982651 VSV982650:VSV982651 WCR982650:WCR982651 WMN982650:WMN982651 WWJ982650:WWJ982651 AR917114:AR917115 KN917114:KN917115 UJ917114:UJ917115 AEF917114:AEF917115 AOB917114:AOB917115 AXX917114:AXX917115 BHT917114:BHT917115 BRP917114:BRP917115 CBL917114:CBL917115 CLH917114:CLH917115 CVD917114:CVD917115 DEZ917114:DEZ917115 DOV917114:DOV917115 DYR917114:DYR917115 EIN917114:EIN917115 ESJ917114:ESJ917115 FCF917114:FCF917115 FMB917114:FMB917115 FVX917114:FVX917115 GFT917114:GFT917115 GPP917114:GPP917115 GZL917114:GZL917115 HJH917114:HJH917115 HTD917114:HTD917115 ICZ917114:ICZ917115 IMV917114:IMV917115 IWR917114:IWR917115 JGN917114:JGN917115 JQJ917114:JQJ917115 KAF917114:KAF917115 KKB917114:KKB917115 KTX917114:KTX917115 LDT917114:LDT917115 LNP917114:LNP917115 LXL917114:LXL917115 MHH917114:MHH917115 MRD917114:MRD917115 NAZ917114:NAZ917115 NKV917114:NKV917115 NUR917114:NUR917115 OEN917114:OEN917115 OOJ917114:OOJ917115 OYF917114:OYF917115 PIB917114:PIB917115 PRX917114:PRX917115 QBT917114:QBT917115 QLP917114:QLP917115 QVL917114:QVL917115 RFH917114:RFH917115 RPD917114:RPD917115 RYZ917114:RYZ917115 SIV917114:SIV917115 SSR917114:SSR917115 TCN917114:TCN917115 TMJ917114:TMJ917115 TWF917114:TWF917115 UGB917114:UGB917115 UPX917114:UPX917115 UZT917114:UZT917115 VJP917114:VJP917115 VTL917114:VTL917115 WDH917114:WDH917115 WND917114:WND917115 WWZ917114:WWZ917115 AF65146:AF65147 KB65146:KB65147 TX65146:TX65147 ADT65146:ADT65147 ANP65146:ANP65147 AXL65146:AXL65147 BHH65146:BHH65147 BRD65146:BRD65147 CAZ65146:CAZ65147 CKV65146:CKV65147 CUR65146:CUR65147 DEN65146:DEN65147 DOJ65146:DOJ65147 DYF65146:DYF65147 EIB65146:EIB65147 ERX65146:ERX65147 FBT65146:FBT65147 FLP65146:FLP65147 FVL65146:FVL65147 GFH65146:GFH65147 GPD65146:GPD65147 GYZ65146:GYZ65147 HIV65146:HIV65147 HSR65146:HSR65147 ICN65146:ICN65147 IMJ65146:IMJ65147 IWF65146:IWF65147 JGB65146:JGB65147 JPX65146:JPX65147 JZT65146:JZT65147 KJP65146:KJP65147 KTL65146:KTL65147 LDH65146:LDH65147 LND65146:LND65147 LWZ65146:LWZ65147 MGV65146:MGV65147 MQR65146:MQR65147 NAN65146:NAN65147 NKJ65146:NKJ65147 NUF65146:NUF65147 OEB65146:OEB65147 ONX65146:ONX65147 OXT65146:OXT65147 PHP65146:PHP65147 PRL65146:PRL65147 QBH65146:QBH65147 QLD65146:QLD65147 QUZ65146:QUZ65147 REV65146:REV65147 ROR65146:ROR65147 RYN65146:RYN65147 SIJ65146:SIJ65147 SSF65146:SSF65147 TCB65146:TCB65147 TLX65146:TLX65147 TVT65146:TVT65147 UFP65146:UFP65147 UPL65146:UPL65147 UZH65146:UZH65147 VJD65146:VJD65147 VSZ65146:VSZ65147 WCV65146:WCV65147 WMR65146:WMR65147 WWN65146:WWN65147 AF130682:AF130683 KB130682:KB130683 TX130682:TX130683 ADT130682:ADT130683 ANP130682:ANP130683 AXL130682:AXL130683 BHH130682:BHH130683 BRD130682:BRD130683 CAZ130682:CAZ130683 CKV130682:CKV130683 CUR130682:CUR130683 DEN130682:DEN130683 DOJ130682:DOJ130683 DYF130682:DYF130683 EIB130682:EIB130683 ERX130682:ERX130683 FBT130682:FBT130683 FLP130682:FLP130683 FVL130682:FVL130683 GFH130682:GFH130683 GPD130682:GPD130683 GYZ130682:GYZ130683 HIV130682:HIV130683 HSR130682:HSR130683 ICN130682:ICN130683 IMJ130682:IMJ130683 IWF130682:IWF130683 JGB130682:JGB130683 JPX130682:JPX130683 JZT130682:JZT130683 KJP130682:KJP130683 KTL130682:KTL130683 LDH130682:LDH130683 LND130682:LND130683 LWZ130682:LWZ130683 MGV130682:MGV130683 MQR130682:MQR130683 NAN130682:NAN130683 NKJ130682:NKJ130683 NUF130682:NUF130683 OEB130682:OEB130683 ONX130682:ONX130683 OXT130682:OXT130683 PHP130682:PHP130683 PRL130682:PRL130683 QBH130682:QBH130683 QLD130682:QLD130683 QUZ130682:QUZ130683 REV130682:REV130683 ROR130682:ROR130683 RYN130682:RYN130683 SIJ130682:SIJ130683 SSF130682:SSF130683 TCB130682:TCB130683 TLX130682:TLX130683 TVT130682:TVT130683 UFP130682:UFP130683 UPL130682:UPL130683 UZH130682:UZH130683 VJD130682:VJD130683 VSZ130682:VSZ130683 WCV130682:WCV130683 WMR130682:WMR130683 WWN130682:WWN130683 AF196218:AF196219 KB196218:KB196219 TX196218:TX196219 ADT196218:ADT196219 ANP196218:ANP196219 AXL196218:AXL196219 BHH196218:BHH196219 BRD196218:BRD196219 CAZ196218:CAZ196219 CKV196218:CKV196219 CUR196218:CUR196219 DEN196218:DEN196219 DOJ196218:DOJ196219 DYF196218:DYF196219 EIB196218:EIB196219 ERX196218:ERX196219 FBT196218:FBT196219 FLP196218:FLP196219 FVL196218:FVL196219 GFH196218:GFH196219 GPD196218:GPD196219 GYZ196218:GYZ196219 HIV196218:HIV196219 HSR196218:HSR196219 ICN196218:ICN196219 IMJ196218:IMJ196219 IWF196218:IWF196219 JGB196218:JGB196219 JPX196218:JPX196219 JZT196218:JZT196219 KJP196218:KJP196219 KTL196218:KTL196219 LDH196218:LDH196219 LND196218:LND196219 LWZ196218:LWZ196219 MGV196218:MGV196219 MQR196218:MQR196219 NAN196218:NAN196219 NKJ196218:NKJ196219 NUF196218:NUF196219 OEB196218:OEB196219 ONX196218:ONX196219 OXT196218:OXT196219 PHP196218:PHP196219 PRL196218:PRL196219 QBH196218:QBH196219 QLD196218:QLD196219 QUZ196218:QUZ196219 REV196218:REV196219 ROR196218:ROR196219 RYN196218:RYN196219 SIJ196218:SIJ196219 SSF196218:SSF196219 TCB196218:TCB196219 TLX196218:TLX196219 TVT196218:TVT196219 UFP196218:UFP196219 UPL196218:UPL196219 UZH196218:UZH196219 VJD196218:VJD196219 VSZ196218:VSZ196219 WCV196218:WCV196219 WMR196218:WMR196219 WWN196218:WWN196219 AF261754:AF261755 KB261754:KB261755 TX261754:TX261755 ADT261754:ADT261755 ANP261754:ANP261755 AXL261754:AXL261755 BHH261754:BHH261755 BRD261754:BRD261755 CAZ261754:CAZ261755 CKV261754:CKV261755 CUR261754:CUR261755 DEN261754:DEN261755 DOJ261754:DOJ261755 DYF261754:DYF261755 EIB261754:EIB261755 ERX261754:ERX261755 FBT261754:FBT261755 FLP261754:FLP261755 FVL261754:FVL261755 GFH261754:GFH261755 GPD261754:GPD261755 GYZ261754:GYZ261755 HIV261754:HIV261755 HSR261754:HSR261755 ICN261754:ICN261755 IMJ261754:IMJ261755 IWF261754:IWF261755 JGB261754:JGB261755 JPX261754:JPX261755 JZT261754:JZT261755 KJP261754:KJP261755 KTL261754:KTL261755 LDH261754:LDH261755 LND261754:LND261755 LWZ261754:LWZ261755 MGV261754:MGV261755 MQR261754:MQR261755 NAN261754:NAN261755 NKJ261754:NKJ261755 NUF261754:NUF261755 OEB261754:OEB261755 ONX261754:ONX261755 OXT261754:OXT261755 PHP261754:PHP261755 PRL261754:PRL261755 QBH261754:QBH261755 QLD261754:QLD261755 QUZ261754:QUZ261755 REV261754:REV261755 ROR261754:ROR261755 RYN261754:RYN261755 SIJ261754:SIJ261755 SSF261754:SSF261755 TCB261754:TCB261755 TLX261754:TLX261755 TVT261754:TVT261755 UFP261754:UFP261755 UPL261754:UPL261755 UZH261754:UZH261755 VJD261754:VJD261755 VSZ261754:VSZ261755 WCV261754:WCV261755 WMR261754:WMR261755 WWN261754:WWN261755 AF327290:AF327291 KB327290:KB327291 TX327290:TX327291 ADT327290:ADT327291 ANP327290:ANP327291 AXL327290:AXL327291 BHH327290:BHH327291 BRD327290:BRD327291 CAZ327290:CAZ327291 CKV327290:CKV327291 CUR327290:CUR327291 DEN327290:DEN327291 DOJ327290:DOJ327291 DYF327290:DYF327291 EIB327290:EIB327291 ERX327290:ERX327291 FBT327290:FBT327291 FLP327290:FLP327291 FVL327290:FVL327291 GFH327290:GFH327291 GPD327290:GPD327291 GYZ327290:GYZ327291 HIV327290:HIV327291 HSR327290:HSR327291 ICN327290:ICN327291 IMJ327290:IMJ327291 IWF327290:IWF327291 JGB327290:JGB327291 JPX327290:JPX327291 JZT327290:JZT327291 KJP327290:KJP327291 KTL327290:KTL327291 LDH327290:LDH327291 LND327290:LND327291 LWZ327290:LWZ327291 MGV327290:MGV327291 MQR327290:MQR327291 NAN327290:NAN327291 NKJ327290:NKJ327291 NUF327290:NUF327291 OEB327290:OEB327291 ONX327290:ONX327291 OXT327290:OXT327291 PHP327290:PHP327291 PRL327290:PRL327291 QBH327290:QBH327291 QLD327290:QLD327291 QUZ327290:QUZ327291 REV327290:REV327291 ROR327290:ROR327291 RYN327290:RYN327291 SIJ327290:SIJ327291 SSF327290:SSF327291 TCB327290:TCB327291 TLX327290:TLX327291 TVT327290:TVT327291 UFP327290:UFP327291 UPL327290:UPL327291 UZH327290:UZH327291 VJD327290:VJD327291 VSZ327290:VSZ327291 WCV327290:WCV327291 WMR327290:WMR327291 WWN327290:WWN327291 AF392826:AF392827 KB392826:KB392827 TX392826:TX392827 ADT392826:ADT392827 ANP392826:ANP392827 AXL392826:AXL392827 BHH392826:BHH392827 BRD392826:BRD392827 CAZ392826:CAZ392827 CKV392826:CKV392827 CUR392826:CUR392827 DEN392826:DEN392827 DOJ392826:DOJ392827 DYF392826:DYF392827 EIB392826:EIB392827 ERX392826:ERX392827 FBT392826:FBT392827 FLP392826:FLP392827 FVL392826:FVL392827 GFH392826:GFH392827 GPD392826:GPD392827 GYZ392826:GYZ392827 HIV392826:HIV392827 HSR392826:HSR392827 ICN392826:ICN392827 IMJ392826:IMJ392827 IWF392826:IWF392827 JGB392826:JGB392827 JPX392826:JPX392827 JZT392826:JZT392827 KJP392826:KJP392827 KTL392826:KTL392827 LDH392826:LDH392827 LND392826:LND392827 LWZ392826:LWZ392827 MGV392826:MGV392827 MQR392826:MQR392827 NAN392826:NAN392827 NKJ392826:NKJ392827 NUF392826:NUF392827 OEB392826:OEB392827 ONX392826:ONX392827 OXT392826:OXT392827 PHP392826:PHP392827 PRL392826:PRL392827 QBH392826:QBH392827 QLD392826:QLD392827 QUZ392826:QUZ392827 REV392826:REV392827 ROR392826:ROR392827 RYN392826:RYN392827 SIJ392826:SIJ392827 SSF392826:SSF392827 TCB392826:TCB392827 TLX392826:TLX392827 TVT392826:TVT392827 UFP392826:UFP392827 UPL392826:UPL392827 UZH392826:UZH392827 VJD392826:VJD392827 VSZ392826:VSZ392827 WCV392826:WCV392827 WMR392826:WMR392827 WWN392826:WWN392827 AF458362:AF458363 KB458362:KB458363 TX458362:TX458363 ADT458362:ADT458363 ANP458362:ANP458363 AXL458362:AXL458363 BHH458362:BHH458363 BRD458362:BRD458363 CAZ458362:CAZ458363 CKV458362:CKV458363 CUR458362:CUR458363 DEN458362:DEN458363 DOJ458362:DOJ458363 DYF458362:DYF458363 EIB458362:EIB458363 ERX458362:ERX458363 FBT458362:FBT458363 FLP458362:FLP458363 FVL458362:FVL458363 GFH458362:GFH458363 GPD458362:GPD458363 GYZ458362:GYZ458363 HIV458362:HIV458363 HSR458362:HSR458363 ICN458362:ICN458363 IMJ458362:IMJ458363 IWF458362:IWF458363 JGB458362:JGB458363 JPX458362:JPX458363 JZT458362:JZT458363 KJP458362:KJP458363 KTL458362:KTL458363 LDH458362:LDH458363 LND458362:LND458363 LWZ458362:LWZ458363 MGV458362:MGV458363 MQR458362:MQR458363 NAN458362:NAN458363 NKJ458362:NKJ458363 NUF458362:NUF458363 OEB458362:OEB458363 ONX458362:ONX458363 OXT458362:OXT458363 PHP458362:PHP458363 PRL458362:PRL458363 QBH458362:QBH458363 QLD458362:QLD458363 QUZ458362:QUZ458363 REV458362:REV458363 ROR458362:ROR458363 RYN458362:RYN458363 SIJ458362:SIJ458363 SSF458362:SSF458363 TCB458362:TCB458363 TLX458362:TLX458363 TVT458362:TVT458363 UFP458362:UFP458363 UPL458362:UPL458363 UZH458362:UZH458363 VJD458362:VJD458363 VSZ458362:VSZ458363 WCV458362:WCV458363 WMR458362:WMR458363 WWN458362:WWN458363 AF523898:AF523899 KB523898:KB523899 TX523898:TX523899 ADT523898:ADT523899 ANP523898:ANP523899 AXL523898:AXL523899 BHH523898:BHH523899 BRD523898:BRD523899 CAZ523898:CAZ523899 CKV523898:CKV523899 CUR523898:CUR523899 DEN523898:DEN523899 DOJ523898:DOJ523899 DYF523898:DYF523899 EIB523898:EIB523899 ERX523898:ERX523899 FBT523898:FBT523899 FLP523898:FLP523899 FVL523898:FVL523899 GFH523898:GFH523899 GPD523898:GPD523899 GYZ523898:GYZ523899 HIV523898:HIV523899 HSR523898:HSR523899 ICN523898:ICN523899 IMJ523898:IMJ523899 IWF523898:IWF523899 JGB523898:JGB523899 JPX523898:JPX523899 JZT523898:JZT523899 KJP523898:KJP523899 KTL523898:KTL523899 LDH523898:LDH523899 LND523898:LND523899 LWZ523898:LWZ523899 MGV523898:MGV523899 MQR523898:MQR523899 NAN523898:NAN523899 NKJ523898:NKJ523899 NUF523898:NUF523899 OEB523898:OEB523899 ONX523898:ONX523899 OXT523898:OXT523899 PHP523898:PHP523899 PRL523898:PRL523899 QBH523898:QBH523899 QLD523898:QLD523899 QUZ523898:QUZ523899 REV523898:REV523899 ROR523898:ROR523899 RYN523898:RYN523899 SIJ523898:SIJ523899 SSF523898:SSF523899 TCB523898:TCB523899 TLX523898:TLX523899 TVT523898:TVT523899 UFP523898:UFP523899 UPL523898:UPL523899 UZH523898:UZH523899 VJD523898:VJD523899 VSZ523898:VSZ523899 WCV523898:WCV523899 WMR523898:WMR523899 WWN523898:WWN523899 AF589434:AF589435 KB589434:KB589435 TX589434:TX589435 ADT589434:ADT589435 ANP589434:ANP589435 AXL589434:AXL589435 BHH589434:BHH589435 BRD589434:BRD589435 CAZ589434:CAZ589435 CKV589434:CKV589435 CUR589434:CUR589435 DEN589434:DEN589435 DOJ589434:DOJ589435 DYF589434:DYF589435 EIB589434:EIB589435 ERX589434:ERX589435 FBT589434:FBT589435 FLP589434:FLP589435 FVL589434:FVL589435 GFH589434:GFH589435 GPD589434:GPD589435 GYZ589434:GYZ589435 HIV589434:HIV589435 HSR589434:HSR589435 ICN589434:ICN589435 IMJ589434:IMJ589435 IWF589434:IWF589435 JGB589434:JGB589435 JPX589434:JPX589435 JZT589434:JZT589435 KJP589434:KJP589435 KTL589434:KTL589435 LDH589434:LDH589435 LND589434:LND589435 LWZ589434:LWZ589435 MGV589434:MGV589435 MQR589434:MQR589435 NAN589434:NAN589435 NKJ589434:NKJ589435 NUF589434:NUF589435 OEB589434:OEB589435 ONX589434:ONX589435 OXT589434:OXT589435 PHP589434:PHP589435 PRL589434:PRL589435 QBH589434:QBH589435 QLD589434:QLD589435 QUZ589434:QUZ589435 REV589434:REV589435 ROR589434:ROR589435 RYN589434:RYN589435 SIJ589434:SIJ589435 SSF589434:SSF589435 TCB589434:TCB589435 TLX589434:TLX589435 TVT589434:TVT589435 UFP589434:UFP589435 UPL589434:UPL589435 UZH589434:UZH589435 VJD589434:VJD589435 VSZ589434:VSZ589435 WCV589434:WCV589435 WMR589434:WMR589435 WWN589434:WWN589435 AF654970:AF654971 KB654970:KB654971 TX654970:TX654971 ADT654970:ADT654971 ANP654970:ANP654971 AXL654970:AXL654971 BHH654970:BHH654971 BRD654970:BRD654971 CAZ654970:CAZ654971 CKV654970:CKV654971 CUR654970:CUR654971 DEN654970:DEN654971 DOJ654970:DOJ654971 DYF654970:DYF654971 EIB654970:EIB654971 ERX654970:ERX654971 FBT654970:FBT654971 FLP654970:FLP654971 FVL654970:FVL654971 GFH654970:GFH654971 GPD654970:GPD654971 GYZ654970:GYZ654971 HIV654970:HIV654971 HSR654970:HSR654971 ICN654970:ICN654971 IMJ654970:IMJ654971 IWF654970:IWF654971 JGB654970:JGB654971 JPX654970:JPX654971 JZT654970:JZT654971 KJP654970:KJP654971 KTL654970:KTL654971 LDH654970:LDH654971 LND654970:LND654971 LWZ654970:LWZ654971 MGV654970:MGV654971 MQR654970:MQR654971 NAN654970:NAN654971 NKJ654970:NKJ654971 NUF654970:NUF654971 OEB654970:OEB654971 ONX654970:ONX654971 OXT654970:OXT654971 PHP654970:PHP654971 PRL654970:PRL654971 QBH654970:QBH654971 QLD654970:QLD654971 QUZ654970:QUZ654971 REV654970:REV654971 ROR654970:ROR654971 RYN654970:RYN654971 SIJ654970:SIJ654971 SSF654970:SSF654971 TCB654970:TCB654971 TLX654970:TLX654971 TVT654970:TVT654971 UFP654970:UFP654971 UPL654970:UPL654971 UZH654970:UZH654971 VJD654970:VJD654971 VSZ654970:VSZ654971 WCV654970:WCV654971 WMR654970:WMR654971 WWN654970:WWN654971 AF720506:AF720507 KB720506:KB720507 TX720506:TX720507 ADT720506:ADT720507 ANP720506:ANP720507 AXL720506:AXL720507 BHH720506:BHH720507 BRD720506:BRD720507 CAZ720506:CAZ720507 CKV720506:CKV720507 CUR720506:CUR720507 DEN720506:DEN720507 DOJ720506:DOJ720507 DYF720506:DYF720507 EIB720506:EIB720507 ERX720506:ERX720507 FBT720506:FBT720507 FLP720506:FLP720507 FVL720506:FVL720507 GFH720506:GFH720507 GPD720506:GPD720507 GYZ720506:GYZ720507 HIV720506:HIV720507 HSR720506:HSR720507 ICN720506:ICN720507 IMJ720506:IMJ720507 IWF720506:IWF720507 JGB720506:JGB720507 JPX720506:JPX720507 JZT720506:JZT720507 KJP720506:KJP720507 KTL720506:KTL720507 LDH720506:LDH720507 LND720506:LND720507 LWZ720506:LWZ720507 MGV720506:MGV720507 MQR720506:MQR720507 NAN720506:NAN720507 NKJ720506:NKJ720507 NUF720506:NUF720507 OEB720506:OEB720507 ONX720506:ONX720507 OXT720506:OXT720507 PHP720506:PHP720507 PRL720506:PRL720507 QBH720506:QBH720507 QLD720506:QLD720507 QUZ720506:QUZ720507 REV720506:REV720507 ROR720506:ROR720507 RYN720506:RYN720507 SIJ720506:SIJ720507 SSF720506:SSF720507 TCB720506:TCB720507 TLX720506:TLX720507 TVT720506:TVT720507 UFP720506:UFP720507 UPL720506:UPL720507 UZH720506:UZH720507 VJD720506:VJD720507 VSZ720506:VSZ720507 WCV720506:WCV720507 WMR720506:WMR720507 WWN720506:WWN720507 AF786042:AF786043 KB786042:KB786043 TX786042:TX786043 ADT786042:ADT786043 ANP786042:ANP786043 AXL786042:AXL786043 BHH786042:BHH786043 BRD786042:BRD786043 CAZ786042:CAZ786043 CKV786042:CKV786043 CUR786042:CUR786043 DEN786042:DEN786043 DOJ786042:DOJ786043 DYF786042:DYF786043 EIB786042:EIB786043 ERX786042:ERX786043 FBT786042:FBT786043 FLP786042:FLP786043 FVL786042:FVL786043 GFH786042:GFH786043 GPD786042:GPD786043 GYZ786042:GYZ786043 HIV786042:HIV786043 HSR786042:HSR786043 ICN786042:ICN786043 IMJ786042:IMJ786043 IWF786042:IWF786043 JGB786042:JGB786043 JPX786042:JPX786043 JZT786042:JZT786043 KJP786042:KJP786043 KTL786042:KTL786043 LDH786042:LDH786043 LND786042:LND786043 LWZ786042:LWZ786043 MGV786042:MGV786043 MQR786042:MQR786043 NAN786042:NAN786043 NKJ786042:NKJ786043 NUF786042:NUF786043 OEB786042:OEB786043 ONX786042:ONX786043 OXT786042:OXT786043 PHP786042:PHP786043 PRL786042:PRL786043 QBH786042:QBH786043 QLD786042:QLD786043 QUZ786042:QUZ786043 REV786042:REV786043 ROR786042:ROR786043 RYN786042:RYN786043 SIJ786042:SIJ786043 SSF786042:SSF786043 TCB786042:TCB786043 TLX786042:TLX786043 TVT786042:TVT786043 UFP786042:UFP786043 UPL786042:UPL786043 UZH786042:UZH786043 VJD786042:VJD786043 VSZ786042:VSZ786043 WCV786042:WCV786043 WMR786042:WMR786043 WWN786042:WWN786043 AF851578:AF851579 KB851578:KB851579 TX851578:TX851579 ADT851578:ADT851579 ANP851578:ANP851579 AXL851578:AXL851579 BHH851578:BHH851579 BRD851578:BRD851579 CAZ851578:CAZ851579 CKV851578:CKV851579 CUR851578:CUR851579 DEN851578:DEN851579 DOJ851578:DOJ851579 DYF851578:DYF851579 EIB851578:EIB851579 ERX851578:ERX851579 FBT851578:FBT851579 FLP851578:FLP851579 FVL851578:FVL851579 GFH851578:GFH851579 GPD851578:GPD851579 GYZ851578:GYZ851579 HIV851578:HIV851579 HSR851578:HSR851579 ICN851578:ICN851579 IMJ851578:IMJ851579 IWF851578:IWF851579 JGB851578:JGB851579 JPX851578:JPX851579 JZT851578:JZT851579 KJP851578:KJP851579 KTL851578:KTL851579 LDH851578:LDH851579 LND851578:LND851579 LWZ851578:LWZ851579 MGV851578:MGV851579 MQR851578:MQR851579 NAN851578:NAN851579 NKJ851578:NKJ851579 NUF851578:NUF851579 OEB851578:OEB851579 ONX851578:ONX851579 OXT851578:OXT851579 PHP851578:PHP851579 PRL851578:PRL851579 QBH851578:QBH851579 QLD851578:QLD851579 QUZ851578:QUZ851579 REV851578:REV851579 ROR851578:ROR851579 RYN851578:RYN851579 SIJ851578:SIJ851579 SSF851578:SSF851579 TCB851578:TCB851579 TLX851578:TLX851579 TVT851578:TVT851579 UFP851578:UFP851579 UPL851578:UPL851579 UZH851578:UZH851579 VJD851578:VJD851579 VSZ851578:VSZ851579 WCV851578:WCV851579 WMR851578:WMR851579 WWN851578:WWN851579 AF917114:AF917115 KB917114:KB917115 TX917114:TX917115 ADT917114:ADT917115 ANP917114:ANP917115 AXL917114:AXL917115 BHH917114:BHH917115 BRD917114:BRD917115 CAZ917114:CAZ917115 CKV917114:CKV917115 CUR917114:CUR917115 DEN917114:DEN917115 DOJ917114:DOJ917115 DYF917114:DYF917115 EIB917114:EIB917115 ERX917114:ERX917115 FBT917114:FBT917115 FLP917114:FLP917115 FVL917114:FVL917115 GFH917114:GFH917115 GPD917114:GPD917115 GYZ917114:GYZ917115 HIV917114:HIV917115 HSR917114:HSR917115 ICN917114:ICN917115 IMJ917114:IMJ917115 IWF917114:IWF917115 JGB917114:JGB917115 JPX917114:JPX917115 JZT917114:JZT917115 KJP917114:KJP917115 KTL917114:KTL917115 LDH917114:LDH917115 LND917114:LND917115 LWZ917114:LWZ917115 MGV917114:MGV917115 MQR917114:MQR917115 NAN917114:NAN917115 NKJ917114:NKJ917115 NUF917114:NUF917115 OEB917114:OEB917115 ONX917114:ONX917115 OXT917114:OXT917115 PHP917114:PHP917115 PRL917114:PRL917115 QBH917114:QBH917115 QLD917114:QLD917115 QUZ917114:QUZ917115 REV917114:REV917115 ROR917114:ROR917115 RYN917114:RYN917115 SIJ917114:SIJ917115 SSF917114:SSF917115 TCB917114:TCB917115 TLX917114:TLX917115 TVT917114:TVT917115 UFP917114:UFP917115 UPL917114:UPL917115 UZH917114:UZH917115 VJD917114:VJD917115 VSZ917114:VSZ917115 WCV917114:WCV917115 WMR917114:WMR917115 WWN917114:WWN917115 AF982650:AF982651 KB982650:KB982651 TX982650:TX982651 ADT982650:ADT982651 ANP982650:ANP982651 AXL982650:AXL982651 BHH982650:BHH982651 BRD982650:BRD982651 CAZ982650:CAZ982651 CKV982650:CKV982651 CUR982650:CUR982651 DEN982650:DEN982651 DOJ982650:DOJ982651 DYF982650:DYF982651 EIB982650:EIB982651 ERX982650:ERX982651 FBT982650:FBT982651 FLP982650:FLP982651 FVL982650:FVL982651 GFH982650:GFH982651 GPD982650:GPD982651 GYZ982650:GYZ982651 HIV982650:HIV982651 HSR982650:HSR982651 ICN982650:ICN982651 IMJ982650:IMJ982651 IWF982650:IWF982651 JGB982650:JGB982651 JPX982650:JPX982651 JZT982650:JZT982651 KJP982650:KJP982651 KTL982650:KTL982651 LDH982650:LDH982651 LND982650:LND982651 LWZ982650:LWZ982651 MGV982650:MGV982651 MQR982650:MQR982651 NAN982650:NAN982651 NKJ982650:NKJ982651 NUF982650:NUF982651 OEB982650:OEB982651 ONX982650:ONX982651 OXT982650:OXT982651 PHP982650:PHP982651 PRL982650:PRL982651 QBH982650:QBH982651 QLD982650:QLD982651 QUZ982650:QUZ982651 REV982650:REV982651 ROR982650:ROR982651 RYN982650:RYN982651 SIJ982650:SIJ982651 SSF982650:SSF982651 TCB982650:TCB982651 TLX982650:TLX982651 TVT982650:TVT982651 UFP982650:UFP982651 UPL982650:UPL982651 UZH982650:UZH982651 VJD982650:VJD982651 VSZ982650:VSZ982651 WCV982650:WCV982651 WMR982650:WMR982651 WWN982650:WWN982651 AR982650:AR982651 KN982650:KN982651 UJ982650:UJ982651 AEF982650:AEF982651 AOB982650:AOB982651 AXX982650:AXX982651 BHT982650:BHT982651 BRP982650:BRP982651 CBL982650:CBL982651 CLH982650:CLH982651 CVD982650:CVD982651 DEZ982650:DEZ982651 DOV982650:DOV982651 DYR982650:DYR982651 EIN982650:EIN982651 ESJ982650:ESJ982651 FCF982650:FCF982651 FMB982650:FMB982651 FVX982650:FVX982651 GFT982650:GFT982651 GPP982650:GPP982651 GZL982650:GZL982651 HJH982650:HJH982651 HTD982650:HTD982651 ICZ982650:ICZ982651 IMV982650:IMV982651 IWR982650:IWR982651 JGN982650:JGN982651 JQJ982650:JQJ982651 KAF982650:KAF982651 KKB982650:KKB982651 KTX982650:KTX982651 LDT982650:LDT982651 LNP982650:LNP982651 LXL982650:LXL982651 MHH982650:MHH982651 MRD982650:MRD982651 NAZ982650:NAZ982651 NKV982650:NKV982651 NUR982650:NUR982651 OEN982650:OEN982651 OOJ982650:OOJ982651 OYF982650:OYF982651 PIB982650:PIB982651 PRX982650:PRX982651 QBT982650:QBT982651 QLP982650:QLP982651 QVL982650:QVL982651 RFH982650:RFH982651 RPD982650:RPD982651 RYZ982650:RYZ982651 SIV982650:SIV982651 SSR982650:SSR982651 TCN982650:TCN982651 TMJ982650:TMJ982651 TWF982650:TWF982651 UGB982650:UGB982651 UPX982650:UPX982651 UZT982650:UZT982651 VJP982650:VJP982651 VTL982650:VTL982651 WDH982650:WDH982651 WND982650:WND982651 WWZ982650:WWZ982651 AR65146:AR65147 KN65146:KN65147 UJ65146:UJ65147 AEF65146:AEF65147 AOB65146:AOB65147 AXX65146:AXX65147 BHT65146:BHT65147 BRP65146:BRP65147 CBL65146:CBL65147 CLH65146:CLH65147 CVD65146:CVD65147 DEZ65146:DEZ65147 DOV65146:DOV65147 DYR65146:DYR65147 EIN65146:EIN65147 ESJ65146:ESJ65147 FCF65146:FCF65147 FMB65146:FMB65147 FVX65146:FVX65147 GFT65146:GFT65147 GPP65146:GPP65147 GZL65146:GZL65147 HJH65146:HJH65147 HTD65146:HTD65147 ICZ65146:ICZ65147 IMV65146:IMV65147 IWR65146:IWR65147 JGN65146:JGN65147 JQJ65146:JQJ65147 KAF65146:KAF65147 KKB65146:KKB65147 KTX65146:KTX65147 LDT65146:LDT65147 LNP65146:LNP65147 LXL65146:LXL65147 MHH65146:MHH65147 MRD65146:MRD65147 NAZ65146:NAZ65147 NKV65146:NKV65147 NUR65146:NUR65147 OEN65146:OEN65147 OOJ65146:OOJ65147 OYF65146:OYF65147 PIB65146:PIB65147 PRX65146:PRX65147 QBT65146:QBT65147 QLP65146:QLP65147 QVL65146:QVL65147 RFH65146:RFH65147 RPD65146:RPD65147 RYZ65146:RYZ65147 SIV65146:SIV65147 SSR65146:SSR65147 TCN65146:TCN65147 TMJ65146:TMJ65147 TWF65146:TWF65147 UGB65146:UGB65147 UPX65146:UPX65147 UZT65146:UZT65147 VJP65146:VJP65147 VTL65146:VTL65147 WDH65146:WDH65147 WND65146:WND65147 WWZ65146:WWZ65147 AR130682:AR130683 KN130682:KN130683 UJ130682:UJ130683 AEF130682:AEF130683 AOB130682:AOB130683 AXX130682:AXX130683 BHT130682:BHT130683 BRP130682:BRP130683 CBL130682:CBL130683 CLH130682:CLH130683 CVD130682:CVD130683 DEZ130682:DEZ130683 DOV130682:DOV130683 DYR130682:DYR130683 EIN130682:EIN130683 ESJ130682:ESJ130683 FCF130682:FCF130683 FMB130682:FMB130683 FVX130682:FVX130683 GFT130682:GFT130683 GPP130682:GPP130683 GZL130682:GZL130683 HJH130682:HJH130683 HTD130682:HTD130683 ICZ130682:ICZ130683 IMV130682:IMV130683 IWR130682:IWR130683 JGN130682:JGN130683 JQJ130682:JQJ130683 KAF130682:KAF130683 KKB130682:KKB130683 KTX130682:KTX130683 LDT130682:LDT130683 LNP130682:LNP130683 LXL130682:LXL130683 MHH130682:MHH130683 MRD130682:MRD130683 NAZ130682:NAZ130683 NKV130682:NKV130683 NUR130682:NUR130683 OEN130682:OEN130683 OOJ130682:OOJ130683 OYF130682:OYF130683 PIB130682:PIB130683 PRX130682:PRX130683 QBT130682:QBT130683 QLP130682:QLP130683 QVL130682:QVL130683 RFH130682:RFH130683 RPD130682:RPD130683 RYZ130682:RYZ130683 SIV130682:SIV130683 SSR130682:SSR130683 TCN130682:TCN130683 TMJ130682:TMJ130683 TWF130682:TWF130683 UGB130682:UGB130683 UPX130682:UPX130683 UZT130682:UZT130683 VJP130682:VJP130683 VTL130682:VTL130683 WDH130682:WDH130683 WND130682:WND130683 WWZ130682:WWZ130683 AR196218:AR196219 KN196218:KN196219 UJ196218:UJ196219 AEF196218:AEF196219 AOB196218:AOB196219 AXX196218:AXX196219 BHT196218:BHT196219 BRP196218:BRP196219 CBL196218:CBL196219 CLH196218:CLH196219 CVD196218:CVD196219 DEZ196218:DEZ196219 DOV196218:DOV196219 DYR196218:DYR196219 EIN196218:EIN196219 ESJ196218:ESJ196219 FCF196218:FCF196219 FMB196218:FMB196219 FVX196218:FVX196219 GFT196218:GFT196219 GPP196218:GPP196219 GZL196218:GZL196219 HJH196218:HJH196219 HTD196218:HTD196219 ICZ196218:ICZ196219 IMV196218:IMV196219 IWR196218:IWR196219 JGN196218:JGN196219 JQJ196218:JQJ196219 KAF196218:KAF196219 KKB196218:KKB196219 KTX196218:KTX196219 LDT196218:LDT196219 LNP196218:LNP196219 LXL196218:LXL196219 MHH196218:MHH196219 MRD196218:MRD196219 NAZ196218:NAZ196219 NKV196218:NKV196219 NUR196218:NUR196219 OEN196218:OEN196219 OOJ196218:OOJ196219 OYF196218:OYF196219 PIB196218:PIB196219 PRX196218:PRX196219 QBT196218:QBT196219 QLP196218:QLP196219 QVL196218:QVL196219 RFH196218:RFH196219 RPD196218:RPD196219 RYZ196218:RYZ196219 SIV196218:SIV196219 SSR196218:SSR196219 TCN196218:TCN196219 TMJ196218:TMJ196219 TWF196218:TWF196219 UGB196218:UGB196219 UPX196218:UPX196219 UZT196218:UZT196219 VJP196218:VJP196219 VTL196218:VTL196219 WDH196218:WDH196219 WND196218:WND196219 WWZ196218:WWZ196219 AR261754:AR261755 KN261754:KN261755 UJ261754:UJ261755 AEF261754:AEF261755 AOB261754:AOB261755 AXX261754:AXX261755 BHT261754:BHT261755 BRP261754:BRP261755 CBL261754:CBL261755 CLH261754:CLH261755 CVD261754:CVD261755 DEZ261754:DEZ261755 DOV261754:DOV261755 DYR261754:DYR261755 EIN261754:EIN261755 ESJ261754:ESJ261755 FCF261754:FCF261755 FMB261754:FMB261755 FVX261754:FVX261755 GFT261754:GFT261755 GPP261754:GPP261755 GZL261754:GZL261755 HJH261754:HJH261755 HTD261754:HTD261755 ICZ261754:ICZ261755 IMV261754:IMV261755 IWR261754:IWR261755 JGN261754:JGN261755 JQJ261754:JQJ261755 KAF261754:KAF261755 KKB261754:KKB261755 KTX261754:KTX261755 LDT261754:LDT261755 LNP261754:LNP261755 LXL261754:LXL261755 MHH261754:MHH261755 MRD261754:MRD261755 NAZ261754:NAZ261755 NKV261754:NKV261755 NUR261754:NUR261755 OEN261754:OEN261755 OOJ261754:OOJ261755 OYF261754:OYF261755 PIB261754:PIB261755 PRX261754:PRX261755 QBT261754:QBT261755 QLP261754:QLP261755 QVL261754:QVL261755 RFH261754:RFH261755 RPD261754:RPD261755 RYZ261754:RYZ261755 SIV261754:SIV261755 SSR261754:SSR261755 TCN261754:TCN261755 TMJ261754:TMJ261755 TWF261754:TWF261755 UGB261754:UGB261755 UPX261754:UPX261755 UZT261754:UZT261755 VJP261754:VJP261755 VTL261754:VTL261755 WDH261754:WDH261755 WND261754:WND261755 WWZ261754:WWZ261755 AR327290:AR327291 KN327290:KN327291 UJ327290:UJ327291 AEF327290:AEF327291 AOB327290:AOB327291 AXX327290:AXX327291 BHT327290:BHT327291 BRP327290:BRP327291 CBL327290:CBL327291 CLH327290:CLH327291 CVD327290:CVD327291 DEZ327290:DEZ327291 DOV327290:DOV327291 DYR327290:DYR327291 EIN327290:EIN327291 ESJ327290:ESJ327291 FCF327290:FCF327291 FMB327290:FMB327291 FVX327290:FVX327291 GFT327290:GFT327291 GPP327290:GPP327291 GZL327290:GZL327291 HJH327290:HJH327291 HTD327290:HTD327291 ICZ327290:ICZ327291 IMV327290:IMV327291 IWR327290:IWR327291 JGN327290:JGN327291 JQJ327290:JQJ327291 KAF327290:KAF327291 KKB327290:KKB327291 KTX327290:KTX327291 LDT327290:LDT327291 LNP327290:LNP327291 LXL327290:LXL327291 MHH327290:MHH327291 MRD327290:MRD327291 NAZ327290:NAZ327291 NKV327290:NKV327291 NUR327290:NUR327291 OEN327290:OEN327291 OOJ327290:OOJ327291 OYF327290:OYF327291 PIB327290:PIB327291 PRX327290:PRX327291 QBT327290:QBT327291 QLP327290:QLP327291 QVL327290:QVL327291 RFH327290:RFH327291 RPD327290:RPD327291 RYZ327290:RYZ327291 SIV327290:SIV327291 SSR327290:SSR327291 TCN327290:TCN327291 TMJ327290:TMJ327291 TWF327290:TWF327291 UGB327290:UGB327291 UPX327290:UPX327291 UZT327290:UZT327291 VJP327290:VJP327291 VTL327290:VTL327291 WDH327290:WDH327291 WND327290:WND327291 WWZ327290:WWZ327291 AR392826:AR392827 KN392826:KN392827 UJ392826:UJ392827 AEF392826:AEF392827 AOB392826:AOB392827 AXX392826:AXX392827 BHT392826:BHT392827 BRP392826:BRP392827 CBL392826:CBL392827 CLH392826:CLH392827 CVD392826:CVD392827 DEZ392826:DEZ392827 DOV392826:DOV392827 DYR392826:DYR392827 EIN392826:EIN392827 ESJ392826:ESJ392827 FCF392826:FCF392827 FMB392826:FMB392827 FVX392826:FVX392827 GFT392826:GFT392827 GPP392826:GPP392827 GZL392826:GZL392827 HJH392826:HJH392827 HTD392826:HTD392827 ICZ392826:ICZ392827 IMV392826:IMV392827 IWR392826:IWR392827 JGN392826:JGN392827 JQJ392826:JQJ392827 KAF392826:KAF392827 KKB392826:KKB392827 KTX392826:KTX392827 LDT392826:LDT392827 LNP392826:LNP392827 LXL392826:LXL392827 MHH392826:MHH392827 MRD392826:MRD392827 NAZ392826:NAZ392827 NKV392826:NKV392827 NUR392826:NUR392827 OEN392826:OEN392827 OOJ392826:OOJ392827 OYF392826:OYF392827 PIB392826:PIB392827 PRX392826:PRX392827 QBT392826:QBT392827 QLP392826:QLP392827 QVL392826:QVL392827 RFH392826:RFH392827 RPD392826:RPD392827 RYZ392826:RYZ392827 SIV392826:SIV392827 SSR392826:SSR392827 TCN392826:TCN392827 TMJ392826:TMJ392827 TWF392826:TWF392827 UGB392826:UGB392827 UPX392826:UPX392827 UZT392826:UZT392827 VJP392826:VJP392827 VTL392826:VTL392827 WDH392826:WDH392827 WND392826:WND392827 WWZ392826:WWZ392827 AR458362:AR458363 KN458362:KN458363 UJ458362:UJ458363 AEF458362:AEF458363 AOB458362:AOB458363 AXX458362:AXX458363 BHT458362:BHT458363 BRP458362:BRP458363 CBL458362:CBL458363 CLH458362:CLH458363 CVD458362:CVD458363 DEZ458362:DEZ458363 DOV458362:DOV458363 DYR458362:DYR458363 EIN458362:EIN458363 ESJ458362:ESJ458363 FCF458362:FCF458363 FMB458362:FMB458363 FVX458362:FVX458363 GFT458362:GFT458363 GPP458362:GPP458363 GZL458362:GZL458363 HJH458362:HJH458363 HTD458362:HTD458363 ICZ458362:ICZ458363 IMV458362:IMV458363 IWR458362:IWR458363 JGN458362:JGN458363 JQJ458362:JQJ458363 KAF458362:KAF458363 KKB458362:KKB458363 KTX458362:KTX458363 LDT458362:LDT458363 LNP458362:LNP458363 LXL458362:LXL458363 MHH458362:MHH458363 MRD458362:MRD458363 NAZ458362:NAZ458363 NKV458362:NKV458363 NUR458362:NUR458363 OEN458362:OEN458363 OOJ458362:OOJ458363 OYF458362:OYF458363 PIB458362:PIB458363 PRX458362:PRX458363 QBT458362:QBT458363 QLP458362:QLP458363 QVL458362:QVL458363 RFH458362:RFH458363 RPD458362:RPD458363 RYZ458362:RYZ458363 SIV458362:SIV458363 SSR458362:SSR458363 TCN458362:TCN458363 TMJ458362:TMJ458363 TWF458362:TWF458363 UGB458362:UGB458363 UPX458362:UPX458363 UZT458362:UZT458363 VJP458362:VJP458363 VTL458362:VTL458363 WDH458362:WDH458363 WND458362:WND458363 WWZ458362:WWZ458363 AR523898:AR523899 KN523898:KN523899 UJ523898:UJ523899 AEF523898:AEF523899 AOB523898:AOB523899 AXX523898:AXX523899 BHT523898:BHT523899 BRP523898:BRP523899 CBL523898:CBL523899 CLH523898:CLH523899 CVD523898:CVD523899 DEZ523898:DEZ523899 DOV523898:DOV523899 DYR523898:DYR523899 EIN523898:EIN523899 ESJ523898:ESJ523899 FCF523898:FCF523899 FMB523898:FMB523899 FVX523898:FVX523899 GFT523898:GFT523899 GPP523898:GPP523899 GZL523898:GZL523899 HJH523898:HJH523899 HTD523898:HTD523899 ICZ523898:ICZ523899 IMV523898:IMV523899 IWR523898:IWR523899 JGN523898:JGN523899 JQJ523898:JQJ523899 KAF523898:KAF523899 KKB523898:KKB523899 KTX523898:KTX523899 LDT523898:LDT523899 LNP523898:LNP523899 LXL523898:LXL523899 MHH523898:MHH523899 MRD523898:MRD523899 NAZ523898:NAZ523899 NKV523898:NKV523899 NUR523898:NUR523899 OEN523898:OEN523899 OOJ523898:OOJ523899 OYF523898:OYF523899 PIB523898:PIB523899 PRX523898:PRX523899 QBT523898:QBT523899 QLP523898:QLP523899 QVL523898:QVL523899 RFH523898:RFH523899 RPD523898:RPD523899 RYZ523898:RYZ523899 SIV523898:SIV523899 SSR523898:SSR523899 TCN523898:TCN523899 TMJ523898:TMJ523899 TWF523898:TWF523899 UGB523898:UGB523899 UPX523898:UPX523899 UZT523898:UZT523899 VJP523898:VJP523899 VTL523898:VTL523899 WDH523898:WDH523899 WND523898:WND523899 WWZ523898:WWZ523899 AR589434:AR589435 KN589434:KN589435 UJ589434:UJ589435 AEF589434:AEF589435 AOB589434:AOB589435 AXX589434:AXX589435 BHT589434:BHT589435 BRP589434:BRP589435 CBL589434:CBL589435 CLH589434:CLH589435 CVD589434:CVD589435 DEZ589434:DEZ589435 DOV589434:DOV589435 DYR589434:DYR589435 EIN589434:EIN589435 ESJ589434:ESJ589435 FCF589434:FCF589435 FMB589434:FMB589435 FVX589434:FVX589435 GFT589434:GFT589435 GPP589434:GPP589435 GZL589434:GZL589435 HJH589434:HJH589435 HTD589434:HTD589435 ICZ589434:ICZ589435 IMV589434:IMV589435 IWR589434:IWR589435 JGN589434:JGN589435 JQJ589434:JQJ589435 KAF589434:KAF589435 KKB589434:KKB589435 KTX589434:KTX589435 LDT589434:LDT589435 LNP589434:LNP589435 LXL589434:LXL589435 MHH589434:MHH589435 MRD589434:MRD589435 NAZ589434:NAZ589435 NKV589434:NKV589435 NUR589434:NUR589435 OEN589434:OEN589435 OOJ589434:OOJ589435 OYF589434:OYF589435 PIB589434:PIB589435 PRX589434:PRX589435 QBT589434:QBT589435 QLP589434:QLP589435 QVL589434:QVL589435 RFH589434:RFH589435 RPD589434:RPD589435 RYZ589434:RYZ589435 SIV589434:SIV589435 SSR589434:SSR589435 TCN589434:TCN589435 TMJ589434:TMJ589435 TWF589434:TWF589435 UGB589434:UGB589435 UPX589434:UPX589435 UZT589434:UZT589435 VJP589434:VJP589435 VTL589434:VTL589435 WDH589434:WDH589435 WND589434:WND589435 WWZ589434:WWZ589435 AR654970:AR654971 KN654970:KN654971 UJ654970:UJ654971 AEF654970:AEF654971 AOB654970:AOB654971 AXX654970:AXX654971 BHT654970:BHT654971 BRP654970:BRP654971 CBL654970:CBL654971 CLH654970:CLH654971 CVD654970:CVD654971 DEZ654970:DEZ654971 DOV654970:DOV654971 DYR654970:DYR654971 EIN654970:EIN654971 ESJ654970:ESJ654971 FCF654970:FCF654971 FMB654970:FMB654971 FVX654970:FVX654971 GFT654970:GFT654971 GPP654970:GPP654971 GZL654970:GZL654971 HJH654970:HJH654971 HTD654970:HTD654971 ICZ654970:ICZ654971 IMV654970:IMV654971 IWR654970:IWR654971 JGN654970:JGN654971 JQJ654970:JQJ654971 KAF654970:KAF654971 KKB654970:KKB654971 KTX654970:KTX654971 LDT654970:LDT654971 LNP654970:LNP654971 LXL654970:LXL654971 MHH654970:MHH654971 MRD654970:MRD654971 NAZ654970:NAZ654971 NKV654970:NKV654971 NUR654970:NUR654971 OEN654970:OEN654971 OOJ654970:OOJ654971 OYF654970:OYF654971 PIB654970:PIB654971 PRX654970:PRX654971 QBT654970:QBT654971 QLP654970:QLP654971 QVL654970:QVL654971 RFH654970:RFH654971 RPD654970:RPD654971 RYZ654970:RYZ654971 SIV654970:SIV654971 SSR654970:SSR654971 TCN654970:TCN654971 TMJ654970:TMJ654971 TWF654970:TWF654971 UGB654970:UGB654971 UPX654970:UPX654971 UZT654970:UZT654971 VJP654970:VJP654971 VTL654970:VTL654971 WDH654970:WDH654971 WND654970:WND654971 WWZ654970:WWZ654971 AN3:AN4 KJ3:KJ4 UF3:UF4 AEB3:AEB4 ANX3:ANX4 AXT3:AXT4 BHP3:BHP4 BRL3:BRL4 CBH3:CBH4 CLD3:CLD4 CUZ3:CUZ4 DEV3:DEV4 DOR3:DOR4 DYN3:DYN4 EIJ3:EIJ4 ESF3:ESF4 FCB3:FCB4 FLX3:FLX4 FVT3:FVT4 GFP3:GFP4 GPL3:GPL4 GZH3:GZH4 HJD3:HJD4 HSZ3:HSZ4 ICV3:ICV4 IMR3:IMR4 IWN3:IWN4 JGJ3:JGJ4 JQF3:JQF4 KAB3:KAB4 KJX3:KJX4 KTT3:KTT4 LDP3:LDP4 LNL3:LNL4 LXH3:LXH4 MHD3:MHD4 MQZ3:MQZ4 NAV3:NAV4 NKR3:NKR4 NUN3:NUN4 OEJ3:OEJ4 OOF3:OOF4 OYB3:OYB4 PHX3:PHX4 PRT3:PRT4 QBP3:QBP4 QLL3:QLL4 QVH3:QVH4 RFD3:RFD4 ROZ3:ROZ4 RYV3:RYV4 SIR3:SIR4 SSN3:SSN4 TCJ3:TCJ4 TMF3:TMF4 TWB3:TWB4 UFX3:UFX4 UPT3:UPT4 UZP3:UZP4 VJL3:VJL4 VTH3:VTH4 WDD3:WDD4 WMZ3:WMZ4 WWV3:WWV4 AJ3:AJ4 KF3:KF4 UB3:UB4 ADX3:ADX4 ANT3:ANT4 AXP3:AXP4 BHL3:BHL4 BRH3:BRH4 CBD3:CBD4 CKZ3:CKZ4 CUV3:CUV4 DER3:DER4 DON3:DON4 DYJ3:DYJ4 EIF3:EIF4 ESB3:ESB4 FBX3:FBX4 FLT3:FLT4 FVP3:FVP4 GFL3:GFL4 GPH3:GPH4 GZD3:GZD4 HIZ3:HIZ4 HSV3:HSV4 ICR3:ICR4 IMN3:IMN4 IWJ3:IWJ4 JGF3:JGF4 JQB3:JQB4 JZX3:JZX4 KJT3:KJT4 KTP3:KTP4 LDL3:LDL4 LNH3:LNH4 LXD3:LXD4 MGZ3:MGZ4 MQV3:MQV4 NAR3:NAR4 NKN3:NKN4 NUJ3:NUJ4 OEF3:OEF4 OOB3:OOB4 OXX3:OXX4 PHT3:PHT4 PRP3:PRP4 QBL3:QBL4 QLH3:QLH4 QVD3:QVD4 REZ3:REZ4 ROV3:ROV4 RYR3:RYR4 SIN3:SIN4 SSJ3:SSJ4 TCF3:TCF4 TMB3:TMB4 TVX3:TVX4 UFT3:UFT4 UPP3:UPP4 UZL3:UZL4 VJH3:VJH4 VTD3:VTD4 WCZ3:WCZ4 WMV3:WMV4 WWR3:WWR4 AB3:AB4 JX3:JX4 TT3:TT4 ADP3:ADP4 ANL3:ANL4 AXH3:AXH4 BHD3:BHD4 BQZ3:BQZ4 CAV3:CAV4 CKR3:CKR4 CUN3:CUN4 DEJ3:DEJ4 DOF3:DOF4 DYB3:DYB4 EHX3:EHX4 ERT3:ERT4 FBP3:FBP4 FLL3:FLL4 FVH3:FVH4 GFD3:GFD4 GOZ3:GOZ4 GYV3:GYV4 HIR3:HIR4 HSN3:HSN4 ICJ3:ICJ4 IMF3:IMF4 IWB3:IWB4 JFX3:JFX4 JPT3:JPT4 JZP3:JZP4 KJL3:KJL4 KTH3:KTH4 LDD3:LDD4 LMZ3:LMZ4 LWV3:LWV4 MGR3:MGR4 MQN3:MQN4 NAJ3:NAJ4 NKF3:NKF4 NUB3:NUB4 ODX3:ODX4 ONT3:ONT4 OXP3:OXP4 PHL3:PHL4 PRH3:PRH4 QBD3:QBD4 QKZ3:QKZ4 QUV3:QUV4 RER3:RER4 RON3:RON4 RYJ3:RYJ4 SIF3:SIF4 SSB3:SSB4 TBX3:TBX4 TLT3:TLT4 TVP3:TVP4 UFL3:UFL4 UPH3:UPH4 UZD3:UZD4 VIZ3:VIZ4 VSV3:VSV4 WCR3:WCR4 WMN3:WMN4 WWJ3:WWJ4 AF3:AF4 KB3:KB4 TX3:TX4 ADT3:ADT4 ANP3:ANP4 AXL3:AXL4 BHH3:BHH4 BRD3:BRD4 CAZ3:CAZ4 CKV3:CKV4 CUR3:CUR4 DEN3:DEN4 DOJ3:DOJ4 DYF3:DYF4 EIB3:EIB4 ERX3:ERX4 FBT3:FBT4 FLP3:FLP4 FVL3:FVL4 GFH3:GFH4 GPD3:GPD4 GYZ3:GYZ4 HIV3:HIV4 HSR3:HSR4 ICN3:ICN4 IMJ3:IMJ4 IWF3:IWF4 JGB3:JGB4 JPX3:JPX4 JZT3:JZT4 KJP3:KJP4 KTL3:KTL4 LDH3:LDH4 LND3:LND4 LWZ3:LWZ4 MGV3:MGV4 MQR3:MQR4 NAN3:NAN4 NKJ3:NKJ4 NUF3:NUF4 OEB3:OEB4 ONX3:ONX4 OXT3:OXT4 PHP3:PHP4 PRL3:PRL4 QBH3:QBH4 QLD3:QLD4 QUZ3:QUZ4 REV3:REV4 ROR3:ROR4 RYN3:RYN4 SIJ3:SIJ4 SSF3:SSF4 TCB3:TCB4 TLX3:TLX4 TVT3:TVT4 UFP3:UFP4 UPL3:UPL4 UZH3:UZH4 VJD3:VJD4 VSZ3:VSZ4 WCV3:WCV4 WMR3:WMR4 WWN3:WWN4 AR3:AR4 KN3:KN4 UJ3:UJ4 AEF3:AEF4 AOB3:AOB4 AXX3:AXX4 BHT3:BHT4 BRP3:BRP4 CBL3:CBL4 CLH3:CLH4 CVD3:CVD4 DEZ3:DEZ4 DOV3:DOV4 DYR3:DYR4 EIN3:EIN4 ESJ3:ESJ4 FCF3:FCF4 FMB3:FMB4 FVX3:FVX4 GFT3:GFT4 GPP3:GPP4 GZL3:GZL4 HJH3:HJH4 HTD3:HTD4 ICZ3:ICZ4 IMV3:IMV4 IWR3:IWR4 JGN3:JGN4 JQJ3:JQJ4 KAF3:KAF4 KKB3:KKB4 KTX3:KTX4 LDT3:LDT4 LNP3:LNP4 LXL3:LXL4 MHH3:MHH4 MRD3:MRD4 NAZ3:NAZ4 NKV3:NKV4 NUR3:NUR4 OEN3:OEN4 OOJ3:OOJ4 OYF3:OYF4 PIB3:PIB4 PRX3:PRX4 QBT3:QBT4 QLP3:QLP4 QVL3:QVL4 RFH3:RFH4 RPD3:RPD4 RYZ3:RYZ4 SIV3:SIV4 SSR3:SSR4 TCN3:TCN4 TMJ3:TMJ4 TWF3:TWF4 UGB3:UGB4 UPX3:UPX4 UZT3:UZT4 VJP3:VJP4 VTL3:VTL4 WDH3:WDH4 WND3:WND4 WWZ3:WWZ4" xr:uid="{00000000-0002-0000-0900-000003000000}">
      <formula1>0</formula1>
    </dataValidation>
    <dataValidation allowBlank="1" showInputMessage="1" showErrorMessage="1" promptTitle="Warehouse Quantity" prompt="Enter the Quantity available for this SKU specific to the Warehouse ID.  _x000a__x000a_The summation of each Warehouse quantity reported in this file must equal the total quantity entered in column D." sqref="AQ720506:AQ720507 KM720506:KM720507 UI720506:UI720507 AEE720506:AEE720507 AOA720506:AOA720507 AXW720506:AXW720507 BHS720506:BHS720507 BRO720506:BRO720507 CBK720506:CBK720507 CLG720506:CLG720507 CVC720506:CVC720507 DEY720506:DEY720507 DOU720506:DOU720507 DYQ720506:DYQ720507 EIM720506:EIM720507 ESI720506:ESI720507 FCE720506:FCE720507 FMA720506:FMA720507 FVW720506:FVW720507 GFS720506:GFS720507 GPO720506:GPO720507 GZK720506:GZK720507 HJG720506:HJG720507 HTC720506:HTC720507 ICY720506:ICY720507 IMU720506:IMU720507 IWQ720506:IWQ720507 JGM720506:JGM720507 JQI720506:JQI720507 KAE720506:KAE720507 KKA720506:KKA720507 KTW720506:KTW720507 LDS720506:LDS720507 LNO720506:LNO720507 LXK720506:LXK720507 MHG720506:MHG720507 MRC720506:MRC720507 NAY720506:NAY720507 NKU720506:NKU720507 NUQ720506:NUQ720507 OEM720506:OEM720507 OOI720506:OOI720507 OYE720506:OYE720507 PIA720506:PIA720507 PRW720506:PRW720507 QBS720506:QBS720507 QLO720506:QLO720507 QVK720506:QVK720507 RFG720506:RFG720507 RPC720506:RPC720507 RYY720506:RYY720507 SIU720506:SIU720507 SSQ720506:SSQ720507 TCM720506:TCM720507 TMI720506:TMI720507 TWE720506:TWE720507 UGA720506:UGA720507 UPW720506:UPW720507 UZS720506:UZS720507 VJO720506:VJO720507 VTK720506:VTK720507 WDG720506:WDG720507 WNC720506:WNC720507 WWY720506:WWY720507 AA65146:AA65147 JW65146:JW65147 TS65146:TS65147 ADO65146:ADO65147 ANK65146:ANK65147 AXG65146:AXG65147 BHC65146:BHC65147 BQY65146:BQY65147 CAU65146:CAU65147 CKQ65146:CKQ65147 CUM65146:CUM65147 DEI65146:DEI65147 DOE65146:DOE65147 DYA65146:DYA65147 EHW65146:EHW65147 ERS65146:ERS65147 FBO65146:FBO65147 FLK65146:FLK65147 FVG65146:FVG65147 GFC65146:GFC65147 GOY65146:GOY65147 GYU65146:GYU65147 HIQ65146:HIQ65147 HSM65146:HSM65147 ICI65146:ICI65147 IME65146:IME65147 IWA65146:IWA65147 JFW65146:JFW65147 JPS65146:JPS65147 JZO65146:JZO65147 KJK65146:KJK65147 KTG65146:KTG65147 LDC65146:LDC65147 LMY65146:LMY65147 LWU65146:LWU65147 MGQ65146:MGQ65147 MQM65146:MQM65147 NAI65146:NAI65147 NKE65146:NKE65147 NUA65146:NUA65147 ODW65146:ODW65147 ONS65146:ONS65147 OXO65146:OXO65147 PHK65146:PHK65147 PRG65146:PRG65147 QBC65146:QBC65147 QKY65146:QKY65147 QUU65146:QUU65147 REQ65146:REQ65147 ROM65146:ROM65147 RYI65146:RYI65147 SIE65146:SIE65147 SSA65146:SSA65147 TBW65146:TBW65147 TLS65146:TLS65147 TVO65146:TVO65147 UFK65146:UFK65147 UPG65146:UPG65147 UZC65146:UZC65147 VIY65146:VIY65147 VSU65146:VSU65147 WCQ65146:WCQ65147 WMM65146:WMM65147 WWI65146:WWI65147 AA130682:AA130683 JW130682:JW130683 TS130682:TS130683 ADO130682:ADO130683 ANK130682:ANK130683 AXG130682:AXG130683 BHC130682:BHC130683 BQY130682:BQY130683 CAU130682:CAU130683 CKQ130682:CKQ130683 CUM130682:CUM130683 DEI130682:DEI130683 DOE130682:DOE130683 DYA130682:DYA130683 EHW130682:EHW130683 ERS130682:ERS130683 FBO130682:FBO130683 FLK130682:FLK130683 FVG130682:FVG130683 GFC130682:GFC130683 GOY130682:GOY130683 GYU130682:GYU130683 HIQ130682:HIQ130683 HSM130682:HSM130683 ICI130682:ICI130683 IME130682:IME130683 IWA130682:IWA130683 JFW130682:JFW130683 JPS130682:JPS130683 JZO130682:JZO130683 KJK130682:KJK130683 KTG130682:KTG130683 LDC130682:LDC130683 LMY130682:LMY130683 LWU130682:LWU130683 MGQ130682:MGQ130683 MQM130682:MQM130683 NAI130682:NAI130683 NKE130682:NKE130683 NUA130682:NUA130683 ODW130682:ODW130683 ONS130682:ONS130683 OXO130682:OXO130683 PHK130682:PHK130683 PRG130682:PRG130683 QBC130682:QBC130683 QKY130682:QKY130683 QUU130682:QUU130683 REQ130682:REQ130683 ROM130682:ROM130683 RYI130682:RYI130683 SIE130682:SIE130683 SSA130682:SSA130683 TBW130682:TBW130683 TLS130682:TLS130683 TVO130682:TVO130683 UFK130682:UFK130683 UPG130682:UPG130683 UZC130682:UZC130683 VIY130682:VIY130683 VSU130682:VSU130683 WCQ130682:WCQ130683 WMM130682:WMM130683 WWI130682:WWI130683 AA196218:AA196219 JW196218:JW196219 TS196218:TS196219 ADO196218:ADO196219 ANK196218:ANK196219 AXG196218:AXG196219 BHC196218:BHC196219 BQY196218:BQY196219 CAU196218:CAU196219 CKQ196218:CKQ196219 CUM196218:CUM196219 DEI196218:DEI196219 DOE196218:DOE196219 DYA196218:DYA196219 EHW196218:EHW196219 ERS196218:ERS196219 FBO196218:FBO196219 FLK196218:FLK196219 FVG196218:FVG196219 GFC196218:GFC196219 GOY196218:GOY196219 GYU196218:GYU196219 HIQ196218:HIQ196219 HSM196218:HSM196219 ICI196218:ICI196219 IME196218:IME196219 IWA196218:IWA196219 JFW196218:JFW196219 JPS196218:JPS196219 JZO196218:JZO196219 KJK196218:KJK196219 KTG196218:KTG196219 LDC196218:LDC196219 LMY196218:LMY196219 LWU196218:LWU196219 MGQ196218:MGQ196219 MQM196218:MQM196219 NAI196218:NAI196219 NKE196218:NKE196219 NUA196218:NUA196219 ODW196218:ODW196219 ONS196218:ONS196219 OXO196218:OXO196219 PHK196218:PHK196219 PRG196218:PRG196219 QBC196218:QBC196219 QKY196218:QKY196219 QUU196218:QUU196219 REQ196218:REQ196219 ROM196218:ROM196219 RYI196218:RYI196219 SIE196218:SIE196219 SSA196218:SSA196219 TBW196218:TBW196219 TLS196218:TLS196219 TVO196218:TVO196219 UFK196218:UFK196219 UPG196218:UPG196219 UZC196218:UZC196219 VIY196218:VIY196219 VSU196218:VSU196219 WCQ196218:WCQ196219 WMM196218:WMM196219 WWI196218:WWI196219 AA261754:AA261755 JW261754:JW261755 TS261754:TS261755 ADO261754:ADO261755 ANK261754:ANK261755 AXG261754:AXG261755 BHC261754:BHC261755 BQY261754:BQY261755 CAU261754:CAU261755 CKQ261754:CKQ261755 CUM261754:CUM261755 DEI261754:DEI261755 DOE261754:DOE261755 DYA261754:DYA261755 EHW261754:EHW261755 ERS261754:ERS261755 FBO261754:FBO261755 FLK261754:FLK261755 FVG261754:FVG261755 GFC261754:GFC261755 GOY261754:GOY261755 GYU261754:GYU261755 HIQ261754:HIQ261755 HSM261754:HSM261755 ICI261754:ICI261755 IME261754:IME261755 IWA261754:IWA261755 JFW261754:JFW261755 JPS261754:JPS261755 JZO261754:JZO261755 KJK261754:KJK261755 KTG261754:KTG261755 LDC261754:LDC261755 LMY261754:LMY261755 LWU261754:LWU261755 MGQ261754:MGQ261755 MQM261754:MQM261755 NAI261754:NAI261755 NKE261754:NKE261755 NUA261754:NUA261755 ODW261754:ODW261755 ONS261754:ONS261755 OXO261754:OXO261755 PHK261754:PHK261755 PRG261754:PRG261755 QBC261754:QBC261755 QKY261754:QKY261755 QUU261754:QUU261755 REQ261754:REQ261755 ROM261754:ROM261755 RYI261754:RYI261755 SIE261754:SIE261755 SSA261754:SSA261755 TBW261754:TBW261755 TLS261754:TLS261755 TVO261754:TVO261755 UFK261754:UFK261755 UPG261754:UPG261755 UZC261754:UZC261755 VIY261754:VIY261755 VSU261754:VSU261755 WCQ261754:WCQ261755 WMM261754:WMM261755 WWI261754:WWI261755 AA327290:AA327291 JW327290:JW327291 TS327290:TS327291 ADO327290:ADO327291 ANK327290:ANK327291 AXG327290:AXG327291 BHC327290:BHC327291 BQY327290:BQY327291 CAU327290:CAU327291 CKQ327290:CKQ327291 CUM327290:CUM327291 DEI327290:DEI327291 DOE327290:DOE327291 DYA327290:DYA327291 EHW327290:EHW327291 ERS327290:ERS327291 FBO327290:FBO327291 FLK327290:FLK327291 FVG327290:FVG327291 GFC327290:GFC327291 GOY327290:GOY327291 GYU327290:GYU327291 HIQ327290:HIQ327291 HSM327290:HSM327291 ICI327290:ICI327291 IME327290:IME327291 IWA327290:IWA327291 JFW327290:JFW327291 JPS327290:JPS327291 JZO327290:JZO327291 KJK327290:KJK327291 KTG327290:KTG327291 LDC327290:LDC327291 LMY327290:LMY327291 LWU327290:LWU327291 MGQ327290:MGQ327291 MQM327290:MQM327291 NAI327290:NAI327291 NKE327290:NKE327291 NUA327290:NUA327291 ODW327290:ODW327291 ONS327290:ONS327291 OXO327290:OXO327291 PHK327290:PHK327291 PRG327290:PRG327291 QBC327290:QBC327291 QKY327290:QKY327291 QUU327290:QUU327291 REQ327290:REQ327291 ROM327290:ROM327291 RYI327290:RYI327291 SIE327290:SIE327291 SSA327290:SSA327291 TBW327290:TBW327291 TLS327290:TLS327291 TVO327290:TVO327291 UFK327290:UFK327291 UPG327290:UPG327291 UZC327290:UZC327291 VIY327290:VIY327291 VSU327290:VSU327291 WCQ327290:WCQ327291 WMM327290:WMM327291 WWI327290:WWI327291 AA392826:AA392827 JW392826:JW392827 TS392826:TS392827 ADO392826:ADO392827 ANK392826:ANK392827 AXG392826:AXG392827 BHC392826:BHC392827 BQY392826:BQY392827 CAU392826:CAU392827 CKQ392826:CKQ392827 CUM392826:CUM392827 DEI392826:DEI392827 DOE392826:DOE392827 DYA392826:DYA392827 EHW392826:EHW392827 ERS392826:ERS392827 FBO392826:FBO392827 FLK392826:FLK392827 FVG392826:FVG392827 GFC392826:GFC392827 GOY392826:GOY392827 GYU392826:GYU392827 HIQ392826:HIQ392827 HSM392826:HSM392827 ICI392826:ICI392827 IME392826:IME392827 IWA392826:IWA392827 JFW392826:JFW392827 JPS392826:JPS392827 JZO392826:JZO392827 KJK392826:KJK392827 KTG392826:KTG392827 LDC392826:LDC392827 LMY392826:LMY392827 LWU392826:LWU392827 MGQ392826:MGQ392827 MQM392826:MQM392827 NAI392826:NAI392827 NKE392826:NKE392827 NUA392826:NUA392827 ODW392826:ODW392827 ONS392826:ONS392827 OXO392826:OXO392827 PHK392826:PHK392827 PRG392826:PRG392827 QBC392826:QBC392827 QKY392826:QKY392827 QUU392826:QUU392827 REQ392826:REQ392827 ROM392826:ROM392827 RYI392826:RYI392827 SIE392826:SIE392827 SSA392826:SSA392827 TBW392826:TBW392827 TLS392826:TLS392827 TVO392826:TVO392827 UFK392826:UFK392827 UPG392826:UPG392827 UZC392826:UZC392827 VIY392826:VIY392827 VSU392826:VSU392827 WCQ392826:WCQ392827 WMM392826:WMM392827 WWI392826:WWI392827 AA458362:AA458363 JW458362:JW458363 TS458362:TS458363 ADO458362:ADO458363 ANK458362:ANK458363 AXG458362:AXG458363 BHC458362:BHC458363 BQY458362:BQY458363 CAU458362:CAU458363 CKQ458362:CKQ458363 CUM458362:CUM458363 DEI458362:DEI458363 DOE458362:DOE458363 DYA458362:DYA458363 EHW458362:EHW458363 ERS458362:ERS458363 FBO458362:FBO458363 FLK458362:FLK458363 FVG458362:FVG458363 GFC458362:GFC458363 GOY458362:GOY458363 GYU458362:GYU458363 HIQ458362:HIQ458363 HSM458362:HSM458363 ICI458362:ICI458363 IME458362:IME458363 IWA458362:IWA458363 JFW458362:JFW458363 JPS458362:JPS458363 JZO458362:JZO458363 KJK458362:KJK458363 KTG458362:KTG458363 LDC458362:LDC458363 LMY458362:LMY458363 LWU458362:LWU458363 MGQ458362:MGQ458363 MQM458362:MQM458363 NAI458362:NAI458363 NKE458362:NKE458363 NUA458362:NUA458363 ODW458362:ODW458363 ONS458362:ONS458363 OXO458362:OXO458363 PHK458362:PHK458363 PRG458362:PRG458363 QBC458362:QBC458363 QKY458362:QKY458363 QUU458362:QUU458363 REQ458362:REQ458363 ROM458362:ROM458363 RYI458362:RYI458363 SIE458362:SIE458363 SSA458362:SSA458363 TBW458362:TBW458363 TLS458362:TLS458363 TVO458362:TVO458363 UFK458362:UFK458363 UPG458362:UPG458363 UZC458362:UZC458363 VIY458362:VIY458363 VSU458362:VSU458363 WCQ458362:WCQ458363 WMM458362:WMM458363 WWI458362:WWI458363 AA523898:AA523899 JW523898:JW523899 TS523898:TS523899 ADO523898:ADO523899 ANK523898:ANK523899 AXG523898:AXG523899 BHC523898:BHC523899 BQY523898:BQY523899 CAU523898:CAU523899 CKQ523898:CKQ523899 CUM523898:CUM523899 DEI523898:DEI523899 DOE523898:DOE523899 DYA523898:DYA523899 EHW523898:EHW523899 ERS523898:ERS523899 FBO523898:FBO523899 FLK523898:FLK523899 FVG523898:FVG523899 GFC523898:GFC523899 GOY523898:GOY523899 GYU523898:GYU523899 HIQ523898:HIQ523899 HSM523898:HSM523899 ICI523898:ICI523899 IME523898:IME523899 IWA523898:IWA523899 JFW523898:JFW523899 JPS523898:JPS523899 JZO523898:JZO523899 KJK523898:KJK523899 KTG523898:KTG523899 LDC523898:LDC523899 LMY523898:LMY523899 LWU523898:LWU523899 MGQ523898:MGQ523899 MQM523898:MQM523899 NAI523898:NAI523899 NKE523898:NKE523899 NUA523898:NUA523899 ODW523898:ODW523899 ONS523898:ONS523899 OXO523898:OXO523899 PHK523898:PHK523899 PRG523898:PRG523899 QBC523898:QBC523899 QKY523898:QKY523899 QUU523898:QUU523899 REQ523898:REQ523899 ROM523898:ROM523899 RYI523898:RYI523899 SIE523898:SIE523899 SSA523898:SSA523899 TBW523898:TBW523899 TLS523898:TLS523899 TVO523898:TVO523899 UFK523898:UFK523899 UPG523898:UPG523899 UZC523898:UZC523899 VIY523898:VIY523899 VSU523898:VSU523899 WCQ523898:WCQ523899 WMM523898:WMM523899 WWI523898:WWI523899 AA589434:AA589435 JW589434:JW589435 TS589434:TS589435 ADO589434:ADO589435 ANK589434:ANK589435 AXG589434:AXG589435 BHC589434:BHC589435 BQY589434:BQY589435 CAU589434:CAU589435 CKQ589434:CKQ589435 CUM589434:CUM589435 DEI589434:DEI589435 DOE589434:DOE589435 DYA589434:DYA589435 EHW589434:EHW589435 ERS589434:ERS589435 FBO589434:FBO589435 FLK589434:FLK589435 FVG589434:FVG589435 GFC589434:GFC589435 GOY589434:GOY589435 GYU589434:GYU589435 HIQ589434:HIQ589435 HSM589434:HSM589435 ICI589434:ICI589435 IME589434:IME589435 IWA589434:IWA589435 JFW589434:JFW589435 JPS589434:JPS589435 JZO589434:JZO589435 KJK589434:KJK589435 KTG589434:KTG589435 LDC589434:LDC589435 LMY589434:LMY589435 LWU589434:LWU589435 MGQ589434:MGQ589435 MQM589434:MQM589435 NAI589434:NAI589435 NKE589434:NKE589435 NUA589434:NUA589435 ODW589434:ODW589435 ONS589434:ONS589435 OXO589434:OXO589435 PHK589434:PHK589435 PRG589434:PRG589435 QBC589434:QBC589435 QKY589434:QKY589435 QUU589434:QUU589435 REQ589434:REQ589435 ROM589434:ROM589435 RYI589434:RYI589435 SIE589434:SIE589435 SSA589434:SSA589435 TBW589434:TBW589435 TLS589434:TLS589435 TVO589434:TVO589435 UFK589434:UFK589435 UPG589434:UPG589435 UZC589434:UZC589435 VIY589434:VIY589435 VSU589434:VSU589435 WCQ589434:WCQ589435 WMM589434:WMM589435 WWI589434:WWI589435 AA654970:AA654971 JW654970:JW654971 TS654970:TS654971 ADO654970:ADO654971 ANK654970:ANK654971 AXG654970:AXG654971 BHC654970:BHC654971 BQY654970:BQY654971 CAU654970:CAU654971 CKQ654970:CKQ654971 CUM654970:CUM654971 DEI654970:DEI654971 DOE654970:DOE654971 DYA654970:DYA654971 EHW654970:EHW654971 ERS654970:ERS654971 FBO654970:FBO654971 FLK654970:FLK654971 FVG654970:FVG654971 GFC654970:GFC654971 GOY654970:GOY654971 GYU654970:GYU654971 HIQ654970:HIQ654971 HSM654970:HSM654971 ICI654970:ICI654971 IME654970:IME654971 IWA654970:IWA654971 JFW654970:JFW654971 JPS654970:JPS654971 JZO654970:JZO654971 KJK654970:KJK654971 KTG654970:KTG654971 LDC654970:LDC654971 LMY654970:LMY654971 LWU654970:LWU654971 MGQ654970:MGQ654971 MQM654970:MQM654971 NAI654970:NAI654971 NKE654970:NKE654971 NUA654970:NUA654971 ODW654970:ODW654971 ONS654970:ONS654971 OXO654970:OXO654971 PHK654970:PHK654971 PRG654970:PRG654971 QBC654970:QBC654971 QKY654970:QKY654971 QUU654970:QUU654971 REQ654970:REQ654971 ROM654970:ROM654971 RYI654970:RYI654971 SIE654970:SIE654971 SSA654970:SSA654971 TBW654970:TBW654971 TLS654970:TLS654971 TVO654970:TVO654971 UFK654970:UFK654971 UPG654970:UPG654971 UZC654970:UZC654971 VIY654970:VIY654971 VSU654970:VSU654971 WCQ654970:WCQ654971 WMM654970:WMM654971 WWI654970:WWI654971 AA720506:AA720507 JW720506:JW720507 TS720506:TS720507 ADO720506:ADO720507 ANK720506:ANK720507 AXG720506:AXG720507 BHC720506:BHC720507 BQY720506:BQY720507 CAU720506:CAU720507 CKQ720506:CKQ720507 CUM720506:CUM720507 DEI720506:DEI720507 DOE720506:DOE720507 DYA720506:DYA720507 EHW720506:EHW720507 ERS720506:ERS720507 FBO720506:FBO720507 FLK720506:FLK720507 FVG720506:FVG720507 GFC720506:GFC720507 GOY720506:GOY720507 GYU720506:GYU720507 HIQ720506:HIQ720507 HSM720506:HSM720507 ICI720506:ICI720507 IME720506:IME720507 IWA720506:IWA720507 JFW720506:JFW720507 JPS720506:JPS720507 JZO720506:JZO720507 KJK720506:KJK720507 KTG720506:KTG720507 LDC720506:LDC720507 LMY720506:LMY720507 LWU720506:LWU720507 MGQ720506:MGQ720507 MQM720506:MQM720507 NAI720506:NAI720507 NKE720506:NKE720507 NUA720506:NUA720507 ODW720506:ODW720507 ONS720506:ONS720507 OXO720506:OXO720507 PHK720506:PHK720507 PRG720506:PRG720507 QBC720506:QBC720507 QKY720506:QKY720507 QUU720506:QUU720507 REQ720506:REQ720507 ROM720506:ROM720507 RYI720506:RYI720507 SIE720506:SIE720507 SSA720506:SSA720507 TBW720506:TBW720507 TLS720506:TLS720507 TVO720506:TVO720507 UFK720506:UFK720507 UPG720506:UPG720507 UZC720506:UZC720507 VIY720506:VIY720507 VSU720506:VSU720507 WCQ720506:WCQ720507 WMM720506:WMM720507 WWI720506:WWI720507 AA786042:AA786043 JW786042:JW786043 TS786042:TS786043 ADO786042:ADO786043 ANK786042:ANK786043 AXG786042:AXG786043 BHC786042:BHC786043 BQY786042:BQY786043 CAU786042:CAU786043 CKQ786042:CKQ786043 CUM786042:CUM786043 DEI786042:DEI786043 DOE786042:DOE786043 DYA786042:DYA786043 EHW786042:EHW786043 ERS786042:ERS786043 FBO786042:FBO786043 FLK786042:FLK786043 FVG786042:FVG786043 GFC786042:GFC786043 GOY786042:GOY786043 GYU786042:GYU786043 HIQ786042:HIQ786043 HSM786042:HSM786043 ICI786042:ICI786043 IME786042:IME786043 IWA786042:IWA786043 JFW786042:JFW786043 JPS786042:JPS786043 JZO786042:JZO786043 KJK786042:KJK786043 KTG786042:KTG786043 LDC786042:LDC786043 LMY786042:LMY786043 LWU786042:LWU786043 MGQ786042:MGQ786043 MQM786042:MQM786043 NAI786042:NAI786043 NKE786042:NKE786043 NUA786042:NUA786043 ODW786042:ODW786043 ONS786042:ONS786043 OXO786042:OXO786043 PHK786042:PHK786043 PRG786042:PRG786043 QBC786042:QBC786043 QKY786042:QKY786043 QUU786042:QUU786043 REQ786042:REQ786043 ROM786042:ROM786043 RYI786042:RYI786043 SIE786042:SIE786043 SSA786042:SSA786043 TBW786042:TBW786043 TLS786042:TLS786043 TVO786042:TVO786043 UFK786042:UFK786043 UPG786042:UPG786043 UZC786042:UZC786043 VIY786042:VIY786043 VSU786042:VSU786043 WCQ786042:WCQ786043 WMM786042:WMM786043 WWI786042:WWI786043 AA851578:AA851579 JW851578:JW851579 TS851578:TS851579 ADO851578:ADO851579 ANK851578:ANK851579 AXG851578:AXG851579 BHC851578:BHC851579 BQY851578:BQY851579 CAU851578:CAU851579 CKQ851578:CKQ851579 CUM851578:CUM851579 DEI851578:DEI851579 DOE851578:DOE851579 DYA851578:DYA851579 EHW851578:EHW851579 ERS851578:ERS851579 FBO851578:FBO851579 FLK851578:FLK851579 FVG851578:FVG851579 GFC851578:GFC851579 GOY851578:GOY851579 GYU851578:GYU851579 HIQ851578:HIQ851579 HSM851578:HSM851579 ICI851578:ICI851579 IME851578:IME851579 IWA851578:IWA851579 JFW851578:JFW851579 JPS851578:JPS851579 JZO851578:JZO851579 KJK851578:KJK851579 KTG851578:KTG851579 LDC851578:LDC851579 LMY851578:LMY851579 LWU851578:LWU851579 MGQ851578:MGQ851579 MQM851578:MQM851579 NAI851578:NAI851579 NKE851578:NKE851579 NUA851578:NUA851579 ODW851578:ODW851579 ONS851578:ONS851579 OXO851578:OXO851579 PHK851578:PHK851579 PRG851578:PRG851579 QBC851578:QBC851579 QKY851578:QKY851579 QUU851578:QUU851579 REQ851578:REQ851579 ROM851578:ROM851579 RYI851578:RYI851579 SIE851578:SIE851579 SSA851578:SSA851579 TBW851578:TBW851579 TLS851578:TLS851579 TVO851578:TVO851579 UFK851578:UFK851579 UPG851578:UPG851579 UZC851578:UZC851579 VIY851578:VIY851579 VSU851578:VSU851579 WCQ851578:WCQ851579 WMM851578:WMM851579 WWI851578:WWI851579 AA917114:AA917115 JW917114:JW917115 TS917114:TS917115 ADO917114:ADO917115 ANK917114:ANK917115 AXG917114:AXG917115 BHC917114:BHC917115 BQY917114:BQY917115 CAU917114:CAU917115 CKQ917114:CKQ917115 CUM917114:CUM917115 DEI917114:DEI917115 DOE917114:DOE917115 DYA917114:DYA917115 EHW917114:EHW917115 ERS917114:ERS917115 FBO917114:FBO917115 FLK917114:FLK917115 FVG917114:FVG917115 GFC917114:GFC917115 GOY917114:GOY917115 GYU917114:GYU917115 HIQ917114:HIQ917115 HSM917114:HSM917115 ICI917114:ICI917115 IME917114:IME917115 IWA917114:IWA917115 JFW917114:JFW917115 JPS917114:JPS917115 JZO917114:JZO917115 KJK917114:KJK917115 KTG917114:KTG917115 LDC917114:LDC917115 LMY917114:LMY917115 LWU917114:LWU917115 MGQ917114:MGQ917115 MQM917114:MQM917115 NAI917114:NAI917115 NKE917114:NKE917115 NUA917114:NUA917115 ODW917114:ODW917115 ONS917114:ONS917115 OXO917114:OXO917115 PHK917114:PHK917115 PRG917114:PRG917115 QBC917114:QBC917115 QKY917114:QKY917115 QUU917114:QUU917115 REQ917114:REQ917115 ROM917114:ROM917115 RYI917114:RYI917115 SIE917114:SIE917115 SSA917114:SSA917115 TBW917114:TBW917115 TLS917114:TLS917115 TVO917114:TVO917115 UFK917114:UFK917115 UPG917114:UPG917115 UZC917114:UZC917115 VIY917114:VIY917115 VSU917114:VSU917115 WCQ917114:WCQ917115 WMM917114:WMM917115 WWI917114:WWI917115 AA982650:AA982651 JW982650:JW982651 TS982650:TS982651 ADO982650:ADO982651 ANK982650:ANK982651 AXG982650:AXG982651 BHC982650:BHC982651 BQY982650:BQY982651 CAU982650:CAU982651 CKQ982650:CKQ982651 CUM982650:CUM982651 DEI982650:DEI982651 DOE982650:DOE982651 DYA982650:DYA982651 EHW982650:EHW982651 ERS982650:ERS982651 FBO982650:FBO982651 FLK982650:FLK982651 FVG982650:FVG982651 GFC982650:GFC982651 GOY982650:GOY982651 GYU982650:GYU982651 HIQ982650:HIQ982651 HSM982650:HSM982651 ICI982650:ICI982651 IME982650:IME982651 IWA982650:IWA982651 JFW982650:JFW982651 JPS982650:JPS982651 JZO982650:JZO982651 KJK982650:KJK982651 KTG982650:KTG982651 LDC982650:LDC982651 LMY982650:LMY982651 LWU982650:LWU982651 MGQ982650:MGQ982651 MQM982650:MQM982651 NAI982650:NAI982651 NKE982650:NKE982651 NUA982650:NUA982651 ODW982650:ODW982651 ONS982650:ONS982651 OXO982650:OXO982651 PHK982650:PHK982651 PRG982650:PRG982651 QBC982650:QBC982651 QKY982650:QKY982651 QUU982650:QUU982651 REQ982650:REQ982651 ROM982650:ROM982651 RYI982650:RYI982651 SIE982650:SIE982651 SSA982650:SSA982651 TBW982650:TBW982651 TLS982650:TLS982651 TVO982650:TVO982651 UFK982650:UFK982651 UPG982650:UPG982651 UZC982650:UZC982651 VIY982650:VIY982651 VSU982650:VSU982651 WCQ982650:WCQ982651 WMM982650:WMM982651 WWI982650:WWI982651 AQ786042:AQ786043 KM786042:KM786043 UI786042:UI786043 AEE786042:AEE786043 AOA786042:AOA786043 AXW786042:AXW786043 BHS786042:BHS786043 BRO786042:BRO786043 CBK786042:CBK786043 CLG786042:CLG786043 CVC786042:CVC786043 DEY786042:DEY786043 DOU786042:DOU786043 DYQ786042:DYQ786043 EIM786042:EIM786043 ESI786042:ESI786043 FCE786042:FCE786043 FMA786042:FMA786043 FVW786042:FVW786043 GFS786042:GFS786043 GPO786042:GPO786043 GZK786042:GZK786043 HJG786042:HJG786043 HTC786042:HTC786043 ICY786042:ICY786043 IMU786042:IMU786043 IWQ786042:IWQ786043 JGM786042:JGM786043 JQI786042:JQI786043 KAE786042:KAE786043 KKA786042:KKA786043 KTW786042:KTW786043 LDS786042:LDS786043 LNO786042:LNO786043 LXK786042:LXK786043 MHG786042:MHG786043 MRC786042:MRC786043 NAY786042:NAY786043 NKU786042:NKU786043 NUQ786042:NUQ786043 OEM786042:OEM786043 OOI786042:OOI786043 OYE786042:OYE786043 PIA786042:PIA786043 PRW786042:PRW786043 QBS786042:QBS786043 QLO786042:QLO786043 QVK786042:QVK786043 RFG786042:RFG786043 RPC786042:RPC786043 RYY786042:RYY786043 SIU786042:SIU786043 SSQ786042:SSQ786043 TCM786042:TCM786043 TMI786042:TMI786043 TWE786042:TWE786043 UGA786042:UGA786043 UPW786042:UPW786043 UZS786042:UZS786043 VJO786042:VJO786043 VTK786042:VTK786043 WDG786042:WDG786043 WNC786042:WNC786043 WWY786042:WWY786043 AE65146:AE65147 KA65146:KA65147 TW65146:TW65147 ADS65146:ADS65147 ANO65146:ANO65147 AXK65146:AXK65147 BHG65146:BHG65147 BRC65146:BRC65147 CAY65146:CAY65147 CKU65146:CKU65147 CUQ65146:CUQ65147 DEM65146:DEM65147 DOI65146:DOI65147 DYE65146:DYE65147 EIA65146:EIA65147 ERW65146:ERW65147 FBS65146:FBS65147 FLO65146:FLO65147 FVK65146:FVK65147 GFG65146:GFG65147 GPC65146:GPC65147 GYY65146:GYY65147 HIU65146:HIU65147 HSQ65146:HSQ65147 ICM65146:ICM65147 IMI65146:IMI65147 IWE65146:IWE65147 JGA65146:JGA65147 JPW65146:JPW65147 JZS65146:JZS65147 KJO65146:KJO65147 KTK65146:KTK65147 LDG65146:LDG65147 LNC65146:LNC65147 LWY65146:LWY65147 MGU65146:MGU65147 MQQ65146:MQQ65147 NAM65146:NAM65147 NKI65146:NKI65147 NUE65146:NUE65147 OEA65146:OEA65147 ONW65146:ONW65147 OXS65146:OXS65147 PHO65146:PHO65147 PRK65146:PRK65147 QBG65146:QBG65147 QLC65146:QLC65147 QUY65146:QUY65147 REU65146:REU65147 ROQ65146:ROQ65147 RYM65146:RYM65147 SII65146:SII65147 SSE65146:SSE65147 TCA65146:TCA65147 TLW65146:TLW65147 TVS65146:TVS65147 UFO65146:UFO65147 UPK65146:UPK65147 UZG65146:UZG65147 VJC65146:VJC65147 VSY65146:VSY65147 WCU65146:WCU65147 WMQ65146:WMQ65147 WWM65146:WWM65147 AE130682:AE130683 KA130682:KA130683 TW130682:TW130683 ADS130682:ADS130683 ANO130682:ANO130683 AXK130682:AXK130683 BHG130682:BHG130683 BRC130682:BRC130683 CAY130682:CAY130683 CKU130682:CKU130683 CUQ130682:CUQ130683 DEM130682:DEM130683 DOI130682:DOI130683 DYE130682:DYE130683 EIA130682:EIA130683 ERW130682:ERW130683 FBS130682:FBS130683 FLO130682:FLO130683 FVK130682:FVK130683 GFG130682:GFG130683 GPC130682:GPC130683 GYY130682:GYY130683 HIU130682:HIU130683 HSQ130682:HSQ130683 ICM130682:ICM130683 IMI130682:IMI130683 IWE130682:IWE130683 JGA130682:JGA130683 JPW130682:JPW130683 JZS130682:JZS130683 KJO130682:KJO130683 KTK130682:KTK130683 LDG130682:LDG130683 LNC130682:LNC130683 LWY130682:LWY130683 MGU130682:MGU130683 MQQ130682:MQQ130683 NAM130682:NAM130683 NKI130682:NKI130683 NUE130682:NUE130683 OEA130682:OEA130683 ONW130682:ONW130683 OXS130682:OXS130683 PHO130682:PHO130683 PRK130682:PRK130683 QBG130682:QBG130683 QLC130682:QLC130683 QUY130682:QUY130683 REU130682:REU130683 ROQ130682:ROQ130683 RYM130682:RYM130683 SII130682:SII130683 SSE130682:SSE130683 TCA130682:TCA130683 TLW130682:TLW130683 TVS130682:TVS130683 UFO130682:UFO130683 UPK130682:UPK130683 UZG130682:UZG130683 VJC130682:VJC130683 VSY130682:VSY130683 WCU130682:WCU130683 WMQ130682:WMQ130683 WWM130682:WWM130683 AE196218:AE196219 KA196218:KA196219 TW196218:TW196219 ADS196218:ADS196219 ANO196218:ANO196219 AXK196218:AXK196219 BHG196218:BHG196219 BRC196218:BRC196219 CAY196218:CAY196219 CKU196218:CKU196219 CUQ196218:CUQ196219 DEM196218:DEM196219 DOI196218:DOI196219 DYE196218:DYE196219 EIA196218:EIA196219 ERW196218:ERW196219 FBS196218:FBS196219 FLO196218:FLO196219 FVK196218:FVK196219 GFG196218:GFG196219 GPC196218:GPC196219 GYY196218:GYY196219 HIU196218:HIU196219 HSQ196218:HSQ196219 ICM196218:ICM196219 IMI196218:IMI196219 IWE196218:IWE196219 JGA196218:JGA196219 JPW196218:JPW196219 JZS196218:JZS196219 KJO196218:KJO196219 KTK196218:KTK196219 LDG196218:LDG196219 LNC196218:LNC196219 LWY196218:LWY196219 MGU196218:MGU196219 MQQ196218:MQQ196219 NAM196218:NAM196219 NKI196218:NKI196219 NUE196218:NUE196219 OEA196218:OEA196219 ONW196218:ONW196219 OXS196218:OXS196219 PHO196218:PHO196219 PRK196218:PRK196219 QBG196218:QBG196219 QLC196218:QLC196219 QUY196218:QUY196219 REU196218:REU196219 ROQ196218:ROQ196219 RYM196218:RYM196219 SII196218:SII196219 SSE196218:SSE196219 TCA196218:TCA196219 TLW196218:TLW196219 TVS196218:TVS196219 UFO196218:UFO196219 UPK196218:UPK196219 UZG196218:UZG196219 VJC196218:VJC196219 VSY196218:VSY196219 WCU196218:WCU196219 WMQ196218:WMQ196219 WWM196218:WWM196219 AE261754:AE261755 KA261754:KA261755 TW261754:TW261755 ADS261754:ADS261755 ANO261754:ANO261755 AXK261754:AXK261755 BHG261754:BHG261755 BRC261754:BRC261755 CAY261754:CAY261755 CKU261754:CKU261755 CUQ261754:CUQ261755 DEM261754:DEM261755 DOI261754:DOI261755 DYE261754:DYE261755 EIA261754:EIA261755 ERW261754:ERW261755 FBS261754:FBS261755 FLO261754:FLO261755 FVK261754:FVK261755 GFG261754:GFG261755 GPC261754:GPC261755 GYY261754:GYY261755 HIU261754:HIU261755 HSQ261754:HSQ261755 ICM261754:ICM261755 IMI261754:IMI261755 IWE261754:IWE261755 JGA261754:JGA261755 JPW261754:JPW261755 JZS261754:JZS261755 KJO261754:KJO261755 KTK261754:KTK261755 LDG261754:LDG261755 LNC261754:LNC261755 LWY261754:LWY261755 MGU261754:MGU261755 MQQ261754:MQQ261755 NAM261754:NAM261755 NKI261754:NKI261755 NUE261754:NUE261755 OEA261754:OEA261755 ONW261754:ONW261755 OXS261754:OXS261755 PHO261754:PHO261755 PRK261754:PRK261755 QBG261754:QBG261755 QLC261754:QLC261755 QUY261754:QUY261755 REU261754:REU261755 ROQ261754:ROQ261755 RYM261754:RYM261755 SII261754:SII261755 SSE261754:SSE261755 TCA261754:TCA261755 TLW261754:TLW261755 TVS261754:TVS261755 UFO261754:UFO261755 UPK261754:UPK261755 UZG261754:UZG261755 VJC261754:VJC261755 VSY261754:VSY261755 WCU261754:WCU261755 WMQ261754:WMQ261755 WWM261754:WWM261755 AE327290:AE327291 KA327290:KA327291 TW327290:TW327291 ADS327290:ADS327291 ANO327290:ANO327291 AXK327290:AXK327291 BHG327290:BHG327291 BRC327290:BRC327291 CAY327290:CAY327291 CKU327290:CKU327291 CUQ327290:CUQ327291 DEM327290:DEM327291 DOI327290:DOI327291 DYE327290:DYE327291 EIA327290:EIA327291 ERW327290:ERW327291 FBS327290:FBS327291 FLO327290:FLO327291 FVK327290:FVK327291 GFG327290:GFG327291 GPC327290:GPC327291 GYY327290:GYY327291 HIU327290:HIU327291 HSQ327290:HSQ327291 ICM327290:ICM327291 IMI327290:IMI327291 IWE327290:IWE327291 JGA327290:JGA327291 JPW327290:JPW327291 JZS327290:JZS327291 KJO327290:KJO327291 KTK327290:KTK327291 LDG327290:LDG327291 LNC327290:LNC327291 LWY327290:LWY327291 MGU327290:MGU327291 MQQ327290:MQQ327291 NAM327290:NAM327291 NKI327290:NKI327291 NUE327290:NUE327291 OEA327290:OEA327291 ONW327290:ONW327291 OXS327290:OXS327291 PHO327290:PHO327291 PRK327290:PRK327291 QBG327290:QBG327291 QLC327290:QLC327291 QUY327290:QUY327291 REU327290:REU327291 ROQ327290:ROQ327291 RYM327290:RYM327291 SII327290:SII327291 SSE327290:SSE327291 TCA327290:TCA327291 TLW327290:TLW327291 TVS327290:TVS327291 UFO327290:UFO327291 UPK327290:UPK327291 UZG327290:UZG327291 VJC327290:VJC327291 VSY327290:VSY327291 WCU327290:WCU327291 WMQ327290:WMQ327291 WWM327290:WWM327291 AE392826:AE392827 KA392826:KA392827 TW392826:TW392827 ADS392826:ADS392827 ANO392826:ANO392827 AXK392826:AXK392827 BHG392826:BHG392827 BRC392826:BRC392827 CAY392826:CAY392827 CKU392826:CKU392827 CUQ392826:CUQ392827 DEM392826:DEM392827 DOI392826:DOI392827 DYE392826:DYE392827 EIA392826:EIA392827 ERW392826:ERW392827 FBS392826:FBS392827 FLO392826:FLO392827 FVK392826:FVK392827 GFG392826:GFG392827 GPC392826:GPC392827 GYY392826:GYY392827 HIU392826:HIU392827 HSQ392826:HSQ392827 ICM392826:ICM392827 IMI392826:IMI392827 IWE392826:IWE392827 JGA392826:JGA392827 JPW392826:JPW392827 JZS392826:JZS392827 KJO392826:KJO392827 KTK392826:KTK392827 LDG392826:LDG392827 LNC392826:LNC392827 LWY392826:LWY392827 MGU392826:MGU392827 MQQ392826:MQQ392827 NAM392826:NAM392827 NKI392826:NKI392827 NUE392826:NUE392827 OEA392826:OEA392827 ONW392826:ONW392827 OXS392826:OXS392827 PHO392826:PHO392827 PRK392826:PRK392827 QBG392826:QBG392827 QLC392826:QLC392827 QUY392826:QUY392827 REU392826:REU392827 ROQ392826:ROQ392827 RYM392826:RYM392827 SII392826:SII392827 SSE392826:SSE392827 TCA392826:TCA392827 TLW392826:TLW392827 TVS392826:TVS392827 UFO392826:UFO392827 UPK392826:UPK392827 UZG392826:UZG392827 VJC392826:VJC392827 VSY392826:VSY392827 WCU392826:WCU392827 WMQ392826:WMQ392827 WWM392826:WWM392827 AE458362:AE458363 KA458362:KA458363 TW458362:TW458363 ADS458362:ADS458363 ANO458362:ANO458363 AXK458362:AXK458363 BHG458362:BHG458363 BRC458362:BRC458363 CAY458362:CAY458363 CKU458362:CKU458363 CUQ458362:CUQ458363 DEM458362:DEM458363 DOI458362:DOI458363 DYE458362:DYE458363 EIA458362:EIA458363 ERW458362:ERW458363 FBS458362:FBS458363 FLO458362:FLO458363 FVK458362:FVK458363 GFG458362:GFG458363 GPC458362:GPC458363 GYY458362:GYY458363 HIU458362:HIU458363 HSQ458362:HSQ458363 ICM458362:ICM458363 IMI458362:IMI458363 IWE458362:IWE458363 JGA458362:JGA458363 JPW458362:JPW458363 JZS458362:JZS458363 KJO458362:KJO458363 KTK458362:KTK458363 LDG458362:LDG458363 LNC458362:LNC458363 LWY458362:LWY458363 MGU458362:MGU458363 MQQ458362:MQQ458363 NAM458362:NAM458363 NKI458362:NKI458363 NUE458362:NUE458363 OEA458362:OEA458363 ONW458362:ONW458363 OXS458362:OXS458363 PHO458362:PHO458363 PRK458362:PRK458363 QBG458362:QBG458363 QLC458362:QLC458363 QUY458362:QUY458363 REU458362:REU458363 ROQ458362:ROQ458363 RYM458362:RYM458363 SII458362:SII458363 SSE458362:SSE458363 TCA458362:TCA458363 TLW458362:TLW458363 TVS458362:TVS458363 UFO458362:UFO458363 UPK458362:UPK458363 UZG458362:UZG458363 VJC458362:VJC458363 VSY458362:VSY458363 WCU458362:WCU458363 WMQ458362:WMQ458363 WWM458362:WWM458363 AE523898:AE523899 KA523898:KA523899 TW523898:TW523899 ADS523898:ADS523899 ANO523898:ANO523899 AXK523898:AXK523899 BHG523898:BHG523899 BRC523898:BRC523899 CAY523898:CAY523899 CKU523898:CKU523899 CUQ523898:CUQ523899 DEM523898:DEM523899 DOI523898:DOI523899 DYE523898:DYE523899 EIA523898:EIA523899 ERW523898:ERW523899 FBS523898:FBS523899 FLO523898:FLO523899 FVK523898:FVK523899 GFG523898:GFG523899 GPC523898:GPC523899 GYY523898:GYY523899 HIU523898:HIU523899 HSQ523898:HSQ523899 ICM523898:ICM523899 IMI523898:IMI523899 IWE523898:IWE523899 JGA523898:JGA523899 JPW523898:JPW523899 JZS523898:JZS523899 KJO523898:KJO523899 KTK523898:KTK523899 LDG523898:LDG523899 LNC523898:LNC523899 LWY523898:LWY523899 MGU523898:MGU523899 MQQ523898:MQQ523899 NAM523898:NAM523899 NKI523898:NKI523899 NUE523898:NUE523899 OEA523898:OEA523899 ONW523898:ONW523899 OXS523898:OXS523899 PHO523898:PHO523899 PRK523898:PRK523899 QBG523898:QBG523899 QLC523898:QLC523899 QUY523898:QUY523899 REU523898:REU523899 ROQ523898:ROQ523899 RYM523898:RYM523899 SII523898:SII523899 SSE523898:SSE523899 TCA523898:TCA523899 TLW523898:TLW523899 TVS523898:TVS523899 UFO523898:UFO523899 UPK523898:UPK523899 UZG523898:UZG523899 VJC523898:VJC523899 VSY523898:VSY523899 WCU523898:WCU523899 WMQ523898:WMQ523899 WWM523898:WWM523899 AE589434:AE589435 KA589434:KA589435 TW589434:TW589435 ADS589434:ADS589435 ANO589434:ANO589435 AXK589434:AXK589435 BHG589434:BHG589435 BRC589434:BRC589435 CAY589434:CAY589435 CKU589434:CKU589435 CUQ589434:CUQ589435 DEM589434:DEM589435 DOI589434:DOI589435 DYE589434:DYE589435 EIA589434:EIA589435 ERW589434:ERW589435 FBS589434:FBS589435 FLO589434:FLO589435 FVK589434:FVK589435 GFG589434:GFG589435 GPC589434:GPC589435 GYY589434:GYY589435 HIU589434:HIU589435 HSQ589434:HSQ589435 ICM589434:ICM589435 IMI589434:IMI589435 IWE589434:IWE589435 JGA589434:JGA589435 JPW589434:JPW589435 JZS589434:JZS589435 KJO589434:KJO589435 KTK589434:KTK589435 LDG589434:LDG589435 LNC589434:LNC589435 LWY589434:LWY589435 MGU589434:MGU589435 MQQ589434:MQQ589435 NAM589434:NAM589435 NKI589434:NKI589435 NUE589434:NUE589435 OEA589434:OEA589435 ONW589434:ONW589435 OXS589434:OXS589435 PHO589434:PHO589435 PRK589434:PRK589435 QBG589434:QBG589435 QLC589434:QLC589435 QUY589434:QUY589435 REU589434:REU589435 ROQ589434:ROQ589435 RYM589434:RYM589435 SII589434:SII589435 SSE589434:SSE589435 TCA589434:TCA589435 TLW589434:TLW589435 TVS589434:TVS589435 UFO589434:UFO589435 UPK589434:UPK589435 UZG589434:UZG589435 VJC589434:VJC589435 VSY589434:VSY589435 WCU589434:WCU589435 WMQ589434:WMQ589435 WWM589434:WWM589435 AE654970:AE654971 KA654970:KA654971 TW654970:TW654971 ADS654970:ADS654971 ANO654970:ANO654971 AXK654970:AXK654971 BHG654970:BHG654971 BRC654970:BRC654971 CAY654970:CAY654971 CKU654970:CKU654971 CUQ654970:CUQ654971 DEM654970:DEM654971 DOI654970:DOI654971 DYE654970:DYE654971 EIA654970:EIA654971 ERW654970:ERW654971 FBS654970:FBS654971 FLO654970:FLO654971 FVK654970:FVK654971 GFG654970:GFG654971 GPC654970:GPC654971 GYY654970:GYY654971 HIU654970:HIU654971 HSQ654970:HSQ654971 ICM654970:ICM654971 IMI654970:IMI654971 IWE654970:IWE654971 JGA654970:JGA654971 JPW654970:JPW654971 JZS654970:JZS654971 KJO654970:KJO654971 KTK654970:KTK654971 LDG654970:LDG654971 LNC654970:LNC654971 LWY654970:LWY654971 MGU654970:MGU654971 MQQ654970:MQQ654971 NAM654970:NAM654971 NKI654970:NKI654971 NUE654970:NUE654971 OEA654970:OEA654971 ONW654970:ONW654971 OXS654970:OXS654971 PHO654970:PHO654971 PRK654970:PRK654971 QBG654970:QBG654971 QLC654970:QLC654971 QUY654970:QUY654971 REU654970:REU654971 ROQ654970:ROQ654971 RYM654970:RYM654971 SII654970:SII654971 SSE654970:SSE654971 TCA654970:TCA654971 TLW654970:TLW654971 TVS654970:TVS654971 UFO654970:UFO654971 UPK654970:UPK654971 UZG654970:UZG654971 VJC654970:VJC654971 VSY654970:VSY654971 WCU654970:WCU654971 WMQ654970:WMQ654971 WWM654970:WWM654971 AE720506:AE720507 KA720506:KA720507 TW720506:TW720507 ADS720506:ADS720507 ANO720506:ANO720507 AXK720506:AXK720507 BHG720506:BHG720507 BRC720506:BRC720507 CAY720506:CAY720507 CKU720506:CKU720507 CUQ720506:CUQ720507 DEM720506:DEM720507 DOI720506:DOI720507 DYE720506:DYE720507 EIA720506:EIA720507 ERW720506:ERW720507 FBS720506:FBS720507 FLO720506:FLO720507 FVK720506:FVK720507 GFG720506:GFG720507 GPC720506:GPC720507 GYY720506:GYY720507 HIU720506:HIU720507 HSQ720506:HSQ720507 ICM720506:ICM720507 IMI720506:IMI720507 IWE720506:IWE720507 JGA720506:JGA720507 JPW720506:JPW720507 JZS720506:JZS720507 KJO720506:KJO720507 KTK720506:KTK720507 LDG720506:LDG720507 LNC720506:LNC720507 LWY720506:LWY720507 MGU720506:MGU720507 MQQ720506:MQQ720507 NAM720506:NAM720507 NKI720506:NKI720507 NUE720506:NUE720507 OEA720506:OEA720507 ONW720506:ONW720507 OXS720506:OXS720507 PHO720506:PHO720507 PRK720506:PRK720507 QBG720506:QBG720507 QLC720506:QLC720507 QUY720506:QUY720507 REU720506:REU720507 ROQ720506:ROQ720507 RYM720506:RYM720507 SII720506:SII720507 SSE720506:SSE720507 TCA720506:TCA720507 TLW720506:TLW720507 TVS720506:TVS720507 UFO720506:UFO720507 UPK720506:UPK720507 UZG720506:UZG720507 VJC720506:VJC720507 VSY720506:VSY720507 WCU720506:WCU720507 WMQ720506:WMQ720507 WWM720506:WWM720507 AE786042:AE786043 KA786042:KA786043 TW786042:TW786043 ADS786042:ADS786043 ANO786042:ANO786043 AXK786042:AXK786043 BHG786042:BHG786043 BRC786042:BRC786043 CAY786042:CAY786043 CKU786042:CKU786043 CUQ786042:CUQ786043 DEM786042:DEM786043 DOI786042:DOI786043 DYE786042:DYE786043 EIA786042:EIA786043 ERW786042:ERW786043 FBS786042:FBS786043 FLO786042:FLO786043 FVK786042:FVK786043 GFG786042:GFG786043 GPC786042:GPC786043 GYY786042:GYY786043 HIU786042:HIU786043 HSQ786042:HSQ786043 ICM786042:ICM786043 IMI786042:IMI786043 IWE786042:IWE786043 JGA786042:JGA786043 JPW786042:JPW786043 JZS786042:JZS786043 KJO786042:KJO786043 KTK786042:KTK786043 LDG786042:LDG786043 LNC786042:LNC786043 LWY786042:LWY786043 MGU786042:MGU786043 MQQ786042:MQQ786043 NAM786042:NAM786043 NKI786042:NKI786043 NUE786042:NUE786043 OEA786042:OEA786043 ONW786042:ONW786043 OXS786042:OXS786043 PHO786042:PHO786043 PRK786042:PRK786043 QBG786042:QBG786043 QLC786042:QLC786043 QUY786042:QUY786043 REU786042:REU786043 ROQ786042:ROQ786043 RYM786042:RYM786043 SII786042:SII786043 SSE786042:SSE786043 TCA786042:TCA786043 TLW786042:TLW786043 TVS786042:TVS786043 UFO786042:UFO786043 UPK786042:UPK786043 UZG786042:UZG786043 VJC786042:VJC786043 VSY786042:VSY786043 WCU786042:WCU786043 WMQ786042:WMQ786043 WWM786042:WWM786043 AE851578:AE851579 KA851578:KA851579 TW851578:TW851579 ADS851578:ADS851579 ANO851578:ANO851579 AXK851578:AXK851579 BHG851578:BHG851579 BRC851578:BRC851579 CAY851578:CAY851579 CKU851578:CKU851579 CUQ851578:CUQ851579 DEM851578:DEM851579 DOI851578:DOI851579 DYE851578:DYE851579 EIA851578:EIA851579 ERW851578:ERW851579 FBS851578:FBS851579 FLO851578:FLO851579 FVK851578:FVK851579 GFG851578:GFG851579 GPC851578:GPC851579 GYY851578:GYY851579 HIU851578:HIU851579 HSQ851578:HSQ851579 ICM851578:ICM851579 IMI851578:IMI851579 IWE851578:IWE851579 JGA851578:JGA851579 JPW851578:JPW851579 JZS851578:JZS851579 KJO851578:KJO851579 KTK851578:KTK851579 LDG851578:LDG851579 LNC851578:LNC851579 LWY851578:LWY851579 MGU851578:MGU851579 MQQ851578:MQQ851579 NAM851578:NAM851579 NKI851578:NKI851579 NUE851578:NUE851579 OEA851578:OEA851579 ONW851578:ONW851579 OXS851578:OXS851579 PHO851578:PHO851579 PRK851578:PRK851579 QBG851578:QBG851579 QLC851578:QLC851579 QUY851578:QUY851579 REU851578:REU851579 ROQ851578:ROQ851579 RYM851578:RYM851579 SII851578:SII851579 SSE851578:SSE851579 TCA851578:TCA851579 TLW851578:TLW851579 TVS851578:TVS851579 UFO851578:UFO851579 UPK851578:UPK851579 UZG851578:UZG851579 VJC851578:VJC851579 VSY851578:VSY851579 WCU851578:WCU851579 WMQ851578:WMQ851579 WWM851578:WWM851579 AE917114:AE917115 KA917114:KA917115 TW917114:TW917115 ADS917114:ADS917115 ANO917114:ANO917115 AXK917114:AXK917115 BHG917114:BHG917115 BRC917114:BRC917115 CAY917114:CAY917115 CKU917114:CKU917115 CUQ917114:CUQ917115 DEM917114:DEM917115 DOI917114:DOI917115 DYE917114:DYE917115 EIA917114:EIA917115 ERW917114:ERW917115 FBS917114:FBS917115 FLO917114:FLO917115 FVK917114:FVK917115 GFG917114:GFG917115 GPC917114:GPC917115 GYY917114:GYY917115 HIU917114:HIU917115 HSQ917114:HSQ917115 ICM917114:ICM917115 IMI917114:IMI917115 IWE917114:IWE917115 JGA917114:JGA917115 JPW917114:JPW917115 JZS917114:JZS917115 KJO917114:KJO917115 KTK917114:KTK917115 LDG917114:LDG917115 LNC917114:LNC917115 LWY917114:LWY917115 MGU917114:MGU917115 MQQ917114:MQQ917115 NAM917114:NAM917115 NKI917114:NKI917115 NUE917114:NUE917115 OEA917114:OEA917115 ONW917114:ONW917115 OXS917114:OXS917115 PHO917114:PHO917115 PRK917114:PRK917115 QBG917114:QBG917115 QLC917114:QLC917115 QUY917114:QUY917115 REU917114:REU917115 ROQ917114:ROQ917115 RYM917114:RYM917115 SII917114:SII917115 SSE917114:SSE917115 TCA917114:TCA917115 TLW917114:TLW917115 TVS917114:TVS917115 UFO917114:UFO917115 UPK917114:UPK917115 UZG917114:UZG917115 VJC917114:VJC917115 VSY917114:VSY917115 WCU917114:WCU917115 WMQ917114:WMQ917115 WWM917114:WWM917115 AE982650:AE982651 KA982650:KA982651 TW982650:TW982651 ADS982650:ADS982651 ANO982650:ANO982651 AXK982650:AXK982651 BHG982650:BHG982651 BRC982650:BRC982651 CAY982650:CAY982651 CKU982650:CKU982651 CUQ982650:CUQ982651 DEM982650:DEM982651 DOI982650:DOI982651 DYE982650:DYE982651 EIA982650:EIA982651 ERW982650:ERW982651 FBS982650:FBS982651 FLO982650:FLO982651 FVK982650:FVK982651 GFG982650:GFG982651 GPC982650:GPC982651 GYY982650:GYY982651 HIU982650:HIU982651 HSQ982650:HSQ982651 ICM982650:ICM982651 IMI982650:IMI982651 IWE982650:IWE982651 JGA982650:JGA982651 JPW982650:JPW982651 JZS982650:JZS982651 KJO982650:KJO982651 KTK982650:KTK982651 LDG982650:LDG982651 LNC982650:LNC982651 LWY982650:LWY982651 MGU982650:MGU982651 MQQ982650:MQQ982651 NAM982650:NAM982651 NKI982650:NKI982651 NUE982650:NUE982651 OEA982650:OEA982651 ONW982650:ONW982651 OXS982650:OXS982651 PHO982650:PHO982651 PRK982650:PRK982651 QBG982650:QBG982651 QLC982650:QLC982651 QUY982650:QUY982651 REU982650:REU982651 ROQ982650:ROQ982651 RYM982650:RYM982651 SII982650:SII982651 SSE982650:SSE982651 TCA982650:TCA982651 TLW982650:TLW982651 TVS982650:TVS982651 UFO982650:UFO982651 UPK982650:UPK982651 UZG982650:UZG982651 VJC982650:VJC982651 VSY982650:VSY982651 WCU982650:WCU982651 WMQ982650:WMQ982651 WWM982650:WWM982651 AQ851578:AQ851579 KM851578:KM851579 UI851578:UI851579 AEE851578:AEE851579 AOA851578:AOA851579 AXW851578:AXW851579 BHS851578:BHS851579 BRO851578:BRO851579 CBK851578:CBK851579 CLG851578:CLG851579 CVC851578:CVC851579 DEY851578:DEY851579 DOU851578:DOU851579 DYQ851578:DYQ851579 EIM851578:EIM851579 ESI851578:ESI851579 FCE851578:FCE851579 FMA851578:FMA851579 FVW851578:FVW851579 GFS851578:GFS851579 GPO851578:GPO851579 GZK851578:GZK851579 HJG851578:HJG851579 HTC851578:HTC851579 ICY851578:ICY851579 IMU851578:IMU851579 IWQ851578:IWQ851579 JGM851578:JGM851579 JQI851578:JQI851579 KAE851578:KAE851579 KKA851578:KKA851579 KTW851578:KTW851579 LDS851578:LDS851579 LNO851578:LNO851579 LXK851578:LXK851579 MHG851578:MHG851579 MRC851578:MRC851579 NAY851578:NAY851579 NKU851578:NKU851579 NUQ851578:NUQ851579 OEM851578:OEM851579 OOI851578:OOI851579 OYE851578:OYE851579 PIA851578:PIA851579 PRW851578:PRW851579 QBS851578:QBS851579 QLO851578:QLO851579 QVK851578:QVK851579 RFG851578:RFG851579 RPC851578:RPC851579 RYY851578:RYY851579 SIU851578:SIU851579 SSQ851578:SSQ851579 TCM851578:TCM851579 TMI851578:TMI851579 TWE851578:TWE851579 UGA851578:UGA851579 UPW851578:UPW851579 UZS851578:UZS851579 VJO851578:VJO851579 VTK851578:VTK851579 WDG851578:WDG851579 WNC851578:WNC851579 WWY851578:WWY851579 AI65146:AI65147 KE65146:KE65147 UA65146:UA65147 ADW65146:ADW65147 ANS65146:ANS65147 AXO65146:AXO65147 BHK65146:BHK65147 BRG65146:BRG65147 CBC65146:CBC65147 CKY65146:CKY65147 CUU65146:CUU65147 DEQ65146:DEQ65147 DOM65146:DOM65147 DYI65146:DYI65147 EIE65146:EIE65147 ESA65146:ESA65147 FBW65146:FBW65147 FLS65146:FLS65147 FVO65146:FVO65147 GFK65146:GFK65147 GPG65146:GPG65147 GZC65146:GZC65147 HIY65146:HIY65147 HSU65146:HSU65147 ICQ65146:ICQ65147 IMM65146:IMM65147 IWI65146:IWI65147 JGE65146:JGE65147 JQA65146:JQA65147 JZW65146:JZW65147 KJS65146:KJS65147 KTO65146:KTO65147 LDK65146:LDK65147 LNG65146:LNG65147 LXC65146:LXC65147 MGY65146:MGY65147 MQU65146:MQU65147 NAQ65146:NAQ65147 NKM65146:NKM65147 NUI65146:NUI65147 OEE65146:OEE65147 OOA65146:OOA65147 OXW65146:OXW65147 PHS65146:PHS65147 PRO65146:PRO65147 QBK65146:QBK65147 QLG65146:QLG65147 QVC65146:QVC65147 REY65146:REY65147 ROU65146:ROU65147 RYQ65146:RYQ65147 SIM65146:SIM65147 SSI65146:SSI65147 TCE65146:TCE65147 TMA65146:TMA65147 TVW65146:TVW65147 UFS65146:UFS65147 UPO65146:UPO65147 UZK65146:UZK65147 VJG65146:VJG65147 VTC65146:VTC65147 WCY65146:WCY65147 WMU65146:WMU65147 WWQ65146:WWQ65147 AI130682:AI130683 KE130682:KE130683 UA130682:UA130683 ADW130682:ADW130683 ANS130682:ANS130683 AXO130682:AXO130683 BHK130682:BHK130683 BRG130682:BRG130683 CBC130682:CBC130683 CKY130682:CKY130683 CUU130682:CUU130683 DEQ130682:DEQ130683 DOM130682:DOM130683 DYI130682:DYI130683 EIE130682:EIE130683 ESA130682:ESA130683 FBW130682:FBW130683 FLS130682:FLS130683 FVO130682:FVO130683 GFK130682:GFK130683 GPG130682:GPG130683 GZC130682:GZC130683 HIY130682:HIY130683 HSU130682:HSU130683 ICQ130682:ICQ130683 IMM130682:IMM130683 IWI130682:IWI130683 JGE130682:JGE130683 JQA130682:JQA130683 JZW130682:JZW130683 KJS130682:KJS130683 KTO130682:KTO130683 LDK130682:LDK130683 LNG130682:LNG130683 LXC130682:LXC130683 MGY130682:MGY130683 MQU130682:MQU130683 NAQ130682:NAQ130683 NKM130682:NKM130683 NUI130682:NUI130683 OEE130682:OEE130683 OOA130682:OOA130683 OXW130682:OXW130683 PHS130682:PHS130683 PRO130682:PRO130683 QBK130682:QBK130683 QLG130682:QLG130683 QVC130682:QVC130683 REY130682:REY130683 ROU130682:ROU130683 RYQ130682:RYQ130683 SIM130682:SIM130683 SSI130682:SSI130683 TCE130682:TCE130683 TMA130682:TMA130683 TVW130682:TVW130683 UFS130682:UFS130683 UPO130682:UPO130683 UZK130682:UZK130683 VJG130682:VJG130683 VTC130682:VTC130683 WCY130682:WCY130683 WMU130682:WMU130683 WWQ130682:WWQ130683 AI196218:AI196219 KE196218:KE196219 UA196218:UA196219 ADW196218:ADW196219 ANS196218:ANS196219 AXO196218:AXO196219 BHK196218:BHK196219 BRG196218:BRG196219 CBC196218:CBC196219 CKY196218:CKY196219 CUU196218:CUU196219 DEQ196218:DEQ196219 DOM196218:DOM196219 DYI196218:DYI196219 EIE196218:EIE196219 ESA196218:ESA196219 FBW196218:FBW196219 FLS196218:FLS196219 FVO196218:FVO196219 GFK196218:GFK196219 GPG196218:GPG196219 GZC196218:GZC196219 HIY196218:HIY196219 HSU196218:HSU196219 ICQ196218:ICQ196219 IMM196218:IMM196219 IWI196218:IWI196219 JGE196218:JGE196219 JQA196218:JQA196219 JZW196218:JZW196219 KJS196218:KJS196219 KTO196218:KTO196219 LDK196218:LDK196219 LNG196218:LNG196219 LXC196218:LXC196219 MGY196218:MGY196219 MQU196218:MQU196219 NAQ196218:NAQ196219 NKM196218:NKM196219 NUI196218:NUI196219 OEE196218:OEE196219 OOA196218:OOA196219 OXW196218:OXW196219 PHS196218:PHS196219 PRO196218:PRO196219 QBK196218:QBK196219 QLG196218:QLG196219 QVC196218:QVC196219 REY196218:REY196219 ROU196218:ROU196219 RYQ196218:RYQ196219 SIM196218:SIM196219 SSI196218:SSI196219 TCE196218:TCE196219 TMA196218:TMA196219 TVW196218:TVW196219 UFS196218:UFS196219 UPO196218:UPO196219 UZK196218:UZK196219 VJG196218:VJG196219 VTC196218:VTC196219 WCY196218:WCY196219 WMU196218:WMU196219 WWQ196218:WWQ196219 AI261754:AI261755 KE261754:KE261755 UA261754:UA261755 ADW261754:ADW261755 ANS261754:ANS261755 AXO261754:AXO261755 BHK261754:BHK261755 BRG261754:BRG261755 CBC261754:CBC261755 CKY261754:CKY261755 CUU261754:CUU261755 DEQ261754:DEQ261755 DOM261754:DOM261755 DYI261754:DYI261755 EIE261754:EIE261755 ESA261754:ESA261755 FBW261754:FBW261755 FLS261754:FLS261755 FVO261754:FVO261755 GFK261754:GFK261755 GPG261754:GPG261755 GZC261754:GZC261755 HIY261754:HIY261755 HSU261754:HSU261755 ICQ261754:ICQ261755 IMM261754:IMM261755 IWI261754:IWI261755 JGE261754:JGE261755 JQA261754:JQA261755 JZW261754:JZW261755 KJS261754:KJS261755 KTO261754:KTO261755 LDK261754:LDK261755 LNG261754:LNG261755 LXC261754:LXC261755 MGY261754:MGY261755 MQU261754:MQU261755 NAQ261754:NAQ261755 NKM261754:NKM261755 NUI261754:NUI261755 OEE261754:OEE261755 OOA261754:OOA261755 OXW261754:OXW261755 PHS261754:PHS261755 PRO261754:PRO261755 QBK261754:QBK261755 QLG261754:QLG261755 QVC261754:QVC261755 REY261754:REY261755 ROU261754:ROU261755 RYQ261754:RYQ261755 SIM261754:SIM261755 SSI261754:SSI261755 TCE261754:TCE261755 TMA261754:TMA261755 TVW261754:TVW261755 UFS261754:UFS261755 UPO261754:UPO261755 UZK261754:UZK261755 VJG261754:VJG261755 VTC261754:VTC261755 WCY261754:WCY261755 WMU261754:WMU261755 WWQ261754:WWQ261755 AI327290:AI327291 KE327290:KE327291 UA327290:UA327291 ADW327290:ADW327291 ANS327290:ANS327291 AXO327290:AXO327291 BHK327290:BHK327291 BRG327290:BRG327291 CBC327290:CBC327291 CKY327290:CKY327291 CUU327290:CUU327291 DEQ327290:DEQ327291 DOM327290:DOM327291 DYI327290:DYI327291 EIE327290:EIE327291 ESA327290:ESA327291 FBW327290:FBW327291 FLS327290:FLS327291 FVO327290:FVO327291 GFK327290:GFK327291 GPG327290:GPG327291 GZC327290:GZC327291 HIY327290:HIY327291 HSU327290:HSU327291 ICQ327290:ICQ327291 IMM327290:IMM327291 IWI327290:IWI327291 JGE327290:JGE327291 JQA327290:JQA327291 JZW327290:JZW327291 KJS327290:KJS327291 KTO327290:KTO327291 LDK327290:LDK327291 LNG327290:LNG327291 LXC327290:LXC327291 MGY327290:MGY327291 MQU327290:MQU327291 NAQ327290:NAQ327291 NKM327290:NKM327291 NUI327290:NUI327291 OEE327290:OEE327291 OOA327290:OOA327291 OXW327290:OXW327291 PHS327290:PHS327291 PRO327290:PRO327291 QBK327290:QBK327291 QLG327290:QLG327291 QVC327290:QVC327291 REY327290:REY327291 ROU327290:ROU327291 RYQ327290:RYQ327291 SIM327290:SIM327291 SSI327290:SSI327291 TCE327290:TCE327291 TMA327290:TMA327291 TVW327290:TVW327291 UFS327290:UFS327291 UPO327290:UPO327291 UZK327290:UZK327291 VJG327290:VJG327291 VTC327290:VTC327291 WCY327290:WCY327291 WMU327290:WMU327291 WWQ327290:WWQ327291 AI392826:AI392827 KE392826:KE392827 UA392826:UA392827 ADW392826:ADW392827 ANS392826:ANS392827 AXO392826:AXO392827 BHK392826:BHK392827 BRG392826:BRG392827 CBC392826:CBC392827 CKY392826:CKY392827 CUU392826:CUU392827 DEQ392826:DEQ392827 DOM392826:DOM392827 DYI392826:DYI392827 EIE392826:EIE392827 ESA392826:ESA392827 FBW392826:FBW392827 FLS392826:FLS392827 FVO392826:FVO392827 GFK392826:GFK392827 GPG392826:GPG392827 GZC392826:GZC392827 HIY392826:HIY392827 HSU392826:HSU392827 ICQ392826:ICQ392827 IMM392826:IMM392827 IWI392826:IWI392827 JGE392826:JGE392827 JQA392826:JQA392827 JZW392826:JZW392827 KJS392826:KJS392827 KTO392826:KTO392827 LDK392826:LDK392827 LNG392826:LNG392827 LXC392826:LXC392827 MGY392826:MGY392827 MQU392826:MQU392827 NAQ392826:NAQ392827 NKM392826:NKM392827 NUI392826:NUI392827 OEE392826:OEE392827 OOA392826:OOA392827 OXW392826:OXW392827 PHS392826:PHS392827 PRO392826:PRO392827 QBK392826:QBK392827 QLG392826:QLG392827 QVC392826:QVC392827 REY392826:REY392827 ROU392826:ROU392827 RYQ392826:RYQ392827 SIM392826:SIM392827 SSI392826:SSI392827 TCE392826:TCE392827 TMA392826:TMA392827 TVW392826:TVW392827 UFS392826:UFS392827 UPO392826:UPO392827 UZK392826:UZK392827 VJG392826:VJG392827 VTC392826:VTC392827 WCY392826:WCY392827 WMU392826:WMU392827 WWQ392826:WWQ392827 AI458362:AI458363 KE458362:KE458363 UA458362:UA458363 ADW458362:ADW458363 ANS458362:ANS458363 AXO458362:AXO458363 BHK458362:BHK458363 BRG458362:BRG458363 CBC458362:CBC458363 CKY458362:CKY458363 CUU458362:CUU458363 DEQ458362:DEQ458363 DOM458362:DOM458363 DYI458362:DYI458363 EIE458362:EIE458363 ESA458362:ESA458363 FBW458362:FBW458363 FLS458362:FLS458363 FVO458362:FVO458363 GFK458362:GFK458363 GPG458362:GPG458363 GZC458362:GZC458363 HIY458362:HIY458363 HSU458362:HSU458363 ICQ458362:ICQ458363 IMM458362:IMM458363 IWI458362:IWI458363 JGE458362:JGE458363 JQA458362:JQA458363 JZW458362:JZW458363 KJS458362:KJS458363 KTO458362:KTO458363 LDK458362:LDK458363 LNG458362:LNG458363 LXC458362:LXC458363 MGY458362:MGY458363 MQU458362:MQU458363 NAQ458362:NAQ458363 NKM458362:NKM458363 NUI458362:NUI458363 OEE458362:OEE458363 OOA458362:OOA458363 OXW458362:OXW458363 PHS458362:PHS458363 PRO458362:PRO458363 QBK458362:QBK458363 QLG458362:QLG458363 QVC458362:QVC458363 REY458362:REY458363 ROU458362:ROU458363 RYQ458362:RYQ458363 SIM458362:SIM458363 SSI458362:SSI458363 TCE458362:TCE458363 TMA458362:TMA458363 TVW458362:TVW458363 UFS458362:UFS458363 UPO458362:UPO458363 UZK458362:UZK458363 VJG458362:VJG458363 VTC458362:VTC458363 WCY458362:WCY458363 WMU458362:WMU458363 WWQ458362:WWQ458363 AI523898:AI523899 KE523898:KE523899 UA523898:UA523899 ADW523898:ADW523899 ANS523898:ANS523899 AXO523898:AXO523899 BHK523898:BHK523899 BRG523898:BRG523899 CBC523898:CBC523899 CKY523898:CKY523899 CUU523898:CUU523899 DEQ523898:DEQ523899 DOM523898:DOM523899 DYI523898:DYI523899 EIE523898:EIE523899 ESA523898:ESA523899 FBW523898:FBW523899 FLS523898:FLS523899 FVO523898:FVO523899 GFK523898:GFK523899 GPG523898:GPG523899 GZC523898:GZC523899 HIY523898:HIY523899 HSU523898:HSU523899 ICQ523898:ICQ523899 IMM523898:IMM523899 IWI523898:IWI523899 JGE523898:JGE523899 JQA523898:JQA523899 JZW523898:JZW523899 KJS523898:KJS523899 KTO523898:KTO523899 LDK523898:LDK523899 LNG523898:LNG523899 LXC523898:LXC523899 MGY523898:MGY523899 MQU523898:MQU523899 NAQ523898:NAQ523899 NKM523898:NKM523899 NUI523898:NUI523899 OEE523898:OEE523899 OOA523898:OOA523899 OXW523898:OXW523899 PHS523898:PHS523899 PRO523898:PRO523899 QBK523898:QBK523899 QLG523898:QLG523899 QVC523898:QVC523899 REY523898:REY523899 ROU523898:ROU523899 RYQ523898:RYQ523899 SIM523898:SIM523899 SSI523898:SSI523899 TCE523898:TCE523899 TMA523898:TMA523899 TVW523898:TVW523899 UFS523898:UFS523899 UPO523898:UPO523899 UZK523898:UZK523899 VJG523898:VJG523899 VTC523898:VTC523899 WCY523898:WCY523899 WMU523898:WMU523899 WWQ523898:WWQ523899 AI589434:AI589435 KE589434:KE589435 UA589434:UA589435 ADW589434:ADW589435 ANS589434:ANS589435 AXO589434:AXO589435 BHK589434:BHK589435 BRG589434:BRG589435 CBC589434:CBC589435 CKY589434:CKY589435 CUU589434:CUU589435 DEQ589434:DEQ589435 DOM589434:DOM589435 DYI589434:DYI589435 EIE589434:EIE589435 ESA589434:ESA589435 FBW589434:FBW589435 FLS589434:FLS589435 FVO589434:FVO589435 GFK589434:GFK589435 GPG589434:GPG589435 GZC589434:GZC589435 HIY589434:HIY589435 HSU589434:HSU589435 ICQ589434:ICQ589435 IMM589434:IMM589435 IWI589434:IWI589435 JGE589434:JGE589435 JQA589434:JQA589435 JZW589434:JZW589435 KJS589434:KJS589435 KTO589434:KTO589435 LDK589434:LDK589435 LNG589434:LNG589435 LXC589434:LXC589435 MGY589434:MGY589435 MQU589434:MQU589435 NAQ589434:NAQ589435 NKM589434:NKM589435 NUI589434:NUI589435 OEE589434:OEE589435 OOA589434:OOA589435 OXW589434:OXW589435 PHS589434:PHS589435 PRO589434:PRO589435 QBK589434:QBK589435 QLG589434:QLG589435 QVC589434:QVC589435 REY589434:REY589435 ROU589434:ROU589435 RYQ589434:RYQ589435 SIM589434:SIM589435 SSI589434:SSI589435 TCE589434:TCE589435 TMA589434:TMA589435 TVW589434:TVW589435 UFS589434:UFS589435 UPO589434:UPO589435 UZK589434:UZK589435 VJG589434:VJG589435 VTC589434:VTC589435 WCY589434:WCY589435 WMU589434:WMU589435 WWQ589434:WWQ589435 AI654970:AI654971 KE654970:KE654971 UA654970:UA654971 ADW654970:ADW654971 ANS654970:ANS654971 AXO654970:AXO654971 BHK654970:BHK654971 BRG654970:BRG654971 CBC654970:CBC654971 CKY654970:CKY654971 CUU654970:CUU654971 DEQ654970:DEQ654971 DOM654970:DOM654971 DYI654970:DYI654971 EIE654970:EIE654971 ESA654970:ESA654971 FBW654970:FBW654971 FLS654970:FLS654971 FVO654970:FVO654971 GFK654970:GFK654971 GPG654970:GPG654971 GZC654970:GZC654971 HIY654970:HIY654971 HSU654970:HSU654971 ICQ654970:ICQ654971 IMM654970:IMM654971 IWI654970:IWI654971 JGE654970:JGE654971 JQA654970:JQA654971 JZW654970:JZW654971 KJS654970:KJS654971 KTO654970:KTO654971 LDK654970:LDK654971 LNG654970:LNG654971 LXC654970:LXC654971 MGY654970:MGY654971 MQU654970:MQU654971 NAQ654970:NAQ654971 NKM654970:NKM654971 NUI654970:NUI654971 OEE654970:OEE654971 OOA654970:OOA654971 OXW654970:OXW654971 PHS654970:PHS654971 PRO654970:PRO654971 QBK654970:QBK654971 QLG654970:QLG654971 QVC654970:QVC654971 REY654970:REY654971 ROU654970:ROU654971 RYQ654970:RYQ654971 SIM654970:SIM654971 SSI654970:SSI654971 TCE654970:TCE654971 TMA654970:TMA654971 TVW654970:TVW654971 UFS654970:UFS654971 UPO654970:UPO654971 UZK654970:UZK654971 VJG654970:VJG654971 VTC654970:VTC654971 WCY654970:WCY654971 WMU654970:WMU654971 WWQ654970:WWQ654971 AI720506:AI720507 KE720506:KE720507 UA720506:UA720507 ADW720506:ADW720507 ANS720506:ANS720507 AXO720506:AXO720507 BHK720506:BHK720507 BRG720506:BRG720507 CBC720506:CBC720507 CKY720506:CKY720507 CUU720506:CUU720507 DEQ720506:DEQ720507 DOM720506:DOM720507 DYI720506:DYI720507 EIE720506:EIE720507 ESA720506:ESA720507 FBW720506:FBW720507 FLS720506:FLS720507 FVO720506:FVO720507 GFK720506:GFK720507 GPG720506:GPG720507 GZC720506:GZC720507 HIY720506:HIY720507 HSU720506:HSU720507 ICQ720506:ICQ720507 IMM720506:IMM720507 IWI720506:IWI720507 JGE720506:JGE720507 JQA720506:JQA720507 JZW720506:JZW720507 KJS720506:KJS720507 KTO720506:KTO720507 LDK720506:LDK720507 LNG720506:LNG720507 LXC720506:LXC720507 MGY720506:MGY720507 MQU720506:MQU720507 NAQ720506:NAQ720507 NKM720506:NKM720507 NUI720506:NUI720507 OEE720506:OEE720507 OOA720506:OOA720507 OXW720506:OXW720507 PHS720506:PHS720507 PRO720506:PRO720507 QBK720506:QBK720507 QLG720506:QLG720507 QVC720506:QVC720507 REY720506:REY720507 ROU720506:ROU720507 RYQ720506:RYQ720507 SIM720506:SIM720507 SSI720506:SSI720507 TCE720506:TCE720507 TMA720506:TMA720507 TVW720506:TVW720507 UFS720506:UFS720507 UPO720506:UPO720507 UZK720506:UZK720507 VJG720506:VJG720507 VTC720506:VTC720507 WCY720506:WCY720507 WMU720506:WMU720507 WWQ720506:WWQ720507 AI786042:AI786043 KE786042:KE786043 UA786042:UA786043 ADW786042:ADW786043 ANS786042:ANS786043 AXO786042:AXO786043 BHK786042:BHK786043 BRG786042:BRG786043 CBC786042:CBC786043 CKY786042:CKY786043 CUU786042:CUU786043 DEQ786042:DEQ786043 DOM786042:DOM786043 DYI786042:DYI786043 EIE786042:EIE786043 ESA786042:ESA786043 FBW786042:FBW786043 FLS786042:FLS786043 FVO786042:FVO786043 GFK786042:GFK786043 GPG786042:GPG786043 GZC786042:GZC786043 HIY786042:HIY786043 HSU786042:HSU786043 ICQ786042:ICQ786043 IMM786042:IMM786043 IWI786042:IWI786043 JGE786042:JGE786043 JQA786042:JQA786043 JZW786042:JZW786043 KJS786042:KJS786043 KTO786042:KTO786043 LDK786042:LDK786043 LNG786042:LNG786043 LXC786042:LXC786043 MGY786042:MGY786043 MQU786042:MQU786043 NAQ786042:NAQ786043 NKM786042:NKM786043 NUI786042:NUI786043 OEE786042:OEE786043 OOA786042:OOA786043 OXW786042:OXW786043 PHS786042:PHS786043 PRO786042:PRO786043 QBK786042:QBK786043 QLG786042:QLG786043 QVC786042:QVC786043 REY786042:REY786043 ROU786042:ROU786043 RYQ786042:RYQ786043 SIM786042:SIM786043 SSI786042:SSI786043 TCE786042:TCE786043 TMA786042:TMA786043 TVW786042:TVW786043 UFS786042:UFS786043 UPO786042:UPO786043 UZK786042:UZK786043 VJG786042:VJG786043 VTC786042:VTC786043 WCY786042:WCY786043 WMU786042:WMU786043 WWQ786042:WWQ786043 AI851578:AI851579 KE851578:KE851579 UA851578:UA851579 ADW851578:ADW851579 ANS851578:ANS851579 AXO851578:AXO851579 BHK851578:BHK851579 BRG851578:BRG851579 CBC851578:CBC851579 CKY851578:CKY851579 CUU851578:CUU851579 DEQ851578:DEQ851579 DOM851578:DOM851579 DYI851578:DYI851579 EIE851578:EIE851579 ESA851578:ESA851579 FBW851578:FBW851579 FLS851578:FLS851579 FVO851578:FVO851579 GFK851578:GFK851579 GPG851578:GPG851579 GZC851578:GZC851579 HIY851578:HIY851579 HSU851578:HSU851579 ICQ851578:ICQ851579 IMM851578:IMM851579 IWI851578:IWI851579 JGE851578:JGE851579 JQA851578:JQA851579 JZW851578:JZW851579 KJS851578:KJS851579 KTO851578:KTO851579 LDK851578:LDK851579 LNG851578:LNG851579 LXC851578:LXC851579 MGY851578:MGY851579 MQU851578:MQU851579 NAQ851578:NAQ851579 NKM851578:NKM851579 NUI851578:NUI851579 OEE851578:OEE851579 OOA851578:OOA851579 OXW851578:OXW851579 PHS851578:PHS851579 PRO851578:PRO851579 QBK851578:QBK851579 QLG851578:QLG851579 QVC851578:QVC851579 REY851578:REY851579 ROU851578:ROU851579 RYQ851578:RYQ851579 SIM851578:SIM851579 SSI851578:SSI851579 TCE851578:TCE851579 TMA851578:TMA851579 TVW851578:TVW851579 UFS851578:UFS851579 UPO851578:UPO851579 UZK851578:UZK851579 VJG851578:VJG851579 VTC851578:VTC851579 WCY851578:WCY851579 WMU851578:WMU851579 WWQ851578:WWQ851579 AI917114:AI917115 KE917114:KE917115 UA917114:UA917115 ADW917114:ADW917115 ANS917114:ANS917115 AXO917114:AXO917115 BHK917114:BHK917115 BRG917114:BRG917115 CBC917114:CBC917115 CKY917114:CKY917115 CUU917114:CUU917115 DEQ917114:DEQ917115 DOM917114:DOM917115 DYI917114:DYI917115 EIE917114:EIE917115 ESA917114:ESA917115 FBW917114:FBW917115 FLS917114:FLS917115 FVO917114:FVO917115 GFK917114:GFK917115 GPG917114:GPG917115 GZC917114:GZC917115 HIY917114:HIY917115 HSU917114:HSU917115 ICQ917114:ICQ917115 IMM917114:IMM917115 IWI917114:IWI917115 JGE917114:JGE917115 JQA917114:JQA917115 JZW917114:JZW917115 KJS917114:KJS917115 KTO917114:KTO917115 LDK917114:LDK917115 LNG917114:LNG917115 LXC917114:LXC917115 MGY917114:MGY917115 MQU917114:MQU917115 NAQ917114:NAQ917115 NKM917114:NKM917115 NUI917114:NUI917115 OEE917114:OEE917115 OOA917114:OOA917115 OXW917114:OXW917115 PHS917114:PHS917115 PRO917114:PRO917115 QBK917114:QBK917115 QLG917114:QLG917115 QVC917114:QVC917115 REY917114:REY917115 ROU917114:ROU917115 RYQ917114:RYQ917115 SIM917114:SIM917115 SSI917114:SSI917115 TCE917114:TCE917115 TMA917114:TMA917115 TVW917114:TVW917115 UFS917114:UFS917115 UPO917114:UPO917115 UZK917114:UZK917115 VJG917114:VJG917115 VTC917114:VTC917115 WCY917114:WCY917115 WMU917114:WMU917115 WWQ917114:WWQ917115 AI982650:AI982651 KE982650:KE982651 UA982650:UA982651 ADW982650:ADW982651 ANS982650:ANS982651 AXO982650:AXO982651 BHK982650:BHK982651 BRG982650:BRG982651 CBC982650:CBC982651 CKY982650:CKY982651 CUU982650:CUU982651 DEQ982650:DEQ982651 DOM982650:DOM982651 DYI982650:DYI982651 EIE982650:EIE982651 ESA982650:ESA982651 FBW982650:FBW982651 FLS982650:FLS982651 FVO982650:FVO982651 GFK982650:GFK982651 GPG982650:GPG982651 GZC982650:GZC982651 HIY982650:HIY982651 HSU982650:HSU982651 ICQ982650:ICQ982651 IMM982650:IMM982651 IWI982650:IWI982651 JGE982650:JGE982651 JQA982650:JQA982651 JZW982650:JZW982651 KJS982650:KJS982651 KTO982650:KTO982651 LDK982650:LDK982651 LNG982650:LNG982651 LXC982650:LXC982651 MGY982650:MGY982651 MQU982650:MQU982651 NAQ982650:NAQ982651 NKM982650:NKM982651 NUI982650:NUI982651 OEE982650:OEE982651 OOA982650:OOA982651 OXW982650:OXW982651 PHS982650:PHS982651 PRO982650:PRO982651 QBK982650:QBK982651 QLG982650:QLG982651 QVC982650:QVC982651 REY982650:REY982651 ROU982650:ROU982651 RYQ982650:RYQ982651 SIM982650:SIM982651 SSI982650:SSI982651 TCE982650:TCE982651 TMA982650:TMA982651 TVW982650:TVW982651 UFS982650:UFS982651 UPO982650:UPO982651 UZK982650:UZK982651 VJG982650:VJG982651 VTC982650:VTC982651 WCY982650:WCY982651 WMU982650:WMU982651 WWQ982650:WWQ982651 AQ917114:AQ917115 KM917114:KM917115 UI917114:UI917115 AEE917114:AEE917115 AOA917114:AOA917115 AXW917114:AXW917115 BHS917114:BHS917115 BRO917114:BRO917115 CBK917114:CBK917115 CLG917114:CLG917115 CVC917114:CVC917115 DEY917114:DEY917115 DOU917114:DOU917115 DYQ917114:DYQ917115 EIM917114:EIM917115 ESI917114:ESI917115 FCE917114:FCE917115 FMA917114:FMA917115 FVW917114:FVW917115 GFS917114:GFS917115 GPO917114:GPO917115 GZK917114:GZK917115 HJG917114:HJG917115 HTC917114:HTC917115 ICY917114:ICY917115 IMU917114:IMU917115 IWQ917114:IWQ917115 JGM917114:JGM917115 JQI917114:JQI917115 KAE917114:KAE917115 KKA917114:KKA917115 KTW917114:KTW917115 LDS917114:LDS917115 LNO917114:LNO917115 LXK917114:LXK917115 MHG917114:MHG917115 MRC917114:MRC917115 NAY917114:NAY917115 NKU917114:NKU917115 NUQ917114:NUQ917115 OEM917114:OEM917115 OOI917114:OOI917115 OYE917114:OYE917115 PIA917114:PIA917115 PRW917114:PRW917115 QBS917114:QBS917115 QLO917114:QLO917115 QVK917114:QVK917115 RFG917114:RFG917115 RPC917114:RPC917115 RYY917114:RYY917115 SIU917114:SIU917115 SSQ917114:SSQ917115 TCM917114:TCM917115 TMI917114:TMI917115 TWE917114:TWE917115 UGA917114:UGA917115 UPW917114:UPW917115 UZS917114:UZS917115 VJO917114:VJO917115 VTK917114:VTK917115 WDG917114:WDG917115 WNC917114:WNC917115 WWY917114:WWY917115 AM65146:AM65147 KI65146:KI65147 UE65146:UE65147 AEA65146:AEA65147 ANW65146:ANW65147 AXS65146:AXS65147 BHO65146:BHO65147 BRK65146:BRK65147 CBG65146:CBG65147 CLC65146:CLC65147 CUY65146:CUY65147 DEU65146:DEU65147 DOQ65146:DOQ65147 DYM65146:DYM65147 EII65146:EII65147 ESE65146:ESE65147 FCA65146:FCA65147 FLW65146:FLW65147 FVS65146:FVS65147 GFO65146:GFO65147 GPK65146:GPK65147 GZG65146:GZG65147 HJC65146:HJC65147 HSY65146:HSY65147 ICU65146:ICU65147 IMQ65146:IMQ65147 IWM65146:IWM65147 JGI65146:JGI65147 JQE65146:JQE65147 KAA65146:KAA65147 KJW65146:KJW65147 KTS65146:KTS65147 LDO65146:LDO65147 LNK65146:LNK65147 LXG65146:LXG65147 MHC65146:MHC65147 MQY65146:MQY65147 NAU65146:NAU65147 NKQ65146:NKQ65147 NUM65146:NUM65147 OEI65146:OEI65147 OOE65146:OOE65147 OYA65146:OYA65147 PHW65146:PHW65147 PRS65146:PRS65147 QBO65146:QBO65147 QLK65146:QLK65147 QVG65146:QVG65147 RFC65146:RFC65147 ROY65146:ROY65147 RYU65146:RYU65147 SIQ65146:SIQ65147 SSM65146:SSM65147 TCI65146:TCI65147 TME65146:TME65147 TWA65146:TWA65147 UFW65146:UFW65147 UPS65146:UPS65147 UZO65146:UZO65147 VJK65146:VJK65147 VTG65146:VTG65147 WDC65146:WDC65147 WMY65146:WMY65147 WWU65146:WWU65147 AM130682:AM130683 KI130682:KI130683 UE130682:UE130683 AEA130682:AEA130683 ANW130682:ANW130683 AXS130682:AXS130683 BHO130682:BHO130683 BRK130682:BRK130683 CBG130682:CBG130683 CLC130682:CLC130683 CUY130682:CUY130683 DEU130682:DEU130683 DOQ130682:DOQ130683 DYM130682:DYM130683 EII130682:EII130683 ESE130682:ESE130683 FCA130682:FCA130683 FLW130682:FLW130683 FVS130682:FVS130683 GFO130682:GFO130683 GPK130682:GPK130683 GZG130682:GZG130683 HJC130682:HJC130683 HSY130682:HSY130683 ICU130682:ICU130683 IMQ130682:IMQ130683 IWM130682:IWM130683 JGI130682:JGI130683 JQE130682:JQE130683 KAA130682:KAA130683 KJW130682:KJW130683 KTS130682:KTS130683 LDO130682:LDO130683 LNK130682:LNK130683 LXG130682:LXG130683 MHC130682:MHC130683 MQY130682:MQY130683 NAU130682:NAU130683 NKQ130682:NKQ130683 NUM130682:NUM130683 OEI130682:OEI130683 OOE130682:OOE130683 OYA130682:OYA130683 PHW130682:PHW130683 PRS130682:PRS130683 QBO130682:QBO130683 QLK130682:QLK130683 QVG130682:QVG130683 RFC130682:RFC130683 ROY130682:ROY130683 RYU130682:RYU130683 SIQ130682:SIQ130683 SSM130682:SSM130683 TCI130682:TCI130683 TME130682:TME130683 TWA130682:TWA130683 UFW130682:UFW130683 UPS130682:UPS130683 UZO130682:UZO130683 VJK130682:VJK130683 VTG130682:VTG130683 WDC130682:WDC130683 WMY130682:WMY130683 WWU130682:WWU130683 AM196218:AM196219 KI196218:KI196219 UE196218:UE196219 AEA196218:AEA196219 ANW196218:ANW196219 AXS196218:AXS196219 BHO196218:BHO196219 BRK196218:BRK196219 CBG196218:CBG196219 CLC196218:CLC196219 CUY196218:CUY196219 DEU196218:DEU196219 DOQ196218:DOQ196219 DYM196218:DYM196219 EII196218:EII196219 ESE196218:ESE196219 FCA196218:FCA196219 FLW196218:FLW196219 FVS196218:FVS196219 GFO196218:GFO196219 GPK196218:GPK196219 GZG196218:GZG196219 HJC196218:HJC196219 HSY196218:HSY196219 ICU196218:ICU196219 IMQ196218:IMQ196219 IWM196218:IWM196219 JGI196218:JGI196219 JQE196218:JQE196219 KAA196218:KAA196219 KJW196218:KJW196219 KTS196218:KTS196219 LDO196218:LDO196219 LNK196218:LNK196219 LXG196218:LXG196219 MHC196218:MHC196219 MQY196218:MQY196219 NAU196218:NAU196219 NKQ196218:NKQ196219 NUM196218:NUM196219 OEI196218:OEI196219 OOE196218:OOE196219 OYA196218:OYA196219 PHW196218:PHW196219 PRS196218:PRS196219 QBO196218:QBO196219 QLK196218:QLK196219 QVG196218:QVG196219 RFC196218:RFC196219 ROY196218:ROY196219 RYU196218:RYU196219 SIQ196218:SIQ196219 SSM196218:SSM196219 TCI196218:TCI196219 TME196218:TME196219 TWA196218:TWA196219 UFW196218:UFW196219 UPS196218:UPS196219 UZO196218:UZO196219 VJK196218:VJK196219 VTG196218:VTG196219 WDC196218:WDC196219 WMY196218:WMY196219 WWU196218:WWU196219 AM261754:AM261755 KI261754:KI261755 UE261754:UE261755 AEA261754:AEA261755 ANW261754:ANW261755 AXS261754:AXS261755 BHO261754:BHO261755 BRK261754:BRK261755 CBG261754:CBG261755 CLC261754:CLC261755 CUY261754:CUY261755 DEU261754:DEU261755 DOQ261754:DOQ261755 DYM261754:DYM261755 EII261754:EII261755 ESE261754:ESE261755 FCA261754:FCA261755 FLW261754:FLW261755 FVS261754:FVS261755 GFO261754:GFO261755 GPK261754:GPK261755 GZG261754:GZG261755 HJC261754:HJC261755 HSY261754:HSY261755 ICU261754:ICU261755 IMQ261754:IMQ261755 IWM261754:IWM261755 JGI261754:JGI261755 JQE261754:JQE261755 KAA261754:KAA261755 KJW261754:KJW261755 KTS261754:KTS261755 LDO261754:LDO261755 LNK261754:LNK261755 LXG261754:LXG261755 MHC261754:MHC261755 MQY261754:MQY261755 NAU261754:NAU261755 NKQ261754:NKQ261755 NUM261754:NUM261755 OEI261754:OEI261755 OOE261754:OOE261755 OYA261754:OYA261755 PHW261754:PHW261755 PRS261754:PRS261755 QBO261754:QBO261755 QLK261754:QLK261755 QVG261754:QVG261755 RFC261754:RFC261755 ROY261754:ROY261755 RYU261754:RYU261755 SIQ261754:SIQ261755 SSM261754:SSM261755 TCI261754:TCI261755 TME261754:TME261755 TWA261754:TWA261755 UFW261754:UFW261755 UPS261754:UPS261755 UZO261754:UZO261755 VJK261754:VJK261755 VTG261754:VTG261755 WDC261754:WDC261755 WMY261754:WMY261755 WWU261754:WWU261755 AM327290:AM327291 KI327290:KI327291 UE327290:UE327291 AEA327290:AEA327291 ANW327290:ANW327291 AXS327290:AXS327291 BHO327290:BHO327291 BRK327290:BRK327291 CBG327290:CBG327291 CLC327290:CLC327291 CUY327290:CUY327291 DEU327290:DEU327291 DOQ327290:DOQ327291 DYM327290:DYM327291 EII327290:EII327291 ESE327290:ESE327291 FCA327290:FCA327291 FLW327290:FLW327291 FVS327290:FVS327291 GFO327290:GFO327291 GPK327290:GPK327291 GZG327290:GZG327291 HJC327290:HJC327291 HSY327290:HSY327291 ICU327290:ICU327291 IMQ327290:IMQ327291 IWM327290:IWM327291 JGI327290:JGI327291 JQE327290:JQE327291 KAA327290:KAA327291 KJW327290:KJW327291 KTS327290:KTS327291 LDO327290:LDO327291 LNK327290:LNK327291 LXG327290:LXG327291 MHC327290:MHC327291 MQY327290:MQY327291 NAU327290:NAU327291 NKQ327290:NKQ327291 NUM327290:NUM327291 OEI327290:OEI327291 OOE327290:OOE327291 OYA327290:OYA327291 PHW327290:PHW327291 PRS327290:PRS327291 QBO327290:QBO327291 QLK327290:QLK327291 QVG327290:QVG327291 RFC327290:RFC327291 ROY327290:ROY327291 RYU327290:RYU327291 SIQ327290:SIQ327291 SSM327290:SSM327291 TCI327290:TCI327291 TME327290:TME327291 TWA327290:TWA327291 UFW327290:UFW327291 UPS327290:UPS327291 UZO327290:UZO327291 VJK327290:VJK327291 VTG327290:VTG327291 WDC327290:WDC327291 WMY327290:WMY327291 WWU327290:WWU327291 AM392826:AM392827 KI392826:KI392827 UE392826:UE392827 AEA392826:AEA392827 ANW392826:ANW392827 AXS392826:AXS392827 BHO392826:BHO392827 BRK392826:BRK392827 CBG392826:CBG392827 CLC392826:CLC392827 CUY392826:CUY392827 DEU392826:DEU392827 DOQ392826:DOQ392827 DYM392826:DYM392827 EII392826:EII392827 ESE392826:ESE392827 FCA392826:FCA392827 FLW392826:FLW392827 FVS392826:FVS392827 GFO392826:GFO392827 GPK392826:GPK392827 GZG392826:GZG392827 HJC392826:HJC392827 HSY392826:HSY392827 ICU392826:ICU392827 IMQ392826:IMQ392827 IWM392826:IWM392827 JGI392826:JGI392827 JQE392826:JQE392827 KAA392826:KAA392827 KJW392826:KJW392827 KTS392826:KTS392827 LDO392826:LDO392827 LNK392826:LNK392827 LXG392826:LXG392827 MHC392826:MHC392827 MQY392826:MQY392827 NAU392826:NAU392827 NKQ392826:NKQ392827 NUM392826:NUM392827 OEI392826:OEI392827 OOE392826:OOE392827 OYA392826:OYA392827 PHW392826:PHW392827 PRS392826:PRS392827 QBO392826:QBO392827 QLK392826:QLK392827 QVG392826:QVG392827 RFC392826:RFC392827 ROY392826:ROY392827 RYU392826:RYU392827 SIQ392826:SIQ392827 SSM392826:SSM392827 TCI392826:TCI392827 TME392826:TME392827 TWA392826:TWA392827 UFW392826:UFW392827 UPS392826:UPS392827 UZO392826:UZO392827 VJK392826:VJK392827 VTG392826:VTG392827 WDC392826:WDC392827 WMY392826:WMY392827 WWU392826:WWU392827 AM458362:AM458363 KI458362:KI458363 UE458362:UE458363 AEA458362:AEA458363 ANW458362:ANW458363 AXS458362:AXS458363 BHO458362:BHO458363 BRK458362:BRK458363 CBG458362:CBG458363 CLC458362:CLC458363 CUY458362:CUY458363 DEU458362:DEU458363 DOQ458362:DOQ458363 DYM458362:DYM458363 EII458362:EII458363 ESE458362:ESE458363 FCA458362:FCA458363 FLW458362:FLW458363 FVS458362:FVS458363 GFO458362:GFO458363 GPK458362:GPK458363 GZG458362:GZG458363 HJC458362:HJC458363 HSY458362:HSY458363 ICU458362:ICU458363 IMQ458362:IMQ458363 IWM458362:IWM458363 JGI458362:JGI458363 JQE458362:JQE458363 KAA458362:KAA458363 KJW458362:KJW458363 KTS458362:KTS458363 LDO458362:LDO458363 LNK458362:LNK458363 LXG458362:LXG458363 MHC458362:MHC458363 MQY458362:MQY458363 NAU458362:NAU458363 NKQ458362:NKQ458363 NUM458362:NUM458363 OEI458362:OEI458363 OOE458362:OOE458363 OYA458362:OYA458363 PHW458362:PHW458363 PRS458362:PRS458363 QBO458362:QBO458363 QLK458362:QLK458363 QVG458362:QVG458363 RFC458362:RFC458363 ROY458362:ROY458363 RYU458362:RYU458363 SIQ458362:SIQ458363 SSM458362:SSM458363 TCI458362:TCI458363 TME458362:TME458363 TWA458362:TWA458363 UFW458362:UFW458363 UPS458362:UPS458363 UZO458362:UZO458363 VJK458362:VJK458363 VTG458362:VTG458363 WDC458362:WDC458363 WMY458362:WMY458363 WWU458362:WWU458363 AM523898:AM523899 KI523898:KI523899 UE523898:UE523899 AEA523898:AEA523899 ANW523898:ANW523899 AXS523898:AXS523899 BHO523898:BHO523899 BRK523898:BRK523899 CBG523898:CBG523899 CLC523898:CLC523899 CUY523898:CUY523899 DEU523898:DEU523899 DOQ523898:DOQ523899 DYM523898:DYM523899 EII523898:EII523899 ESE523898:ESE523899 FCA523898:FCA523899 FLW523898:FLW523899 FVS523898:FVS523899 GFO523898:GFO523899 GPK523898:GPK523899 GZG523898:GZG523899 HJC523898:HJC523899 HSY523898:HSY523899 ICU523898:ICU523899 IMQ523898:IMQ523899 IWM523898:IWM523899 JGI523898:JGI523899 JQE523898:JQE523899 KAA523898:KAA523899 KJW523898:KJW523899 KTS523898:KTS523899 LDO523898:LDO523899 LNK523898:LNK523899 LXG523898:LXG523899 MHC523898:MHC523899 MQY523898:MQY523899 NAU523898:NAU523899 NKQ523898:NKQ523899 NUM523898:NUM523899 OEI523898:OEI523899 OOE523898:OOE523899 OYA523898:OYA523899 PHW523898:PHW523899 PRS523898:PRS523899 QBO523898:QBO523899 QLK523898:QLK523899 QVG523898:QVG523899 RFC523898:RFC523899 ROY523898:ROY523899 RYU523898:RYU523899 SIQ523898:SIQ523899 SSM523898:SSM523899 TCI523898:TCI523899 TME523898:TME523899 TWA523898:TWA523899 UFW523898:UFW523899 UPS523898:UPS523899 UZO523898:UZO523899 VJK523898:VJK523899 VTG523898:VTG523899 WDC523898:WDC523899 WMY523898:WMY523899 WWU523898:WWU523899 AM589434:AM589435 KI589434:KI589435 UE589434:UE589435 AEA589434:AEA589435 ANW589434:ANW589435 AXS589434:AXS589435 BHO589434:BHO589435 BRK589434:BRK589435 CBG589434:CBG589435 CLC589434:CLC589435 CUY589434:CUY589435 DEU589434:DEU589435 DOQ589434:DOQ589435 DYM589434:DYM589435 EII589434:EII589435 ESE589434:ESE589435 FCA589434:FCA589435 FLW589434:FLW589435 FVS589434:FVS589435 GFO589434:GFO589435 GPK589434:GPK589435 GZG589434:GZG589435 HJC589434:HJC589435 HSY589434:HSY589435 ICU589434:ICU589435 IMQ589434:IMQ589435 IWM589434:IWM589435 JGI589434:JGI589435 JQE589434:JQE589435 KAA589434:KAA589435 KJW589434:KJW589435 KTS589434:KTS589435 LDO589434:LDO589435 LNK589434:LNK589435 LXG589434:LXG589435 MHC589434:MHC589435 MQY589434:MQY589435 NAU589434:NAU589435 NKQ589434:NKQ589435 NUM589434:NUM589435 OEI589434:OEI589435 OOE589434:OOE589435 OYA589434:OYA589435 PHW589434:PHW589435 PRS589434:PRS589435 QBO589434:QBO589435 QLK589434:QLK589435 QVG589434:QVG589435 RFC589434:RFC589435 ROY589434:ROY589435 RYU589434:RYU589435 SIQ589434:SIQ589435 SSM589434:SSM589435 TCI589434:TCI589435 TME589434:TME589435 TWA589434:TWA589435 UFW589434:UFW589435 UPS589434:UPS589435 UZO589434:UZO589435 VJK589434:VJK589435 VTG589434:VTG589435 WDC589434:WDC589435 WMY589434:WMY589435 WWU589434:WWU589435 AM654970:AM654971 KI654970:KI654971 UE654970:UE654971 AEA654970:AEA654971 ANW654970:ANW654971 AXS654970:AXS654971 BHO654970:BHO654971 BRK654970:BRK654971 CBG654970:CBG654971 CLC654970:CLC654971 CUY654970:CUY654971 DEU654970:DEU654971 DOQ654970:DOQ654971 DYM654970:DYM654971 EII654970:EII654971 ESE654970:ESE654971 FCA654970:FCA654971 FLW654970:FLW654971 FVS654970:FVS654971 GFO654970:GFO654971 GPK654970:GPK654971 GZG654970:GZG654971 HJC654970:HJC654971 HSY654970:HSY654971 ICU654970:ICU654971 IMQ654970:IMQ654971 IWM654970:IWM654971 JGI654970:JGI654971 JQE654970:JQE654971 KAA654970:KAA654971 KJW654970:KJW654971 KTS654970:KTS654971 LDO654970:LDO654971 LNK654970:LNK654971 LXG654970:LXG654971 MHC654970:MHC654971 MQY654970:MQY654971 NAU654970:NAU654971 NKQ654970:NKQ654971 NUM654970:NUM654971 OEI654970:OEI654971 OOE654970:OOE654971 OYA654970:OYA654971 PHW654970:PHW654971 PRS654970:PRS654971 QBO654970:QBO654971 QLK654970:QLK654971 QVG654970:QVG654971 RFC654970:RFC654971 ROY654970:ROY654971 RYU654970:RYU654971 SIQ654970:SIQ654971 SSM654970:SSM654971 TCI654970:TCI654971 TME654970:TME654971 TWA654970:TWA654971 UFW654970:UFW654971 UPS654970:UPS654971 UZO654970:UZO654971 VJK654970:VJK654971 VTG654970:VTG654971 WDC654970:WDC654971 WMY654970:WMY654971 WWU654970:WWU654971 AM720506:AM720507 KI720506:KI720507 UE720506:UE720507 AEA720506:AEA720507 ANW720506:ANW720507 AXS720506:AXS720507 BHO720506:BHO720507 BRK720506:BRK720507 CBG720506:CBG720507 CLC720506:CLC720507 CUY720506:CUY720507 DEU720506:DEU720507 DOQ720506:DOQ720507 DYM720506:DYM720507 EII720506:EII720507 ESE720506:ESE720507 FCA720506:FCA720507 FLW720506:FLW720507 FVS720506:FVS720507 GFO720506:GFO720507 GPK720506:GPK720507 GZG720506:GZG720507 HJC720506:HJC720507 HSY720506:HSY720507 ICU720506:ICU720507 IMQ720506:IMQ720507 IWM720506:IWM720507 JGI720506:JGI720507 JQE720506:JQE720507 KAA720506:KAA720507 KJW720506:KJW720507 KTS720506:KTS720507 LDO720506:LDO720507 LNK720506:LNK720507 LXG720506:LXG720507 MHC720506:MHC720507 MQY720506:MQY720507 NAU720506:NAU720507 NKQ720506:NKQ720507 NUM720506:NUM720507 OEI720506:OEI720507 OOE720506:OOE720507 OYA720506:OYA720507 PHW720506:PHW720507 PRS720506:PRS720507 QBO720506:QBO720507 QLK720506:QLK720507 QVG720506:QVG720507 RFC720506:RFC720507 ROY720506:ROY720507 RYU720506:RYU720507 SIQ720506:SIQ720507 SSM720506:SSM720507 TCI720506:TCI720507 TME720506:TME720507 TWA720506:TWA720507 UFW720506:UFW720507 UPS720506:UPS720507 UZO720506:UZO720507 VJK720506:VJK720507 VTG720506:VTG720507 WDC720506:WDC720507 WMY720506:WMY720507 WWU720506:WWU720507 AM786042:AM786043 KI786042:KI786043 UE786042:UE786043 AEA786042:AEA786043 ANW786042:ANW786043 AXS786042:AXS786043 BHO786042:BHO786043 BRK786042:BRK786043 CBG786042:CBG786043 CLC786042:CLC786043 CUY786042:CUY786043 DEU786042:DEU786043 DOQ786042:DOQ786043 DYM786042:DYM786043 EII786042:EII786043 ESE786042:ESE786043 FCA786042:FCA786043 FLW786042:FLW786043 FVS786042:FVS786043 GFO786042:GFO786043 GPK786042:GPK786043 GZG786042:GZG786043 HJC786042:HJC786043 HSY786042:HSY786043 ICU786042:ICU786043 IMQ786042:IMQ786043 IWM786042:IWM786043 JGI786042:JGI786043 JQE786042:JQE786043 KAA786042:KAA786043 KJW786042:KJW786043 KTS786042:KTS786043 LDO786042:LDO786043 LNK786042:LNK786043 LXG786042:LXG786043 MHC786042:MHC786043 MQY786042:MQY786043 NAU786042:NAU786043 NKQ786042:NKQ786043 NUM786042:NUM786043 OEI786042:OEI786043 OOE786042:OOE786043 OYA786042:OYA786043 PHW786042:PHW786043 PRS786042:PRS786043 QBO786042:QBO786043 QLK786042:QLK786043 QVG786042:QVG786043 RFC786042:RFC786043 ROY786042:ROY786043 RYU786042:RYU786043 SIQ786042:SIQ786043 SSM786042:SSM786043 TCI786042:TCI786043 TME786042:TME786043 TWA786042:TWA786043 UFW786042:UFW786043 UPS786042:UPS786043 UZO786042:UZO786043 VJK786042:VJK786043 VTG786042:VTG786043 WDC786042:WDC786043 WMY786042:WMY786043 WWU786042:WWU786043 AM851578:AM851579 KI851578:KI851579 UE851578:UE851579 AEA851578:AEA851579 ANW851578:ANW851579 AXS851578:AXS851579 BHO851578:BHO851579 BRK851578:BRK851579 CBG851578:CBG851579 CLC851578:CLC851579 CUY851578:CUY851579 DEU851578:DEU851579 DOQ851578:DOQ851579 DYM851578:DYM851579 EII851578:EII851579 ESE851578:ESE851579 FCA851578:FCA851579 FLW851578:FLW851579 FVS851578:FVS851579 GFO851578:GFO851579 GPK851578:GPK851579 GZG851578:GZG851579 HJC851578:HJC851579 HSY851578:HSY851579 ICU851578:ICU851579 IMQ851578:IMQ851579 IWM851578:IWM851579 JGI851578:JGI851579 JQE851578:JQE851579 KAA851578:KAA851579 KJW851578:KJW851579 KTS851578:KTS851579 LDO851578:LDO851579 LNK851578:LNK851579 LXG851578:LXG851579 MHC851578:MHC851579 MQY851578:MQY851579 NAU851578:NAU851579 NKQ851578:NKQ851579 NUM851578:NUM851579 OEI851578:OEI851579 OOE851578:OOE851579 OYA851578:OYA851579 PHW851578:PHW851579 PRS851578:PRS851579 QBO851578:QBO851579 QLK851578:QLK851579 QVG851578:QVG851579 RFC851578:RFC851579 ROY851578:ROY851579 RYU851578:RYU851579 SIQ851578:SIQ851579 SSM851578:SSM851579 TCI851578:TCI851579 TME851578:TME851579 TWA851578:TWA851579 UFW851578:UFW851579 UPS851578:UPS851579 UZO851578:UZO851579 VJK851578:VJK851579 VTG851578:VTG851579 WDC851578:WDC851579 WMY851578:WMY851579 WWU851578:WWU851579 AM917114:AM917115 KI917114:KI917115 UE917114:UE917115 AEA917114:AEA917115 ANW917114:ANW917115 AXS917114:AXS917115 BHO917114:BHO917115 BRK917114:BRK917115 CBG917114:CBG917115 CLC917114:CLC917115 CUY917114:CUY917115 DEU917114:DEU917115 DOQ917114:DOQ917115 DYM917114:DYM917115 EII917114:EII917115 ESE917114:ESE917115 FCA917114:FCA917115 FLW917114:FLW917115 FVS917114:FVS917115 GFO917114:GFO917115 GPK917114:GPK917115 GZG917114:GZG917115 HJC917114:HJC917115 HSY917114:HSY917115 ICU917114:ICU917115 IMQ917114:IMQ917115 IWM917114:IWM917115 JGI917114:JGI917115 JQE917114:JQE917115 KAA917114:KAA917115 KJW917114:KJW917115 KTS917114:KTS917115 LDO917114:LDO917115 LNK917114:LNK917115 LXG917114:LXG917115 MHC917114:MHC917115 MQY917114:MQY917115 NAU917114:NAU917115 NKQ917114:NKQ917115 NUM917114:NUM917115 OEI917114:OEI917115 OOE917114:OOE917115 OYA917114:OYA917115 PHW917114:PHW917115 PRS917114:PRS917115 QBO917114:QBO917115 QLK917114:QLK917115 QVG917114:QVG917115 RFC917114:RFC917115 ROY917114:ROY917115 RYU917114:RYU917115 SIQ917114:SIQ917115 SSM917114:SSM917115 TCI917114:TCI917115 TME917114:TME917115 TWA917114:TWA917115 UFW917114:UFW917115 UPS917114:UPS917115 UZO917114:UZO917115 VJK917114:VJK917115 VTG917114:VTG917115 WDC917114:WDC917115 WMY917114:WMY917115 WWU917114:WWU917115 AM982650:AM982651 KI982650:KI982651 UE982650:UE982651 AEA982650:AEA982651 ANW982650:ANW982651 AXS982650:AXS982651 BHO982650:BHO982651 BRK982650:BRK982651 CBG982650:CBG982651 CLC982650:CLC982651 CUY982650:CUY982651 DEU982650:DEU982651 DOQ982650:DOQ982651 DYM982650:DYM982651 EII982650:EII982651 ESE982650:ESE982651 FCA982650:FCA982651 FLW982650:FLW982651 FVS982650:FVS982651 GFO982650:GFO982651 GPK982650:GPK982651 GZG982650:GZG982651 HJC982650:HJC982651 HSY982650:HSY982651 ICU982650:ICU982651 IMQ982650:IMQ982651 IWM982650:IWM982651 JGI982650:JGI982651 JQE982650:JQE982651 KAA982650:KAA982651 KJW982650:KJW982651 KTS982650:KTS982651 LDO982650:LDO982651 LNK982650:LNK982651 LXG982650:LXG982651 MHC982650:MHC982651 MQY982650:MQY982651 NAU982650:NAU982651 NKQ982650:NKQ982651 NUM982650:NUM982651 OEI982650:OEI982651 OOE982650:OOE982651 OYA982650:OYA982651 PHW982650:PHW982651 PRS982650:PRS982651 QBO982650:QBO982651 QLK982650:QLK982651 QVG982650:QVG982651 RFC982650:RFC982651 ROY982650:ROY982651 RYU982650:RYU982651 SIQ982650:SIQ982651 SSM982650:SSM982651 TCI982650:TCI982651 TME982650:TME982651 TWA982650:TWA982651 UFW982650:UFW982651 UPS982650:UPS982651 UZO982650:UZO982651 VJK982650:VJK982651 VTG982650:VTG982651 WDC982650:WDC982651 WMY982650:WMY982651 WWU982650:WWU982651 AQ982650:AQ982651 KM982650:KM982651 UI982650:UI982651 AEE982650:AEE982651 AOA982650:AOA982651 AXW982650:AXW982651 BHS982650:BHS982651 BRO982650:BRO982651 CBK982650:CBK982651 CLG982650:CLG982651 CVC982650:CVC982651 DEY982650:DEY982651 DOU982650:DOU982651 DYQ982650:DYQ982651 EIM982650:EIM982651 ESI982650:ESI982651 FCE982650:FCE982651 FMA982650:FMA982651 FVW982650:FVW982651 GFS982650:GFS982651 GPO982650:GPO982651 GZK982650:GZK982651 HJG982650:HJG982651 HTC982650:HTC982651 ICY982650:ICY982651 IMU982650:IMU982651 IWQ982650:IWQ982651 JGM982650:JGM982651 JQI982650:JQI982651 KAE982650:KAE982651 KKA982650:KKA982651 KTW982650:KTW982651 LDS982650:LDS982651 LNO982650:LNO982651 LXK982650:LXK982651 MHG982650:MHG982651 MRC982650:MRC982651 NAY982650:NAY982651 NKU982650:NKU982651 NUQ982650:NUQ982651 OEM982650:OEM982651 OOI982650:OOI982651 OYE982650:OYE982651 PIA982650:PIA982651 PRW982650:PRW982651 QBS982650:QBS982651 QLO982650:QLO982651 QVK982650:QVK982651 RFG982650:RFG982651 RPC982650:RPC982651 RYY982650:RYY982651 SIU982650:SIU982651 SSQ982650:SSQ982651 TCM982650:TCM982651 TMI982650:TMI982651 TWE982650:TWE982651 UGA982650:UGA982651 UPW982650:UPW982651 UZS982650:UZS982651 VJO982650:VJO982651 VTK982650:VTK982651 WDG982650:WDG982651 WNC982650:WNC982651 WWY982650:WWY982651 AQ65146:AQ65147 KM65146:KM65147 UI65146:UI65147 AEE65146:AEE65147 AOA65146:AOA65147 AXW65146:AXW65147 BHS65146:BHS65147 BRO65146:BRO65147 CBK65146:CBK65147 CLG65146:CLG65147 CVC65146:CVC65147 DEY65146:DEY65147 DOU65146:DOU65147 DYQ65146:DYQ65147 EIM65146:EIM65147 ESI65146:ESI65147 FCE65146:FCE65147 FMA65146:FMA65147 FVW65146:FVW65147 GFS65146:GFS65147 GPO65146:GPO65147 GZK65146:GZK65147 HJG65146:HJG65147 HTC65146:HTC65147 ICY65146:ICY65147 IMU65146:IMU65147 IWQ65146:IWQ65147 JGM65146:JGM65147 JQI65146:JQI65147 KAE65146:KAE65147 KKA65146:KKA65147 KTW65146:KTW65147 LDS65146:LDS65147 LNO65146:LNO65147 LXK65146:LXK65147 MHG65146:MHG65147 MRC65146:MRC65147 NAY65146:NAY65147 NKU65146:NKU65147 NUQ65146:NUQ65147 OEM65146:OEM65147 OOI65146:OOI65147 OYE65146:OYE65147 PIA65146:PIA65147 PRW65146:PRW65147 QBS65146:QBS65147 QLO65146:QLO65147 QVK65146:QVK65147 RFG65146:RFG65147 RPC65146:RPC65147 RYY65146:RYY65147 SIU65146:SIU65147 SSQ65146:SSQ65147 TCM65146:TCM65147 TMI65146:TMI65147 TWE65146:TWE65147 UGA65146:UGA65147 UPW65146:UPW65147 UZS65146:UZS65147 VJO65146:VJO65147 VTK65146:VTK65147 WDG65146:WDG65147 WNC65146:WNC65147 WWY65146:WWY65147 AQ130682:AQ130683 KM130682:KM130683 UI130682:UI130683 AEE130682:AEE130683 AOA130682:AOA130683 AXW130682:AXW130683 BHS130682:BHS130683 BRO130682:BRO130683 CBK130682:CBK130683 CLG130682:CLG130683 CVC130682:CVC130683 DEY130682:DEY130683 DOU130682:DOU130683 DYQ130682:DYQ130683 EIM130682:EIM130683 ESI130682:ESI130683 FCE130682:FCE130683 FMA130682:FMA130683 FVW130682:FVW130683 GFS130682:GFS130683 GPO130682:GPO130683 GZK130682:GZK130683 HJG130682:HJG130683 HTC130682:HTC130683 ICY130682:ICY130683 IMU130682:IMU130683 IWQ130682:IWQ130683 JGM130682:JGM130683 JQI130682:JQI130683 KAE130682:KAE130683 KKA130682:KKA130683 KTW130682:KTW130683 LDS130682:LDS130683 LNO130682:LNO130683 LXK130682:LXK130683 MHG130682:MHG130683 MRC130682:MRC130683 NAY130682:NAY130683 NKU130682:NKU130683 NUQ130682:NUQ130683 OEM130682:OEM130683 OOI130682:OOI130683 OYE130682:OYE130683 PIA130682:PIA130683 PRW130682:PRW130683 QBS130682:QBS130683 QLO130682:QLO130683 QVK130682:QVK130683 RFG130682:RFG130683 RPC130682:RPC130683 RYY130682:RYY130683 SIU130682:SIU130683 SSQ130682:SSQ130683 TCM130682:TCM130683 TMI130682:TMI130683 TWE130682:TWE130683 UGA130682:UGA130683 UPW130682:UPW130683 UZS130682:UZS130683 VJO130682:VJO130683 VTK130682:VTK130683 WDG130682:WDG130683 WNC130682:WNC130683 WWY130682:WWY130683 AQ196218:AQ196219 KM196218:KM196219 UI196218:UI196219 AEE196218:AEE196219 AOA196218:AOA196219 AXW196218:AXW196219 BHS196218:BHS196219 BRO196218:BRO196219 CBK196218:CBK196219 CLG196218:CLG196219 CVC196218:CVC196219 DEY196218:DEY196219 DOU196218:DOU196219 DYQ196218:DYQ196219 EIM196218:EIM196219 ESI196218:ESI196219 FCE196218:FCE196219 FMA196218:FMA196219 FVW196218:FVW196219 GFS196218:GFS196219 GPO196218:GPO196219 GZK196218:GZK196219 HJG196218:HJG196219 HTC196218:HTC196219 ICY196218:ICY196219 IMU196218:IMU196219 IWQ196218:IWQ196219 JGM196218:JGM196219 JQI196218:JQI196219 KAE196218:KAE196219 KKA196218:KKA196219 KTW196218:KTW196219 LDS196218:LDS196219 LNO196218:LNO196219 LXK196218:LXK196219 MHG196218:MHG196219 MRC196218:MRC196219 NAY196218:NAY196219 NKU196218:NKU196219 NUQ196218:NUQ196219 OEM196218:OEM196219 OOI196218:OOI196219 OYE196218:OYE196219 PIA196218:PIA196219 PRW196218:PRW196219 QBS196218:QBS196219 QLO196218:QLO196219 QVK196218:QVK196219 RFG196218:RFG196219 RPC196218:RPC196219 RYY196218:RYY196219 SIU196218:SIU196219 SSQ196218:SSQ196219 TCM196218:TCM196219 TMI196218:TMI196219 TWE196218:TWE196219 UGA196218:UGA196219 UPW196218:UPW196219 UZS196218:UZS196219 VJO196218:VJO196219 VTK196218:VTK196219 WDG196218:WDG196219 WNC196218:WNC196219 WWY196218:WWY196219 AQ261754:AQ261755 KM261754:KM261755 UI261754:UI261755 AEE261754:AEE261755 AOA261754:AOA261755 AXW261754:AXW261755 BHS261754:BHS261755 BRO261754:BRO261755 CBK261754:CBK261755 CLG261754:CLG261755 CVC261754:CVC261755 DEY261754:DEY261755 DOU261754:DOU261755 DYQ261754:DYQ261755 EIM261754:EIM261755 ESI261754:ESI261755 FCE261754:FCE261755 FMA261754:FMA261755 FVW261754:FVW261755 GFS261754:GFS261755 GPO261754:GPO261755 GZK261754:GZK261755 HJG261754:HJG261755 HTC261754:HTC261755 ICY261754:ICY261755 IMU261754:IMU261755 IWQ261754:IWQ261755 JGM261754:JGM261755 JQI261754:JQI261755 KAE261754:KAE261755 KKA261754:KKA261755 KTW261754:KTW261755 LDS261754:LDS261755 LNO261754:LNO261755 LXK261754:LXK261755 MHG261754:MHG261755 MRC261754:MRC261755 NAY261754:NAY261755 NKU261754:NKU261755 NUQ261754:NUQ261755 OEM261754:OEM261755 OOI261754:OOI261755 OYE261754:OYE261755 PIA261754:PIA261755 PRW261754:PRW261755 QBS261754:QBS261755 QLO261754:QLO261755 QVK261754:QVK261755 RFG261754:RFG261755 RPC261754:RPC261755 RYY261754:RYY261755 SIU261754:SIU261755 SSQ261754:SSQ261755 TCM261754:TCM261755 TMI261754:TMI261755 TWE261754:TWE261755 UGA261754:UGA261755 UPW261754:UPW261755 UZS261754:UZS261755 VJO261754:VJO261755 VTK261754:VTK261755 WDG261754:WDG261755 WNC261754:WNC261755 WWY261754:WWY261755 AQ327290:AQ327291 KM327290:KM327291 UI327290:UI327291 AEE327290:AEE327291 AOA327290:AOA327291 AXW327290:AXW327291 BHS327290:BHS327291 BRO327290:BRO327291 CBK327290:CBK327291 CLG327290:CLG327291 CVC327290:CVC327291 DEY327290:DEY327291 DOU327290:DOU327291 DYQ327290:DYQ327291 EIM327290:EIM327291 ESI327290:ESI327291 FCE327290:FCE327291 FMA327290:FMA327291 FVW327290:FVW327291 GFS327290:GFS327291 GPO327290:GPO327291 GZK327290:GZK327291 HJG327290:HJG327291 HTC327290:HTC327291 ICY327290:ICY327291 IMU327290:IMU327291 IWQ327290:IWQ327291 JGM327290:JGM327291 JQI327290:JQI327291 KAE327290:KAE327291 KKA327290:KKA327291 KTW327290:KTW327291 LDS327290:LDS327291 LNO327290:LNO327291 LXK327290:LXK327291 MHG327290:MHG327291 MRC327290:MRC327291 NAY327290:NAY327291 NKU327290:NKU327291 NUQ327290:NUQ327291 OEM327290:OEM327291 OOI327290:OOI327291 OYE327290:OYE327291 PIA327290:PIA327291 PRW327290:PRW327291 QBS327290:QBS327291 QLO327290:QLO327291 QVK327290:QVK327291 RFG327290:RFG327291 RPC327290:RPC327291 RYY327290:RYY327291 SIU327290:SIU327291 SSQ327290:SSQ327291 TCM327290:TCM327291 TMI327290:TMI327291 TWE327290:TWE327291 UGA327290:UGA327291 UPW327290:UPW327291 UZS327290:UZS327291 VJO327290:VJO327291 VTK327290:VTK327291 WDG327290:WDG327291 WNC327290:WNC327291 WWY327290:WWY327291 AQ392826:AQ392827 KM392826:KM392827 UI392826:UI392827 AEE392826:AEE392827 AOA392826:AOA392827 AXW392826:AXW392827 BHS392826:BHS392827 BRO392826:BRO392827 CBK392826:CBK392827 CLG392826:CLG392827 CVC392826:CVC392827 DEY392826:DEY392827 DOU392826:DOU392827 DYQ392826:DYQ392827 EIM392826:EIM392827 ESI392826:ESI392827 FCE392826:FCE392827 FMA392826:FMA392827 FVW392826:FVW392827 GFS392826:GFS392827 GPO392826:GPO392827 GZK392826:GZK392827 HJG392826:HJG392827 HTC392826:HTC392827 ICY392826:ICY392827 IMU392826:IMU392827 IWQ392826:IWQ392827 JGM392826:JGM392827 JQI392826:JQI392827 KAE392826:KAE392827 KKA392826:KKA392827 KTW392826:KTW392827 LDS392826:LDS392827 LNO392826:LNO392827 LXK392826:LXK392827 MHG392826:MHG392827 MRC392826:MRC392827 NAY392826:NAY392827 NKU392826:NKU392827 NUQ392826:NUQ392827 OEM392826:OEM392827 OOI392826:OOI392827 OYE392826:OYE392827 PIA392826:PIA392827 PRW392826:PRW392827 QBS392826:QBS392827 QLO392826:QLO392827 QVK392826:QVK392827 RFG392826:RFG392827 RPC392826:RPC392827 RYY392826:RYY392827 SIU392826:SIU392827 SSQ392826:SSQ392827 TCM392826:TCM392827 TMI392826:TMI392827 TWE392826:TWE392827 UGA392826:UGA392827 UPW392826:UPW392827 UZS392826:UZS392827 VJO392826:VJO392827 VTK392826:VTK392827 WDG392826:WDG392827 WNC392826:WNC392827 WWY392826:WWY392827 AQ458362:AQ458363 KM458362:KM458363 UI458362:UI458363 AEE458362:AEE458363 AOA458362:AOA458363 AXW458362:AXW458363 BHS458362:BHS458363 BRO458362:BRO458363 CBK458362:CBK458363 CLG458362:CLG458363 CVC458362:CVC458363 DEY458362:DEY458363 DOU458362:DOU458363 DYQ458362:DYQ458363 EIM458362:EIM458363 ESI458362:ESI458363 FCE458362:FCE458363 FMA458362:FMA458363 FVW458362:FVW458363 GFS458362:GFS458363 GPO458362:GPO458363 GZK458362:GZK458363 HJG458362:HJG458363 HTC458362:HTC458363 ICY458362:ICY458363 IMU458362:IMU458363 IWQ458362:IWQ458363 JGM458362:JGM458363 JQI458362:JQI458363 KAE458362:KAE458363 KKA458362:KKA458363 KTW458362:KTW458363 LDS458362:LDS458363 LNO458362:LNO458363 LXK458362:LXK458363 MHG458362:MHG458363 MRC458362:MRC458363 NAY458362:NAY458363 NKU458362:NKU458363 NUQ458362:NUQ458363 OEM458362:OEM458363 OOI458362:OOI458363 OYE458362:OYE458363 PIA458362:PIA458363 PRW458362:PRW458363 QBS458362:QBS458363 QLO458362:QLO458363 QVK458362:QVK458363 RFG458362:RFG458363 RPC458362:RPC458363 RYY458362:RYY458363 SIU458362:SIU458363 SSQ458362:SSQ458363 TCM458362:TCM458363 TMI458362:TMI458363 TWE458362:TWE458363 UGA458362:UGA458363 UPW458362:UPW458363 UZS458362:UZS458363 VJO458362:VJO458363 VTK458362:VTK458363 WDG458362:WDG458363 WNC458362:WNC458363 WWY458362:WWY458363 AQ523898:AQ523899 KM523898:KM523899 UI523898:UI523899 AEE523898:AEE523899 AOA523898:AOA523899 AXW523898:AXW523899 BHS523898:BHS523899 BRO523898:BRO523899 CBK523898:CBK523899 CLG523898:CLG523899 CVC523898:CVC523899 DEY523898:DEY523899 DOU523898:DOU523899 DYQ523898:DYQ523899 EIM523898:EIM523899 ESI523898:ESI523899 FCE523898:FCE523899 FMA523898:FMA523899 FVW523898:FVW523899 GFS523898:GFS523899 GPO523898:GPO523899 GZK523898:GZK523899 HJG523898:HJG523899 HTC523898:HTC523899 ICY523898:ICY523899 IMU523898:IMU523899 IWQ523898:IWQ523899 JGM523898:JGM523899 JQI523898:JQI523899 KAE523898:KAE523899 KKA523898:KKA523899 KTW523898:KTW523899 LDS523898:LDS523899 LNO523898:LNO523899 LXK523898:LXK523899 MHG523898:MHG523899 MRC523898:MRC523899 NAY523898:NAY523899 NKU523898:NKU523899 NUQ523898:NUQ523899 OEM523898:OEM523899 OOI523898:OOI523899 OYE523898:OYE523899 PIA523898:PIA523899 PRW523898:PRW523899 QBS523898:QBS523899 QLO523898:QLO523899 QVK523898:QVK523899 RFG523898:RFG523899 RPC523898:RPC523899 RYY523898:RYY523899 SIU523898:SIU523899 SSQ523898:SSQ523899 TCM523898:TCM523899 TMI523898:TMI523899 TWE523898:TWE523899 UGA523898:UGA523899 UPW523898:UPW523899 UZS523898:UZS523899 VJO523898:VJO523899 VTK523898:VTK523899 WDG523898:WDG523899 WNC523898:WNC523899 WWY523898:WWY523899 AQ589434:AQ589435 KM589434:KM589435 UI589434:UI589435 AEE589434:AEE589435 AOA589434:AOA589435 AXW589434:AXW589435 BHS589434:BHS589435 BRO589434:BRO589435 CBK589434:CBK589435 CLG589434:CLG589435 CVC589434:CVC589435 DEY589434:DEY589435 DOU589434:DOU589435 DYQ589434:DYQ589435 EIM589434:EIM589435 ESI589434:ESI589435 FCE589434:FCE589435 FMA589434:FMA589435 FVW589434:FVW589435 GFS589434:GFS589435 GPO589434:GPO589435 GZK589434:GZK589435 HJG589434:HJG589435 HTC589434:HTC589435 ICY589434:ICY589435 IMU589434:IMU589435 IWQ589434:IWQ589435 JGM589434:JGM589435 JQI589434:JQI589435 KAE589434:KAE589435 KKA589434:KKA589435 KTW589434:KTW589435 LDS589434:LDS589435 LNO589434:LNO589435 LXK589434:LXK589435 MHG589434:MHG589435 MRC589434:MRC589435 NAY589434:NAY589435 NKU589434:NKU589435 NUQ589434:NUQ589435 OEM589434:OEM589435 OOI589434:OOI589435 OYE589434:OYE589435 PIA589434:PIA589435 PRW589434:PRW589435 QBS589434:QBS589435 QLO589434:QLO589435 QVK589434:QVK589435 RFG589434:RFG589435 RPC589434:RPC589435 RYY589434:RYY589435 SIU589434:SIU589435 SSQ589434:SSQ589435 TCM589434:TCM589435 TMI589434:TMI589435 TWE589434:TWE589435 UGA589434:UGA589435 UPW589434:UPW589435 UZS589434:UZS589435 VJO589434:VJO589435 VTK589434:VTK589435 WDG589434:WDG589435 WNC589434:WNC589435 WWY589434:WWY589435 AQ654970:AQ654971 KM654970:KM654971 UI654970:UI654971 AEE654970:AEE654971 AOA654970:AOA654971 AXW654970:AXW654971 BHS654970:BHS654971 BRO654970:BRO654971 CBK654970:CBK654971 CLG654970:CLG654971 CVC654970:CVC654971 DEY654970:DEY654971 DOU654970:DOU654971 DYQ654970:DYQ654971 EIM654970:EIM654971 ESI654970:ESI654971 FCE654970:FCE654971 FMA654970:FMA654971 FVW654970:FVW654971 GFS654970:GFS654971 GPO654970:GPO654971 GZK654970:GZK654971 HJG654970:HJG654971 HTC654970:HTC654971 ICY654970:ICY654971 IMU654970:IMU654971 IWQ654970:IWQ654971 JGM654970:JGM654971 JQI654970:JQI654971 KAE654970:KAE654971 KKA654970:KKA654971 KTW654970:KTW654971 LDS654970:LDS654971 LNO654970:LNO654971 LXK654970:LXK654971 MHG654970:MHG654971 MRC654970:MRC654971 NAY654970:NAY654971 NKU654970:NKU654971 NUQ654970:NUQ654971 OEM654970:OEM654971 OOI654970:OOI654971 OYE654970:OYE654971 PIA654970:PIA654971 PRW654970:PRW654971 QBS654970:QBS654971 QLO654970:QLO654971 QVK654970:QVK654971 RFG654970:RFG654971 RPC654970:RPC654971 RYY654970:RYY654971 SIU654970:SIU654971 SSQ654970:SSQ654971 TCM654970:TCM654971 TMI654970:TMI654971 TWE654970:TWE654971 UGA654970:UGA654971 UPW654970:UPW654971 UZS654970:UZS654971 VJO654970:VJO654971 VTK654970:VTK654971 WDG654970:WDG654971 WNC654970:WNC654971 WWY654970:WWY654971 AA3:AA4 JW3:JW4 TS3:TS4 ADO3:ADO4 ANK3:ANK4 AXG3:AXG4 BHC3:BHC4 BQY3:BQY4 CAU3:CAU4 CKQ3:CKQ4 CUM3:CUM4 DEI3:DEI4 DOE3:DOE4 DYA3:DYA4 EHW3:EHW4 ERS3:ERS4 FBO3:FBO4 FLK3:FLK4 FVG3:FVG4 GFC3:GFC4 GOY3:GOY4 GYU3:GYU4 HIQ3:HIQ4 HSM3:HSM4 ICI3:ICI4 IME3:IME4 IWA3:IWA4 JFW3:JFW4 JPS3:JPS4 JZO3:JZO4 KJK3:KJK4 KTG3:KTG4 LDC3:LDC4 LMY3:LMY4 LWU3:LWU4 MGQ3:MGQ4 MQM3:MQM4 NAI3:NAI4 NKE3:NKE4 NUA3:NUA4 ODW3:ODW4 ONS3:ONS4 OXO3:OXO4 PHK3:PHK4 PRG3:PRG4 QBC3:QBC4 QKY3:QKY4 QUU3:QUU4 REQ3:REQ4 ROM3:ROM4 RYI3:RYI4 SIE3:SIE4 SSA3:SSA4 TBW3:TBW4 TLS3:TLS4 TVO3:TVO4 UFK3:UFK4 UPG3:UPG4 UZC3:UZC4 VIY3:VIY4 VSU3:VSU4 WCQ3:WCQ4 WMM3:WMM4 WWI3:WWI4 AE3:AE4 KA3:KA4 TW3:TW4 ADS3:ADS4 ANO3:ANO4 AXK3:AXK4 BHG3:BHG4 BRC3:BRC4 CAY3:CAY4 CKU3:CKU4 CUQ3:CUQ4 DEM3:DEM4 DOI3:DOI4 DYE3:DYE4 EIA3:EIA4 ERW3:ERW4 FBS3:FBS4 FLO3:FLO4 FVK3:FVK4 GFG3:GFG4 GPC3:GPC4 GYY3:GYY4 HIU3:HIU4 HSQ3:HSQ4 ICM3:ICM4 IMI3:IMI4 IWE3:IWE4 JGA3:JGA4 JPW3:JPW4 JZS3:JZS4 KJO3:KJO4 KTK3:KTK4 LDG3:LDG4 LNC3:LNC4 LWY3:LWY4 MGU3:MGU4 MQQ3:MQQ4 NAM3:NAM4 NKI3:NKI4 NUE3:NUE4 OEA3:OEA4 ONW3:ONW4 OXS3:OXS4 PHO3:PHO4 PRK3:PRK4 QBG3:QBG4 QLC3:QLC4 QUY3:QUY4 REU3:REU4 ROQ3:ROQ4 RYM3:RYM4 SII3:SII4 SSE3:SSE4 TCA3:TCA4 TLW3:TLW4 TVS3:TVS4 UFO3:UFO4 UPK3:UPK4 UZG3:UZG4 VJC3:VJC4 VSY3:VSY4 WCU3:WCU4 WMQ3:WMQ4 WWM3:WWM4 AI3:AI4 KE3:KE4 UA3:UA4 ADW3:ADW4 ANS3:ANS4 AXO3:AXO4 BHK3:BHK4 BRG3:BRG4 CBC3:CBC4 CKY3:CKY4 CUU3:CUU4 DEQ3:DEQ4 DOM3:DOM4 DYI3:DYI4 EIE3:EIE4 ESA3:ESA4 FBW3:FBW4 FLS3:FLS4 FVO3:FVO4 GFK3:GFK4 GPG3:GPG4 GZC3:GZC4 HIY3:HIY4 HSU3:HSU4 ICQ3:ICQ4 IMM3:IMM4 IWI3:IWI4 JGE3:JGE4 JQA3:JQA4 JZW3:JZW4 KJS3:KJS4 KTO3:KTO4 LDK3:LDK4 LNG3:LNG4 LXC3:LXC4 MGY3:MGY4 MQU3:MQU4 NAQ3:NAQ4 NKM3:NKM4 NUI3:NUI4 OEE3:OEE4 OOA3:OOA4 OXW3:OXW4 PHS3:PHS4 PRO3:PRO4 QBK3:QBK4 QLG3:QLG4 QVC3:QVC4 REY3:REY4 ROU3:ROU4 RYQ3:RYQ4 SIM3:SIM4 SSI3:SSI4 TCE3:TCE4 TMA3:TMA4 TVW3:TVW4 UFS3:UFS4 UPO3:UPO4 UZK3:UZK4 VJG3:VJG4 VTC3:VTC4 WCY3:WCY4 WMU3:WMU4 WWQ3:WWQ4 AM3:AM4 KI3:KI4 UE3:UE4 AEA3:AEA4 ANW3:ANW4 AXS3:AXS4 BHO3:BHO4 BRK3:BRK4 CBG3:CBG4 CLC3:CLC4 CUY3:CUY4 DEU3:DEU4 DOQ3:DOQ4 DYM3:DYM4 EII3:EII4 ESE3:ESE4 FCA3:FCA4 FLW3:FLW4 FVS3:FVS4 GFO3:GFO4 GPK3:GPK4 GZG3:GZG4 HJC3:HJC4 HSY3:HSY4 ICU3:ICU4 IMQ3:IMQ4 IWM3:IWM4 JGI3:JGI4 JQE3:JQE4 KAA3:KAA4 KJW3:KJW4 KTS3:KTS4 LDO3:LDO4 LNK3:LNK4 LXG3:LXG4 MHC3:MHC4 MQY3:MQY4 NAU3:NAU4 NKQ3:NKQ4 NUM3:NUM4 OEI3:OEI4 OOE3:OOE4 OYA3:OYA4 PHW3:PHW4 PRS3:PRS4 QBO3:QBO4 QLK3:QLK4 QVG3:QVG4 RFC3:RFC4 ROY3:ROY4 RYU3:RYU4 SIQ3:SIQ4 SSM3:SSM4 TCI3:TCI4 TME3:TME4 TWA3:TWA4 UFW3:UFW4 UPS3:UPS4 UZO3:UZO4 VJK3:VJK4 VTG3:VTG4 WDC3:WDC4 WMY3:WMY4 WWU3:WWU4 AQ3:AQ4 KM3:KM4 UI3:UI4 AEE3:AEE4 AOA3:AOA4 AXW3:AXW4 BHS3:BHS4 BRO3:BRO4 CBK3:CBK4 CLG3:CLG4 CVC3:CVC4 DEY3:DEY4 DOU3:DOU4 DYQ3:DYQ4 EIM3:EIM4 ESI3:ESI4 FCE3:FCE4 FMA3:FMA4 FVW3:FVW4 GFS3:GFS4 GPO3:GPO4 GZK3:GZK4 HJG3:HJG4 HTC3:HTC4 ICY3:ICY4 IMU3:IMU4 IWQ3:IWQ4 JGM3:JGM4 JQI3:JQI4 KAE3:KAE4 KKA3:KKA4 KTW3:KTW4 LDS3:LDS4 LNO3:LNO4 LXK3:LXK4 MHG3:MHG4 MRC3:MRC4 NAY3:NAY4 NKU3:NKU4 NUQ3:NUQ4 OEM3:OEM4 OOI3:OOI4 OYE3:OYE4 PIA3:PIA4 PRW3:PRW4 QBS3:QBS4 QLO3:QLO4 QVK3:QVK4 RFG3:RFG4 RPC3:RPC4 RYY3:RYY4 SIU3:SIU4 SSQ3:SSQ4 TCM3:TCM4 TMI3:TMI4 TWE3:TWE4 UGA3:UGA4 UPW3:UPW4 UZS3:UZS4 VJO3:VJO4 VTK3:VTK4 WDG3:WDG4 WNC3:WNC4 WWY3:WWY4" xr:uid="{00000000-0002-0000-0900-000004000000}"/>
    <dataValidation allowBlank="1" showInputMessage="1" showErrorMessage="1" promptTitle="Warehouse ID" prompt="Enter the Warehouse ID matching a value used when Warehouses were setup in Order Stream._x000a__x000a_Reporting of inventory on a per warehouse basis is only necessary if you ship from multiple locations." sqref="AP720506:AP720507 KL720506:KL720507 UH720506:UH720507 AED720506:AED720507 ANZ720506:ANZ720507 AXV720506:AXV720507 BHR720506:BHR720507 BRN720506:BRN720507 CBJ720506:CBJ720507 CLF720506:CLF720507 CVB720506:CVB720507 DEX720506:DEX720507 DOT720506:DOT720507 DYP720506:DYP720507 EIL720506:EIL720507 ESH720506:ESH720507 FCD720506:FCD720507 FLZ720506:FLZ720507 FVV720506:FVV720507 GFR720506:GFR720507 GPN720506:GPN720507 GZJ720506:GZJ720507 HJF720506:HJF720507 HTB720506:HTB720507 ICX720506:ICX720507 IMT720506:IMT720507 IWP720506:IWP720507 JGL720506:JGL720507 JQH720506:JQH720507 KAD720506:KAD720507 KJZ720506:KJZ720507 KTV720506:KTV720507 LDR720506:LDR720507 LNN720506:LNN720507 LXJ720506:LXJ720507 MHF720506:MHF720507 MRB720506:MRB720507 NAX720506:NAX720507 NKT720506:NKT720507 NUP720506:NUP720507 OEL720506:OEL720507 OOH720506:OOH720507 OYD720506:OYD720507 PHZ720506:PHZ720507 PRV720506:PRV720507 QBR720506:QBR720507 QLN720506:QLN720507 QVJ720506:QVJ720507 RFF720506:RFF720507 RPB720506:RPB720507 RYX720506:RYX720507 SIT720506:SIT720507 SSP720506:SSP720507 TCL720506:TCL720507 TMH720506:TMH720507 TWD720506:TWD720507 UFZ720506:UFZ720507 UPV720506:UPV720507 UZR720506:UZR720507 VJN720506:VJN720507 VTJ720506:VTJ720507 WDF720506:WDF720507 WNB720506:WNB720507 WWX720506:WWX720507 Z65146:Z65147 JV65146:JV65147 TR65146:TR65147 ADN65146:ADN65147 ANJ65146:ANJ65147 AXF65146:AXF65147 BHB65146:BHB65147 BQX65146:BQX65147 CAT65146:CAT65147 CKP65146:CKP65147 CUL65146:CUL65147 DEH65146:DEH65147 DOD65146:DOD65147 DXZ65146:DXZ65147 EHV65146:EHV65147 ERR65146:ERR65147 FBN65146:FBN65147 FLJ65146:FLJ65147 FVF65146:FVF65147 GFB65146:GFB65147 GOX65146:GOX65147 GYT65146:GYT65147 HIP65146:HIP65147 HSL65146:HSL65147 ICH65146:ICH65147 IMD65146:IMD65147 IVZ65146:IVZ65147 JFV65146:JFV65147 JPR65146:JPR65147 JZN65146:JZN65147 KJJ65146:KJJ65147 KTF65146:KTF65147 LDB65146:LDB65147 LMX65146:LMX65147 LWT65146:LWT65147 MGP65146:MGP65147 MQL65146:MQL65147 NAH65146:NAH65147 NKD65146:NKD65147 NTZ65146:NTZ65147 ODV65146:ODV65147 ONR65146:ONR65147 OXN65146:OXN65147 PHJ65146:PHJ65147 PRF65146:PRF65147 QBB65146:QBB65147 QKX65146:QKX65147 QUT65146:QUT65147 REP65146:REP65147 ROL65146:ROL65147 RYH65146:RYH65147 SID65146:SID65147 SRZ65146:SRZ65147 TBV65146:TBV65147 TLR65146:TLR65147 TVN65146:TVN65147 UFJ65146:UFJ65147 UPF65146:UPF65147 UZB65146:UZB65147 VIX65146:VIX65147 VST65146:VST65147 WCP65146:WCP65147 WML65146:WML65147 WWH65146:WWH65147 Z130682:Z130683 JV130682:JV130683 TR130682:TR130683 ADN130682:ADN130683 ANJ130682:ANJ130683 AXF130682:AXF130683 BHB130682:BHB130683 BQX130682:BQX130683 CAT130682:CAT130683 CKP130682:CKP130683 CUL130682:CUL130683 DEH130682:DEH130683 DOD130682:DOD130683 DXZ130682:DXZ130683 EHV130682:EHV130683 ERR130682:ERR130683 FBN130682:FBN130683 FLJ130682:FLJ130683 FVF130682:FVF130683 GFB130682:GFB130683 GOX130682:GOX130683 GYT130682:GYT130683 HIP130682:HIP130683 HSL130682:HSL130683 ICH130682:ICH130683 IMD130682:IMD130683 IVZ130682:IVZ130683 JFV130682:JFV130683 JPR130682:JPR130683 JZN130682:JZN130683 KJJ130682:KJJ130683 KTF130682:KTF130683 LDB130682:LDB130683 LMX130682:LMX130683 LWT130682:LWT130683 MGP130682:MGP130683 MQL130682:MQL130683 NAH130682:NAH130683 NKD130682:NKD130683 NTZ130682:NTZ130683 ODV130682:ODV130683 ONR130682:ONR130683 OXN130682:OXN130683 PHJ130682:PHJ130683 PRF130682:PRF130683 QBB130682:QBB130683 QKX130682:QKX130683 QUT130682:QUT130683 REP130682:REP130683 ROL130682:ROL130683 RYH130682:RYH130683 SID130682:SID130683 SRZ130682:SRZ130683 TBV130682:TBV130683 TLR130682:TLR130683 TVN130682:TVN130683 UFJ130682:UFJ130683 UPF130682:UPF130683 UZB130682:UZB130683 VIX130682:VIX130683 VST130682:VST130683 WCP130682:WCP130683 WML130682:WML130683 WWH130682:WWH130683 Z196218:Z196219 JV196218:JV196219 TR196218:TR196219 ADN196218:ADN196219 ANJ196218:ANJ196219 AXF196218:AXF196219 BHB196218:BHB196219 BQX196218:BQX196219 CAT196218:CAT196219 CKP196218:CKP196219 CUL196218:CUL196219 DEH196218:DEH196219 DOD196218:DOD196219 DXZ196218:DXZ196219 EHV196218:EHV196219 ERR196218:ERR196219 FBN196218:FBN196219 FLJ196218:FLJ196219 FVF196218:FVF196219 GFB196218:GFB196219 GOX196218:GOX196219 GYT196218:GYT196219 HIP196218:HIP196219 HSL196218:HSL196219 ICH196218:ICH196219 IMD196218:IMD196219 IVZ196218:IVZ196219 JFV196218:JFV196219 JPR196218:JPR196219 JZN196218:JZN196219 KJJ196218:KJJ196219 KTF196218:KTF196219 LDB196218:LDB196219 LMX196218:LMX196219 LWT196218:LWT196219 MGP196218:MGP196219 MQL196218:MQL196219 NAH196218:NAH196219 NKD196218:NKD196219 NTZ196218:NTZ196219 ODV196218:ODV196219 ONR196218:ONR196219 OXN196218:OXN196219 PHJ196218:PHJ196219 PRF196218:PRF196219 QBB196218:QBB196219 QKX196218:QKX196219 QUT196218:QUT196219 REP196218:REP196219 ROL196218:ROL196219 RYH196218:RYH196219 SID196218:SID196219 SRZ196218:SRZ196219 TBV196218:TBV196219 TLR196218:TLR196219 TVN196218:TVN196219 UFJ196218:UFJ196219 UPF196218:UPF196219 UZB196218:UZB196219 VIX196218:VIX196219 VST196218:VST196219 WCP196218:WCP196219 WML196218:WML196219 WWH196218:WWH196219 Z261754:Z261755 JV261754:JV261755 TR261754:TR261755 ADN261754:ADN261755 ANJ261754:ANJ261755 AXF261754:AXF261755 BHB261754:BHB261755 BQX261754:BQX261755 CAT261754:CAT261755 CKP261754:CKP261755 CUL261754:CUL261755 DEH261754:DEH261755 DOD261754:DOD261755 DXZ261754:DXZ261755 EHV261754:EHV261755 ERR261754:ERR261755 FBN261754:FBN261755 FLJ261754:FLJ261755 FVF261754:FVF261755 GFB261754:GFB261755 GOX261754:GOX261755 GYT261754:GYT261755 HIP261754:HIP261755 HSL261754:HSL261755 ICH261754:ICH261755 IMD261754:IMD261755 IVZ261754:IVZ261755 JFV261754:JFV261755 JPR261754:JPR261755 JZN261754:JZN261755 KJJ261754:KJJ261755 KTF261754:KTF261755 LDB261754:LDB261755 LMX261754:LMX261755 LWT261754:LWT261755 MGP261754:MGP261755 MQL261754:MQL261755 NAH261754:NAH261755 NKD261754:NKD261755 NTZ261754:NTZ261755 ODV261754:ODV261755 ONR261754:ONR261755 OXN261754:OXN261755 PHJ261754:PHJ261755 PRF261754:PRF261755 QBB261754:QBB261755 QKX261754:QKX261755 QUT261754:QUT261755 REP261754:REP261755 ROL261754:ROL261755 RYH261754:RYH261755 SID261754:SID261755 SRZ261754:SRZ261755 TBV261754:TBV261755 TLR261754:TLR261755 TVN261754:TVN261755 UFJ261754:UFJ261755 UPF261754:UPF261755 UZB261754:UZB261755 VIX261754:VIX261755 VST261754:VST261755 WCP261754:WCP261755 WML261754:WML261755 WWH261754:WWH261755 Z327290:Z327291 JV327290:JV327291 TR327290:TR327291 ADN327290:ADN327291 ANJ327290:ANJ327291 AXF327290:AXF327291 BHB327290:BHB327291 BQX327290:BQX327291 CAT327290:CAT327291 CKP327290:CKP327291 CUL327290:CUL327291 DEH327290:DEH327291 DOD327290:DOD327291 DXZ327290:DXZ327291 EHV327290:EHV327291 ERR327290:ERR327291 FBN327290:FBN327291 FLJ327290:FLJ327291 FVF327290:FVF327291 GFB327290:GFB327291 GOX327290:GOX327291 GYT327290:GYT327291 HIP327290:HIP327291 HSL327290:HSL327291 ICH327290:ICH327291 IMD327290:IMD327291 IVZ327290:IVZ327291 JFV327290:JFV327291 JPR327290:JPR327291 JZN327290:JZN327291 KJJ327290:KJJ327291 KTF327290:KTF327291 LDB327290:LDB327291 LMX327290:LMX327291 LWT327290:LWT327291 MGP327290:MGP327291 MQL327290:MQL327291 NAH327290:NAH327291 NKD327290:NKD327291 NTZ327290:NTZ327291 ODV327290:ODV327291 ONR327290:ONR327291 OXN327290:OXN327291 PHJ327290:PHJ327291 PRF327290:PRF327291 QBB327290:QBB327291 QKX327290:QKX327291 QUT327290:QUT327291 REP327290:REP327291 ROL327290:ROL327291 RYH327290:RYH327291 SID327290:SID327291 SRZ327290:SRZ327291 TBV327290:TBV327291 TLR327290:TLR327291 TVN327290:TVN327291 UFJ327290:UFJ327291 UPF327290:UPF327291 UZB327290:UZB327291 VIX327290:VIX327291 VST327290:VST327291 WCP327290:WCP327291 WML327290:WML327291 WWH327290:WWH327291 Z392826:Z392827 JV392826:JV392827 TR392826:TR392827 ADN392826:ADN392827 ANJ392826:ANJ392827 AXF392826:AXF392827 BHB392826:BHB392827 BQX392826:BQX392827 CAT392826:CAT392827 CKP392826:CKP392827 CUL392826:CUL392827 DEH392826:DEH392827 DOD392826:DOD392827 DXZ392826:DXZ392827 EHV392826:EHV392827 ERR392826:ERR392827 FBN392826:FBN392827 FLJ392826:FLJ392827 FVF392826:FVF392827 GFB392826:GFB392827 GOX392826:GOX392827 GYT392826:GYT392827 HIP392826:HIP392827 HSL392826:HSL392827 ICH392826:ICH392827 IMD392826:IMD392827 IVZ392826:IVZ392827 JFV392826:JFV392827 JPR392826:JPR392827 JZN392826:JZN392827 KJJ392826:KJJ392827 KTF392826:KTF392827 LDB392826:LDB392827 LMX392826:LMX392827 LWT392826:LWT392827 MGP392826:MGP392827 MQL392826:MQL392827 NAH392826:NAH392827 NKD392826:NKD392827 NTZ392826:NTZ392827 ODV392826:ODV392827 ONR392826:ONR392827 OXN392826:OXN392827 PHJ392826:PHJ392827 PRF392826:PRF392827 QBB392826:QBB392827 QKX392826:QKX392827 QUT392826:QUT392827 REP392826:REP392827 ROL392826:ROL392827 RYH392826:RYH392827 SID392826:SID392827 SRZ392826:SRZ392827 TBV392826:TBV392827 TLR392826:TLR392827 TVN392826:TVN392827 UFJ392826:UFJ392827 UPF392826:UPF392827 UZB392826:UZB392827 VIX392826:VIX392827 VST392826:VST392827 WCP392826:WCP392827 WML392826:WML392827 WWH392826:WWH392827 Z458362:Z458363 JV458362:JV458363 TR458362:TR458363 ADN458362:ADN458363 ANJ458362:ANJ458363 AXF458362:AXF458363 BHB458362:BHB458363 BQX458362:BQX458363 CAT458362:CAT458363 CKP458362:CKP458363 CUL458362:CUL458363 DEH458362:DEH458363 DOD458362:DOD458363 DXZ458362:DXZ458363 EHV458362:EHV458363 ERR458362:ERR458363 FBN458362:FBN458363 FLJ458362:FLJ458363 FVF458362:FVF458363 GFB458362:GFB458363 GOX458362:GOX458363 GYT458362:GYT458363 HIP458362:HIP458363 HSL458362:HSL458363 ICH458362:ICH458363 IMD458362:IMD458363 IVZ458362:IVZ458363 JFV458362:JFV458363 JPR458362:JPR458363 JZN458362:JZN458363 KJJ458362:KJJ458363 KTF458362:KTF458363 LDB458362:LDB458363 LMX458362:LMX458363 LWT458362:LWT458363 MGP458362:MGP458363 MQL458362:MQL458363 NAH458362:NAH458363 NKD458362:NKD458363 NTZ458362:NTZ458363 ODV458362:ODV458363 ONR458362:ONR458363 OXN458362:OXN458363 PHJ458362:PHJ458363 PRF458362:PRF458363 QBB458362:QBB458363 QKX458362:QKX458363 QUT458362:QUT458363 REP458362:REP458363 ROL458362:ROL458363 RYH458362:RYH458363 SID458362:SID458363 SRZ458362:SRZ458363 TBV458362:TBV458363 TLR458362:TLR458363 TVN458362:TVN458363 UFJ458362:UFJ458363 UPF458362:UPF458363 UZB458362:UZB458363 VIX458362:VIX458363 VST458362:VST458363 WCP458362:WCP458363 WML458362:WML458363 WWH458362:WWH458363 Z523898:Z523899 JV523898:JV523899 TR523898:TR523899 ADN523898:ADN523899 ANJ523898:ANJ523899 AXF523898:AXF523899 BHB523898:BHB523899 BQX523898:BQX523899 CAT523898:CAT523899 CKP523898:CKP523899 CUL523898:CUL523899 DEH523898:DEH523899 DOD523898:DOD523899 DXZ523898:DXZ523899 EHV523898:EHV523899 ERR523898:ERR523899 FBN523898:FBN523899 FLJ523898:FLJ523899 FVF523898:FVF523899 GFB523898:GFB523899 GOX523898:GOX523899 GYT523898:GYT523899 HIP523898:HIP523899 HSL523898:HSL523899 ICH523898:ICH523899 IMD523898:IMD523899 IVZ523898:IVZ523899 JFV523898:JFV523899 JPR523898:JPR523899 JZN523898:JZN523899 KJJ523898:KJJ523899 KTF523898:KTF523899 LDB523898:LDB523899 LMX523898:LMX523899 LWT523898:LWT523899 MGP523898:MGP523899 MQL523898:MQL523899 NAH523898:NAH523899 NKD523898:NKD523899 NTZ523898:NTZ523899 ODV523898:ODV523899 ONR523898:ONR523899 OXN523898:OXN523899 PHJ523898:PHJ523899 PRF523898:PRF523899 QBB523898:QBB523899 QKX523898:QKX523899 QUT523898:QUT523899 REP523898:REP523899 ROL523898:ROL523899 RYH523898:RYH523899 SID523898:SID523899 SRZ523898:SRZ523899 TBV523898:TBV523899 TLR523898:TLR523899 TVN523898:TVN523899 UFJ523898:UFJ523899 UPF523898:UPF523899 UZB523898:UZB523899 VIX523898:VIX523899 VST523898:VST523899 WCP523898:WCP523899 WML523898:WML523899 WWH523898:WWH523899 Z589434:Z589435 JV589434:JV589435 TR589434:TR589435 ADN589434:ADN589435 ANJ589434:ANJ589435 AXF589434:AXF589435 BHB589434:BHB589435 BQX589434:BQX589435 CAT589434:CAT589435 CKP589434:CKP589435 CUL589434:CUL589435 DEH589434:DEH589435 DOD589434:DOD589435 DXZ589434:DXZ589435 EHV589434:EHV589435 ERR589434:ERR589435 FBN589434:FBN589435 FLJ589434:FLJ589435 FVF589434:FVF589435 GFB589434:GFB589435 GOX589434:GOX589435 GYT589434:GYT589435 HIP589434:HIP589435 HSL589434:HSL589435 ICH589434:ICH589435 IMD589434:IMD589435 IVZ589434:IVZ589435 JFV589434:JFV589435 JPR589434:JPR589435 JZN589434:JZN589435 KJJ589434:KJJ589435 KTF589434:KTF589435 LDB589434:LDB589435 LMX589434:LMX589435 LWT589434:LWT589435 MGP589434:MGP589435 MQL589434:MQL589435 NAH589434:NAH589435 NKD589434:NKD589435 NTZ589434:NTZ589435 ODV589434:ODV589435 ONR589434:ONR589435 OXN589434:OXN589435 PHJ589434:PHJ589435 PRF589434:PRF589435 QBB589434:QBB589435 QKX589434:QKX589435 QUT589434:QUT589435 REP589434:REP589435 ROL589434:ROL589435 RYH589434:RYH589435 SID589434:SID589435 SRZ589434:SRZ589435 TBV589434:TBV589435 TLR589434:TLR589435 TVN589434:TVN589435 UFJ589434:UFJ589435 UPF589434:UPF589435 UZB589434:UZB589435 VIX589434:VIX589435 VST589434:VST589435 WCP589434:WCP589435 WML589434:WML589435 WWH589434:WWH589435 Z654970:Z654971 JV654970:JV654971 TR654970:TR654971 ADN654970:ADN654971 ANJ654970:ANJ654971 AXF654970:AXF654971 BHB654970:BHB654971 BQX654970:BQX654971 CAT654970:CAT654971 CKP654970:CKP654971 CUL654970:CUL654971 DEH654970:DEH654971 DOD654970:DOD654971 DXZ654970:DXZ654971 EHV654970:EHV654971 ERR654970:ERR654971 FBN654970:FBN654971 FLJ654970:FLJ654971 FVF654970:FVF654971 GFB654970:GFB654971 GOX654970:GOX654971 GYT654970:GYT654971 HIP654970:HIP654971 HSL654970:HSL654971 ICH654970:ICH654971 IMD654970:IMD654971 IVZ654970:IVZ654971 JFV654970:JFV654971 JPR654970:JPR654971 JZN654970:JZN654971 KJJ654970:KJJ654971 KTF654970:KTF654971 LDB654970:LDB654971 LMX654970:LMX654971 LWT654970:LWT654971 MGP654970:MGP654971 MQL654970:MQL654971 NAH654970:NAH654971 NKD654970:NKD654971 NTZ654970:NTZ654971 ODV654970:ODV654971 ONR654970:ONR654971 OXN654970:OXN654971 PHJ654970:PHJ654971 PRF654970:PRF654971 QBB654970:QBB654971 QKX654970:QKX654971 QUT654970:QUT654971 REP654970:REP654971 ROL654970:ROL654971 RYH654970:RYH654971 SID654970:SID654971 SRZ654970:SRZ654971 TBV654970:TBV654971 TLR654970:TLR654971 TVN654970:TVN654971 UFJ654970:UFJ654971 UPF654970:UPF654971 UZB654970:UZB654971 VIX654970:VIX654971 VST654970:VST654971 WCP654970:WCP654971 WML654970:WML654971 WWH654970:WWH654971 Z720506:Z720507 JV720506:JV720507 TR720506:TR720507 ADN720506:ADN720507 ANJ720506:ANJ720507 AXF720506:AXF720507 BHB720506:BHB720507 BQX720506:BQX720507 CAT720506:CAT720507 CKP720506:CKP720507 CUL720506:CUL720507 DEH720506:DEH720507 DOD720506:DOD720507 DXZ720506:DXZ720507 EHV720506:EHV720507 ERR720506:ERR720507 FBN720506:FBN720507 FLJ720506:FLJ720507 FVF720506:FVF720507 GFB720506:GFB720507 GOX720506:GOX720507 GYT720506:GYT720507 HIP720506:HIP720507 HSL720506:HSL720507 ICH720506:ICH720507 IMD720506:IMD720507 IVZ720506:IVZ720507 JFV720506:JFV720507 JPR720506:JPR720507 JZN720506:JZN720507 KJJ720506:KJJ720507 KTF720506:KTF720507 LDB720506:LDB720507 LMX720506:LMX720507 LWT720506:LWT720507 MGP720506:MGP720507 MQL720506:MQL720507 NAH720506:NAH720507 NKD720506:NKD720507 NTZ720506:NTZ720507 ODV720506:ODV720507 ONR720506:ONR720507 OXN720506:OXN720507 PHJ720506:PHJ720507 PRF720506:PRF720507 QBB720506:QBB720507 QKX720506:QKX720507 QUT720506:QUT720507 REP720506:REP720507 ROL720506:ROL720507 RYH720506:RYH720507 SID720506:SID720507 SRZ720506:SRZ720507 TBV720506:TBV720507 TLR720506:TLR720507 TVN720506:TVN720507 UFJ720506:UFJ720507 UPF720506:UPF720507 UZB720506:UZB720507 VIX720506:VIX720507 VST720506:VST720507 WCP720506:WCP720507 WML720506:WML720507 WWH720506:WWH720507 Z786042:Z786043 JV786042:JV786043 TR786042:TR786043 ADN786042:ADN786043 ANJ786042:ANJ786043 AXF786042:AXF786043 BHB786042:BHB786043 BQX786042:BQX786043 CAT786042:CAT786043 CKP786042:CKP786043 CUL786042:CUL786043 DEH786042:DEH786043 DOD786042:DOD786043 DXZ786042:DXZ786043 EHV786042:EHV786043 ERR786042:ERR786043 FBN786042:FBN786043 FLJ786042:FLJ786043 FVF786042:FVF786043 GFB786042:GFB786043 GOX786042:GOX786043 GYT786042:GYT786043 HIP786042:HIP786043 HSL786042:HSL786043 ICH786042:ICH786043 IMD786042:IMD786043 IVZ786042:IVZ786043 JFV786042:JFV786043 JPR786042:JPR786043 JZN786042:JZN786043 KJJ786042:KJJ786043 KTF786042:KTF786043 LDB786042:LDB786043 LMX786042:LMX786043 LWT786042:LWT786043 MGP786042:MGP786043 MQL786042:MQL786043 NAH786042:NAH786043 NKD786042:NKD786043 NTZ786042:NTZ786043 ODV786042:ODV786043 ONR786042:ONR786043 OXN786042:OXN786043 PHJ786042:PHJ786043 PRF786042:PRF786043 QBB786042:QBB786043 QKX786042:QKX786043 QUT786042:QUT786043 REP786042:REP786043 ROL786042:ROL786043 RYH786042:RYH786043 SID786042:SID786043 SRZ786042:SRZ786043 TBV786042:TBV786043 TLR786042:TLR786043 TVN786042:TVN786043 UFJ786042:UFJ786043 UPF786042:UPF786043 UZB786042:UZB786043 VIX786042:VIX786043 VST786042:VST786043 WCP786042:WCP786043 WML786042:WML786043 WWH786042:WWH786043 Z851578:Z851579 JV851578:JV851579 TR851578:TR851579 ADN851578:ADN851579 ANJ851578:ANJ851579 AXF851578:AXF851579 BHB851578:BHB851579 BQX851578:BQX851579 CAT851578:CAT851579 CKP851578:CKP851579 CUL851578:CUL851579 DEH851578:DEH851579 DOD851578:DOD851579 DXZ851578:DXZ851579 EHV851578:EHV851579 ERR851578:ERR851579 FBN851578:FBN851579 FLJ851578:FLJ851579 FVF851578:FVF851579 GFB851578:GFB851579 GOX851578:GOX851579 GYT851578:GYT851579 HIP851578:HIP851579 HSL851578:HSL851579 ICH851578:ICH851579 IMD851578:IMD851579 IVZ851578:IVZ851579 JFV851578:JFV851579 JPR851578:JPR851579 JZN851578:JZN851579 KJJ851578:KJJ851579 KTF851578:KTF851579 LDB851578:LDB851579 LMX851578:LMX851579 LWT851578:LWT851579 MGP851578:MGP851579 MQL851578:MQL851579 NAH851578:NAH851579 NKD851578:NKD851579 NTZ851578:NTZ851579 ODV851578:ODV851579 ONR851578:ONR851579 OXN851578:OXN851579 PHJ851578:PHJ851579 PRF851578:PRF851579 QBB851578:QBB851579 QKX851578:QKX851579 QUT851578:QUT851579 REP851578:REP851579 ROL851578:ROL851579 RYH851578:RYH851579 SID851578:SID851579 SRZ851578:SRZ851579 TBV851578:TBV851579 TLR851578:TLR851579 TVN851578:TVN851579 UFJ851578:UFJ851579 UPF851578:UPF851579 UZB851578:UZB851579 VIX851578:VIX851579 VST851578:VST851579 WCP851578:WCP851579 WML851578:WML851579 WWH851578:WWH851579 Z917114:Z917115 JV917114:JV917115 TR917114:TR917115 ADN917114:ADN917115 ANJ917114:ANJ917115 AXF917114:AXF917115 BHB917114:BHB917115 BQX917114:BQX917115 CAT917114:CAT917115 CKP917114:CKP917115 CUL917114:CUL917115 DEH917114:DEH917115 DOD917114:DOD917115 DXZ917114:DXZ917115 EHV917114:EHV917115 ERR917114:ERR917115 FBN917114:FBN917115 FLJ917114:FLJ917115 FVF917114:FVF917115 GFB917114:GFB917115 GOX917114:GOX917115 GYT917114:GYT917115 HIP917114:HIP917115 HSL917114:HSL917115 ICH917114:ICH917115 IMD917114:IMD917115 IVZ917114:IVZ917115 JFV917114:JFV917115 JPR917114:JPR917115 JZN917114:JZN917115 KJJ917114:KJJ917115 KTF917114:KTF917115 LDB917114:LDB917115 LMX917114:LMX917115 LWT917114:LWT917115 MGP917114:MGP917115 MQL917114:MQL917115 NAH917114:NAH917115 NKD917114:NKD917115 NTZ917114:NTZ917115 ODV917114:ODV917115 ONR917114:ONR917115 OXN917114:OXN917115 PHJ917114:PHJ917115 PRF917114:PRF917115 QBB917114:QBB917115 QKX917114:QKX917115 QUT917114:QUT917115 REP917114:REP917115 ROL917114:ROL917115 RYH917114:RYH917115 SID917114:SID917115 SRZ917114:SRZ917115 TBV917114:TBV917115 TLR917114:TLR917115 TVN917114:TVN917115 UFJ917114:UFJ917115 UPF917114:UPF917115 UZB917114:UZB917115 VIX917114:VIX917115 VST917114:VST917115 WCP917114:WCP917115 WML917114:WML917115 WWH917114:WWH917115 Z982650:Z982651 JV982650:JV982651 TR982650:TR982651 ADN982650:ADN982651 ANJ982650:ANJ982651 AXF982650:AXF982651 BHB982650:BHB982651 BQX982650:BQX982651 CAT982650:CAT982651 CKP982650:CKP982651 CUL982650:CUL982651 DEH982650:DEH982651 DOD982650:DOD982651 DXZ982650:DXZ982651 EHV982650:EHV982651 ERR982650:ERR982651 FBN982650:FBN982651 FLJ982650:FLJ982651 FVF982650:FVF982651 GFB982650:GFB982651 GOX982650:GOX982651 GYT982650:GYT982651 HIP982650:HIP982651 HSL982650:HSL982651 ICH982650:ICH982651 IMD982650:IMD982651 IVZ982650:IVZ982651 JFV982650:JFV982651 JPR982650:JPR982651 JZN982650:JZN982651 KJJ982650:KJJ982651 KTF982650:KTF982651 LDB982650:LDB982651 LMX982650:LMX982651 LWT982650:LWT982651 MGP982650:MGP982651 MQL982650:MQL982651 NAH982650:NAH982651 NKD982650:NKD982651 NTZ982650:NTZ982651 ODV982650:ODV982651 ONR982650:ONR982651 OXN982650:OXN982651 PHJ982650:PHJ982651 PRF982650:PRF982651 QBB982650:QBB982651 QKX982650:QKX982651 QUT982650:QUT982651 REP982650:REP982651 ROL982650:ROL982651 RYH982650:RYH982651 SID982650:SID982651 SRZ982650:SRZ982651 TBV982650:TBV982651 TLR982650:TLR982651 TVN982650:TVN982651 UFJ982650:UFJ982651 UPF982650:UPF982651 UZB982650:UZB982651 VIX982650:VIX982651 VST982650:VST982651 WCP982650:WCP982651 WML982650:WML982651 WWH982650:WWH982651 AP786042:AP786043 KL786042:KL786043 UH786042:UH786043 AED786042:AED786043 ANZ786042:ANZ786043 AXV786042:AXV786043 BHR786042:BHR786043 BRN786042:BRN786043 CBJ786042:CBJ786043 CLF786042:CLF786043 CVB786042:CVB786043 DEX786042:DEX786043 DOT786042:DOT786043 DYP786042:DYP786043 EIL786042:EIL786043 ESH786042:ESH786043 FCD786042:FCD786043 FLZ786042:FLZ786043 FVV786042:FVV786043 GFR786042:GFR786043 GPN786042:GPN786043 GZJ786042:GZJ786043 HJF786042:HJF786043 HTB786042:HTB786043 ICX786042:ICX786043 IMT786042:IMT786043 IWP786042:IWP786043 JGL786042:JGL786043 JQH786042:JQH786043 KAD786042:KAD786043 KJZ786042:KJZ786043 KTV786042:KTV786043 LDR786042:LDR786043 LNN786042:LNN786043 LXJ786042:LXJ786043 MHF786042:MHF786043 MRB786042:MRB786043 NAX786042:NAX786043 NKT786042:NKT786043 NUP786042:NUP786043 OEL786042:OEL786043 OOH786042:OOH786043 OYD786042:OYD786043 PHZ786042:PHZ786043 PRV786042:PRV786043 QBR786042:QBR786043 QLN786042:QLN786043 QVJ786042:QVJ786043 RFF786042:RFF786043 RPB786042:RPB786043 RYX786042:RYX786043 SIT786042:SIT786043 SSP786042:SSP786043 TCL786042:TCL786043 TMH786042:TMH786043 TWD786042:TWD786043 UFZ786042:UFZ786043 UPV786042:UPV786043 UZR786042:UZR786043 VJN786042:VJN786043 VTJ786042:VTJ786043 WDF786042:WDF786043 WNB786042:WNB786043 WWX786042:WWX786043 AD65146:AD65147 JZ65146:JZ65147 TV65146:TV65147 ADR65146:ADR65147 ANN65146:ANN65147 AXJ65146:AXJ65147 BHF65146:BHF65147 BRB65146:BRB65147 CAX65146:CAX65147 CKT65146:CKT65147 CUP65146:CUP65147 DEL65146:DEL65147 DOH65146:DOH65147 DYD65146:DYD65147 EHZ65146:EHZ65147 ERV65146:ERV65147 FBR65146:FBR65147 FLN65146:FLN65147 FVJ65146:FVJ65147 GFF65146:GFF65147 GPB65146:GPB65147 GYX65146:GYX65147 HIT65146:HIT65147 HSP65146:HSP65147 ICL65146:ICL65147 IMH65146:IMH65147 IWD65146:IWD65147 JFZ65146:JFZ65147 JPV65146:JPV65147 JZR65146:JZR65147 KJN65146:KJN65147 KTJ65146:KTJ65147 LDF65146:LDF65147 LNB65146:LNB65147 LWX65146:LWX65147 MGT65146:MGT65147 MQP65146:MQP65147 NAL65146:NAL65147 NKH65146:NKH65147 NUD65146:NUD65147 ODZ65146:ODZ65147 ONV65146:ONV65147 OXR65146:OXR65147 PHN65146:PHN65147 PRJ65146:PRJ65147 QBF65146:QBF65147 QLB65146:QLB65147 QUX65146:QUX65147 RET65146:RET65147 ROP65146:ROP65147 RYL65146:RYL65147 SIH65146:SIH65147 SSD65146:SSD65147 TBZ65146:TBZ65147 TLV65146:TLV65147 TVR65146:TVR65147 UFN65146:UFN65147 UPJ65146:UPJ65147 UZF65146:UZF65147 VJB65146:VJB65147 VSX65146:VSX65147 WCT65146:WCT65147 WMP65146:WMP65147 WWL65146:WWL65147 AD130682:AD130683 JZ130682:JZ130683 TV130682:TV130683 ADR130682:ADR130683 ANN130682:ANN130683 AXJ130682:AXJ130683 BHF130682:BHF130683 BRB130682:BRB130683 CAX130682:CAX130683 CKT130682:CKT130683 CUP130682:CUP130683 DEL130682:DEL130683 DOH130682:DOH130683 DYD130682:DYD130683 EHZ130682:EHZ130683 ERV130682:ERV130683 FBR130682:FBR130683 FLN130682:FLN130683 FVJ130682:FVJ130683 GFF130682:GFF130683 GPB130682:GPB130683 GYX130682:GYX130683 HIT130682:HIT130683 HSP130682:HSP130683 ICL130682:ICL130683 IMH130682:IMH130683 IWD130682:IWD130683 JFZ130682:JFZ130683 JPV130682:JPV130683 JZR130682:JZR130683 KJN130682:KJN130683 KTJ130682:KTJ130683 LDF130682:LDF130683 LNB130682:LNB130683 LWX130682:LWX130683 MGT130682:MGT130683 MQP130682:MQP130683 NAL130682:NAL130683 NKH130682:NKH130683 NUD130682:NUD130683 ODZ130682:ODZ130683 ONV130682:ONV130683 OXR130682:OXR130683 PHN130682:PHN130683 PRJ130682:PRJ130683 QBF130682:QBF130683 QLB130682:QLB130683 QUX130682:QUX130683 RET130682:RET130683 ROP130682:ROP130683 RYL130682:RYL130683 SIH130682:SIH130683 SSD130682:SSD130683 TBZ130682:TBZ130683 TLV130682:TLV130683 TVR130682:TVR130683 UFN130682:UFN130683 UPJ130682:UPJ130683 UZF130682:UZF130683 VJB130682:VJB130683 VSX130682:VSX130683 WCT130682:WCT130683 WMP130682:WMP130683 WWL130682:WWL130683 AD196218:AD196219 JZ196218:JZ196219 TV196218:TV196219 ADR196218:ADR196219 ANN196218:ANN196219 AXJ196218:AXJ196219 BHF196218:BHF196219 BRB196218:BRB196219 CAX196218:CAX196219 CKT196218:CKT196219 CUP196218:CUP196219 DEL196218:DEL196219 DOH196218:DOH196219 DYD196218:DYD196219 EHZ196218:EHZ196219 ERV196218:ERV196219 FBR196218:FBR196219 FLN196218:FLN196219 FVJ196218:FVJ196219 GFF196218:GFF196219 GPB196218:GPB196219 GYX196218:GYX196219 HIT196218:HIT196219 HSP196218:HSP196219 ICL196218:ICL196219 IMH196218:IMH196219 IWD196218:IWD196219 JFZ196218:JFZ196219 JPV196218:JPV196219 JZR196218:JZR196219 KJN196218:KJN196219 KTJ196218:KTJ196219 LDF196218:LDF196219 LNB196218:LNB196219 LWX196218:LWX196219 MGT196218:MGT196219 MQP196218:MQP196219 NAL196218:NAL196219 NKH196218:NKH196219 NUD196218:NUD196219 ODZ196218:ODZ196219 ONV196218:ONV196219 OXR196218:OXR196219 PHN196218:PHN196219 PRJ196218:PRJ196219 QBF196218:QBF196219 QLB196218:QLB196219 QUX196218:QUX196219 RET196218:RET196219 ROP196218:ROP196219 RYL196218:RYL196219 SIH196218:SIH196219 SSD196218:SSD196219 TBZ196218:TBZ196219 TLV196218:TLV196219 TVR196218:TVR196219 UFN196218:UFN196219 UPJ196218:UPJ196219 UZF196218:UZF196219 VJB196218:VJB196219 VSX196218:VSX196219 WCT196218:WCT196219 WMP196218:WMP196219 WWL196218:WWL196219 AD261754:AD261755 JZ261754:JZ261755 TV261754:TV261755 ADR261754:ADR261755 ANN261754:ANN261755 AXJ261754:AXJ261755 BHF261754:BHF261755 BRB261754:BRB261755 CAX261754:CAX261755 CKT261754:CKT261755 CUP261754:CUP261755 DEL261754:DEL261755 DOH261754:DOH261755 DYD261754:DYD261755 EHZ261754:EHZ261755 ERV261754:ERV261755 FBR261754:FBR261755 FLN261754:FLN261755 FVJ261754:FVJ261755 GFF261754:GFF261755 GPB261754:GPB261755 GYX261754:GYX261755 HIT261754:HIT261755 HSP261754:HSP261755 ICL261754:ICL261755 IMH261754:IMH261755 IWD261754:IWD261755 JFZ261754:JFZ261755 JPV261754:JPV261755 JZR261754:JZR261755 KJN261754:KJN261755 KTJ261754:KTJ261755 LDF261754:LDF261755 LNB261754:LNB261755 LWX261754:LWX261755 MGT261754:MGT261755 MQP261754:MQP261755 NAL261754:NAL261755 NKH261754:NKH261755 NUD261754:NUD261755 ODZ261754:ODZ261755 ONV261754:ONV261755 OXR261754:OXR261755 PHN261754:PHN261755 PRJ261754:PRJ261755 QBF261754:QBF261755 QLB261754:QLB261755 QUX261754:QUX261755 RET261754:RET261755 ROP261754:ROP261755 RYL261754:RYL261755 SIH261754:SIH261755 SSD261754:SSD261755 TBZ261754:TBZ261755 TLV261754:TLV261755 TVR261754:TVR261755 UFN261754:UFN261755 UPJ261754:UPJ261755 UZF261754:UZF261755 VJB261754:VJB261755 VSX261754:VSX261755 WCT261754:WCT261755 WMP261754:WMP261755 WWL261754:WWL261755 AD327290:AD327291 JZ327290:JZ327291 TV327290:TV327291 ADR327290:ADR327291 ANN327290:ANN327291 AXJ327290:AXJ327291 BHF327290:BHF327291 BRB327290:BRB327291 CAX327290:CAX327291 CKT327290:CKT327291 CUP327290:CUP327291 DEL327290:DEL327291 DOH327290:DOH327291 DYD327290:DYD327291 EHZ327290:EHZ327291 ERV327290:ERV327291 FBR327290:FBR327291 FLN327290:FLN327291 FVJ327290:FVJ327291 GFF327290:GFF327291 GPB327290:GPB327291 GYX327290:GYX327291 HIT327290:HIT327291 HSP327290:HSP327291 ICL327290:ICL327291 IMH327290:IMH327291 IWD327290:IWD327291 JFZ327290:JFZ327291 JPV327290:JPV327291 JZR327290:JZR327291 KJN327290:KJN327291 KTJ327290:KTJ327291 LDF327290:LDF327291 LNB327290:LNB327291 LWX327290:LWX327291 MGT327290:MGT327291 MQP327290:MQP327291 NAL327290:NAL327291 NKH327290:NKH327291 NUD327290:NUD327291 ODZ327290:ODZ327291 ONV327290:ONV327291 OXR327290:OXR327291 PHN327290:PHN327291 PRJ327290:PRJ327291 QBF327290:QBF327291 QLB327290:QLB327291 QUX327290:QUX327291 RET327290:RET327291 ROP327290:ROP327291 RYL327290:RYL327291 SIH327290:SIH327291 SSD327290:SSD327291 TBZ327290:TBZ327291 TLV327290:TLV327291 TVR327290:TVR327291 UFN327290:UFN327291 UPJ327290:UPJ327291 UZF327290:UZF327291 VJB327290:VJB327291 VSX327290:VSX327291 WCT327290:WCT327291 WMP327290:WMP327291 WWL327290:WWL327291 AD392826:AD392827 JZ392826:JZ392827 TV392826:TV392827 ADR392826:ADR392827 ANN392826:ANN392827 AXJ392826:AXJ392827 BHF392826:BHF392827 BRB392826:BRB392827 CAX392826:CAX392827 CKT392826:CKT392827 CUP392826:CUP392827 DEL392826:DEL392827 DOH392826:DOH392827 DYD392826:DYD392827 EHZ392826:EHZ392827 ERV392826:ERV392827 FBR392826:FBR392827 FLN392826:FLN392827 FVJ392826:FVJ392827 GFF392826:GFF392827 GPB392826:GPB392827 GYX392826:GYX392827 HIT392826:HIT392827 HSP392826:HSP392827 ICL392826:ICL392827 IMH392826:IMH392827 IWD392826:IWD392827 JFZ392826:JFZ392827 JPV392826:JPV392827 JZR392826:JZR392827 KJN392826:KJN392827 KTJ392826:KTJ392827 LDF392826:LDF392827 LNB392826:LNB392827 LWX392826:LWX392827 MGT392826:MGT392827 MQP392826:MQP392827 NAL392826:NAL392827 NKH392826:NKH392827 NUD392826:NUD392827 ODZ392826:ODZ392827 ONV392826:ONV392827 OXR392826:OXR392827 PHN392826:PHN392827 PRJ392826:PRJ392827 QBF392826:QBF392827 QLB392826:QLB392827 QUX392826:QUX392827 RET392826:RET392827 ROP392826:ROP392827 RYL392826:RYL392827 SIH392826:SIH392827 SSD392826:SSD392827 TBZ392826:TBZ392827 TLV392826:TLV392827 TVR392826:TVR392827 UFN392826:UFN392827 UPJ392826:UPJ392827 UZF392826:UZF392827 VJB392826:VJB392827 VSX392826:VSX392827 WCT392826:WCT392827 WMP392826:WMP392827 WWL392826:WWL392827 AD458362:AD458363 JZ458362:JZ458363 TV458362:TV458363 ADR458362:ADR458363 ANN458362:ANN458363 AXJ458362:AXJ458363 BHF458362:BHF458363 BRB458362:BRB458363 CAX458362:CAX458363 CKT458362:CKT458363 CUP458362:CUP458363 DEL458362:DEL458363 DOH458362:DOH458363 DYD458362:DYD458363 EHZ458362:EHZ458363 ERV458362:ERV458363 FBR458362:FBR458363 FLN458362:FLN458363 FVJ458362:FVJ458363 GFF458362:GFF458363 GPB458362:GPB458363 GYX458362:GYX458363 HIT458362:HIT458363 HSP458362:HSP458363 ICL458362:ICL458363 IMH458362:IMH458363 IWD458362:IWD458363 JFZ458362:JFZ458363 JPV458362:JPV458363 JZR458362:JZR458363 KJN458362:KJN458363 KTJ458362:KTJ458363 LDF458362:LDF458363 LNB458362:LNB458363 LWX458362:LWX458363 MGT458362:MGT458363 MQP458362:MQP458363 NAL458362:NAL458363 NKH458362:NKH458363 NUD458362:NUD458363 ODZ458362:ODZ458363 ONV458362:ONV458363 OXR458362:OXR458363 PHN458362:PHN458363 PRJ458362:PRJ458363 QBF458362:QBF458363 QLB458362:QLB458363 QUX458362:QUX458363 RET458362:RET458363 ROP458362:ROP458363 RYL458362:RYL458363 SIH458362:SIH458363 SSD458362:SSD458363 TBZ458362:TBZ458363 TLV458362:TLV458363 TVR458362:TVR458363 UFN458362:UFN458363 UPJ458362:UPJ458363 UZF458362:UZF458363 VJB458362:VJB458363 VSX458362:VSX458363 WCT458362:WCT458363 WMP458362:WMP458363 WWL458362:WWL458363 AD523898:AD523899 JZ523898:JZ523899 TV523898:TV523899 ADR523898:ADR523899 ANN523898:ANN523899 AXJ523898:AXJ523899 BHF523898:BHF523899 BRB523898:BRB523899 CAX523898:CAX523899 CKT523898:CKT523899 CUP523898:CUP523899 DEL523898:DEL523899 DOH523898:DOH523899 DYD523898:DYD523899 EHZ523898:EHZ523899 ERV523898:ERV523899 FBR523898:FBR523899 FLN523898:FLN523899 FVJ523898:FVJ523899 GFF523898:GFF523899 GPB523898:GPB523899 GYX523898:GYX523899 HIT523898:HIT523899 HSP523898:HSP523899 ICL523898:ICL523899 IMH523898:IMH523899 IWD523898:IWD523899 JFZ523898:JFZ523899 JPV523898:JPV523899 JZR523898:JZR523899 KJN523898:KJN523899 KTJ523898:KTJ523899 LDF523898:LDF523899 LNB523898:LNB523899 LWX523898:LWX523899 MGT523898:MGT523899 MQP523898:MQP523899 NAL523898:NAL523899 NKH523898:NKH523899 NUD523898:NUD523899 ODZ523898:ODZ523899 ONV523898:ONV523899 OXR523898:OXR523899 PHN523898:PHN523899 PRJ523898:PRJ523899 QBF523898:QBF523899 QLB523898:QLB523899 QUX523898:QUX523899 RET523898:RET523899 ROP523898:ROP523899 RYL523898:RYL523899 SIH523898:SIH523899 SSD523898:SSD523899 TBZ523898:TBZ523899 TLV523898:TLV523899 TVR523898:TVR523899 UFN523898:UFN523899 UPJ523898:UPJ523899 UZF523898:UZF523899 VJB523898:VJB523899 VSX523898:VSX523899 WCT523898:WCT523899 WMP523898:WMP523899 WWL523898:WWL523899 AD589434:AD589435 JZ589434:JZ589435 TV589434:TV589435 ADR589434:ADR589435 ANN589434:ANN589435 AXJ589434:AXJ589435 BHF589434:BHF589435 BRB589434:BRB589435 CAX589434:CAX589435 CKT589434:CKT589435 CUP589434:CUP589435 DEL589434:DEL589435 DOH589434:DOH589435 DYD589434:DYD589435 EHZ589434:EHZ589435 ERV589434:ERV589435 FBR589434:FBR589435 FLN589434:FLN589435 FVJ589434:FVJ589435 GFF589434:GFF589435 GPB589434:GPB589435 GYX589434:GYX589435 HIT589434:HIT589435 HSP589434:HSP589435 ICL589434:ICL589435 IMH589434:IMH589435 IWD589434:IWD589435 JFZ589434:JFZ589435 JPV589434:JPV589435 JZR589434:JZR589435 KJN589434:KJN589435 KTJ589434:KTJ589435 LDF589434:LDF589435 LNB589434:LNB589435 LWX589434:LWX589435 MGT589434:MGT589435 MQP589434:MQP589435 NAL589434:NAL589435 NKH589434:NKH589435 NUD589434:NUD589435 ODZ589434:ODZ589435 ONV589434:ONV589435 OXR589434:OXR589435 PHN589434:PHN589435 PRJ589434:PRJ589435 QBF589434:QBF589435 QLB589434:QLB589435 QUX589434:QUX589435 RET589434:RET589435 ROP589434:ROP589435 RYL589434:RYL589435 SIH589434:SIH589435 SSD589434:SSD589435 TBZ589434:TBZ589435 TLV589434:TLV589435 TVR589434:TVR589435 UFN589434:UFN589435 UPJ589434:UPJ589435 UZF589434:UZF589435 VJB589434:VJB589435 VSX589434:VSX589435 WCT589434:WCT589435 WMP589434:WMP589435 WWL589434:WWL589435 AD654970:AD654971 JZ654970:JZ654971 TV654970:TV654971 ADR654970:ADR654971 ANN654970:ANN654971 AXJ654970:AXJ654971 BHF654970:BHF654971 BRB654970:BRB654971 CAX654970:CAX654971 CKT654970:CKT654971 CUP654970:CUP654971 DEL654970:DEL654971 DOH654970:DOH654971 DYD654970:DYD654971 EHZ654970:EHZ654971 ERV654970:ERV654971 FBR654970:FBR654971 FLN654970:FLN654971 FVJ654970:FVJ654971 GFF654970:GFF654971 GPB654970:GPB654971 GYX654970:GYX654971 HIT654970:HIT654971 HSP654970:HSP654971 ICL654970:ICL654971 IMH654970:IMH654971 IWD654970:IWD654971 JFZ654970:JFZ654971 JPV654970:JPV654971 JZR654970:JZR654971 KJN654970:KJN654971 KTJ654970:KTJ654971 LDF654970:LDF654971 LNB654970:LNB654971 LWX654970:LWX654971 MGT654970:MGT654971 MQP654970:MQP654971 NAL654970:NAL654971 NKH654970:NKH654971 NUD654970:NUD654971 ODZ654970:ODZ654971 ONV654970:ONV654971 OXR654970:OXR654971 PHN654970:PHN654971 PRJ654970:PRJ654971 QBF654970:QBF654971 QLB654970:QLB654971 QUX654970:QUX654971 RET654970:RET654971 ROP654970:ROP654971 RYL654970:RYL654971 SIH654970:SIH654971 SSD654970:SSD654971 TBZ654970:TBZ654971 TLV654970:TLV654971 TVR654970:TVR654971 UFN654970:UFN654971 UPJ654970:UPJ654971 UZF654970:UZF654971 VJB654970:VJB654971 VSX654970:VSX654971 WCT654970:WCT654971 WMP654970:WMP654971 WWL654970:WWL654971 AD720506:AD720507 JZ720506:JZ720507 TV720506:TV720507 ADR720506:ADR720507 ANN720506:ANN720507 AXJ720506:AXJ720507 BHF720506:BHF720507 BRB720506:BRB720507 CAX720506:CAX720507 CKT720506:CKT720507 CUP720506:CUP720507 DEL720506:DEL720507 DOH720506:DOH720507 DYD720506:DYD720507 EHZ720506:EHZ720507 ERV720506:ERV720507 FBR720506:FBR720507 FLN720506:FLN720507 FVJ720506:FVJ720507 GFF720506:GFF720507 GPB720506:GPB720507 GYX720506:GYX720507 HIT720506:HIT720507 HSP720506:HSP720507 ICL720506:ICL720507 IMH720506:IMH720507 IWD720506:IWD720507 JFZ720506:JFZ720507 JPV720506:JPV720507 JZR720506:JZR720507 KJN720506:KJN720507 KTJ720506:KTJ720507 LDF720506:LDF720507 LNB720506:LNB720507 LWX720506:LWX720507 MGT720506:MGT720507 MQP720506:MQP720507 NAL720506:NAL720507 NKH720506:NKH720507 NUD720506:NUD720507 ODZ720506:ODZ720507 ONV720506:ONV720507 OXR720506:OXR720507 PHN720506:PHN720507 PRJ720506:PRJ720507 QBF720506:QBF720507 QLB720506:QLB720507 QUX720506:QUX720507 RET720506:RET720507 ROP720506:ROP720507 RYL720506:RYL720507 SIH720506:SIH720507 SSD720506:SSD720507 TBZ720506:TBZ720507 TLV720506:TLV720507 TVR720506:TVR720507 UFN720506:UFN720507 UPJ720506:UPJ720507 UZF720506:UZF720507 VJB720506:VJB720507 VSX720506:VSX720507 WCT720506:WCT720507 WMP720506:WMP720507 WWL720506:WWL720507 AD786042:AD786043 JZ786042:JZ786043 TV786042:TV786043 ADR786042:ADR786043 ANN786042:ANN786043 AXJ786042:AXJ786043 BHF786042:BHF786043 BRB786042:BRB786043 CAX786042:CAX786043 CKT786042:CKT786043 CUP786042:CUP786043 DEL786042:DEL786043 DOH786042:DOH786043 DYD786042:DYD786043 EHZ786042:EHZ786043 ERV786042:ERV786043 FBR786042:FBR786043 FLN786042:FLN786043 FVJ786042:FVJ786043 GFF786042:GFF786043 GPB786042:GPB786043 GYX786042:GYX786043 HIT786042:HIT786043 HSP786042:HSP786043 ICL786042:ICL786043 IMH786042:IMH786043 IWD786042:IWD786043 JFZ786042:JFZ786043 JPV786042:JPV786043 JZR786042:JZR786043 KJN786042:KJN786043 KTJ786042:KTJ786043 LDF786042:LDF786043 LNB786042:LNB786043 LWX786042:LWX786043 MGT786042:MGT786043 MQP786042:MQP786043 NAL786042:NAL786043 NKH786042:NKH786043 NUD786042:NUD786043 ODZ786042:ODZ786043 ONV786042:ONV786043 OXR786042:OXR786043 PHN786042:PHN786043 PRJ786042:PRJ786043 QBF786042:QBF786043 QLB786042:QLB786043 QUX786042:QUX786043 RET786042:RET786043 ROP786042:ROP786043 RYL786042:RYL786043 SIH786042:SIH786043 SSD786042:SSD786043 TBZ786042:TBZ786043 TLV786042:TLV786043 TVR786042:TVR786043 UFN786042:UFN786043 UPJ786042:UPJ786043 UZF786042:UZF786043 VJB786042:VJB786043 VSX786042:VSX786043 WCT786042:WCT786043 WMP786042:WMP786043 WWL786042:WWL786043 AD851578:AD851579 JZ851578:JZ851579 TV851578:TV851579 ADR851578:ADR851579 ANN851578:ANN851579 AXJ851578:AXJ851579 BHF851578:BHF851579 BRB851578:BRB851579 CAX851578:CAX851579 CKT851578:CKT851579 CUP851578:CUP851579 DEL851578:DEL851579 DOH851578:DOH851579 DYD851578:DYD851579 EHZ851578:EHZ851579 ERV851578:ERV851579 FBR851578:FBR851579 FLN851578:FLN851579 FVJ851578:FVJ851579 GFF851578:GFF851579 GPB851578:GPB851579 GYX851578:GYX851579 HIT851578:HIT851579 HSP851578:HSP851579 ICL851578:ICL851579 IMH851578:IMH851579 IWD851578:IWD851579 JFZ851578:JFZ851579 JPV851578:JPV851579 JZR851578:JZR851579 KJN851578:KJN851579 KTJ851578:KTJ851579 LDF851578:LDF851579 LNB851578:LNB851579 LWX851578:LWX851579 MGT851578:MGT851579 MQP851578:MQP851579 NAL851578:NAL851579 NKH851578:NKH851579 NUD851578:NUD851579 ODZ851578:ODZ851579 ONV851578:ONV851579 OXR851578:OXR851579 PHN851578:PHN851579 PRJ851578:PRJ851579 QBF851578:QBF851579 QLB851578:QLB851579 QUX851578:QUX851579 RET851578:RET851579 ROP851578:ROP851579 RYL851578:RYL851579 SIH851578:SIH851579 SSD851578:SSD851579 TBZ851578:TBZ851579 TLV851578:TLV851579 TVR851578:TVR851579 UFN851578:UFN851579 UPJ851578:UPJ851579 UZF851578:UZF851579 VJB851578:VJB851579 VSX851578:VSX851579 WCT851578:WCT851579 WMP851578:WMP851579 WWL851578:WWL851579 AD917114:AD917115 JZ917114:JZ917115 TV917114:TV917115 ADR917114:ADR917115 ANN917114:ANN917115 AXJ917114:AXJ917115 BHF917114:BHF917115 BRB917114:BRB917115 CAX917114:CAX917115 CKT917114:CKT917115 CUP917114:CUP917115 DEL917114:DEL917115 DOH917114:DOH917115 DYD917114:DYD917115 EHZ917114:EHZ917115 ERV917114:ERV917115 FBR917114:FBR917115 FLN917114:FLN917115 FVJ917114:FVJ917115 GFF917114:GFF917115 GPB917114:GPB917115 GYX917114:GYX917115 HIT917114:HIT917115 HSP917114:HSP917115 ICL917114:ICL917115 IMH917114:IMH917115 IWD917114:IWD917115 JFZ917114:JFZ917115 JPV917114:JPV917115 JZR917114:JZR917115 KJN917114:KJN917115 KTJ917114:KTJ917115 LDF917114:LDF917115 LNB917114:LNB917115 LWX917114:LWX917115 MGT917114:MGT917115 MQP917114:MQP917115 NAL917114:NAL917115 NKH917114:NKH917115 NUD917114:NUD917115 ODZ917114:ODZ917115 ONV917114:ONV917115 OXR917114:OXR917115 PHN917114:PHN917115 PRJ917114:PRJ917115 QBF917114:QBF917115 QLB917114:QLB917115 QUX917114:QUX917115 RET917114:RET917115 ROP917114:ROP917115 RYL917114:RYL917115 SIH917114:SIH917115 SSD917114:SSD917115 TBZ917114:TBZ917115 TLV917114:TLV917115 TVR917114:TVR917115 UFN917114:UFN917115 UPJ917114:UPJ917115 UZF917114:UZF917115 VJB917114:VJB917115 VSX917114:VSX917115 WCT917114:WCT917115 WMP917114:WMP917115 WWL917114:WWL917115 AD982650:AD982651 JZ982650:JZ982651 TV982650:TV982651 ADR982650:ADR982651 ANN982650:ANN982651 AXJ982650:AXJ982651 BHF982650:BHF982651 BRB982650:BRB982651 CAX982650:CAX982651 CKT982650:CKT982651 CUP982650:CUP982651 DEL982650:DEL982651 DOH982650:DOH982651 DYD982650:DYD982651 EHZ982650:EHZ982651 ERV982650:ERV982651 FBR982650:FBR982651 FLN982650:FLN982651 FVJ982650:FVJ982651 GFF982650:GFF982651 GPB982650:GPB982651 GYX982650:GYX982651 HIT982650:HIT982651 HSP982650:HSP982651 ICL982650:ICL982651 IMH982650:IMH982651 IWD982650:IWD982651 JFZ982650:JFZ982651 JPV982650:JPV982651 JZR982650:JZR982651 KJN982650:KJN982651 KTJ982650:KTJ982651 LDF982650:LDF982651 LNB982650:LNB982651 LWX982650:LWX982651 MGT982650:MGT982651 MQP982650:MQP982651 NAL982650:NAL982651 NKH982650:NKH982651 NUD982650:NUD982651 ODZ982650:ODZ982651 ONV982650:ONV982651 OXR982650:OXR982651 PHN982650:PHN982651 PRJ982650:PRJ982651 QBF982650:QBF982651 QLB982650:QLB982651 QUX982650:QUX982651 RET982650:RET982651 ROP982650:ROP982651 RYL982650:RYL982651 SIH982650:SIH982651 SSD982650:SSD982651 TBZ982650:TBZ982651 TLV982650:TLV982651 TVR982650:TVR982651 UFN982650:UFN982651 UPJ982650:UPJ982651 UZF982650:UZF982651 VJB982650:VJB982651 VSX982650:VSX982651 WCT982650:WCT982651 WMP982650:WMP982651 WWL982650:WWL982651 AP851578:AP851579 KL851578:KL851579 UH851578:UH851579 AED851578:AED851579 ANZ851578:ANZ851579 AXV851578:AXV851579 BHR851578:BHR851579 BRN851578:BRN851579 CBJ851578:CBJ851579 CLF851578:CLF851579 CVB851578:CVB851579 DEX851578:DEX851579 DOT851578:DOT851579 DYP851578:DYP851579 EIL851578:EIL851579 ESH851578:ESH851579 FCD851578:FCD851579 FLZ851578:FLZ851579 FVV851578:FVV851579 GFR851578:GFR851579 GPN851578:GPN851579 GZJ851578:GZJ851579 HJF851578:HJF851579 HTB851578:HTB851579 ICX851578:ICX851579 IMT851578:IMT851579 IWP851578:IWP851579 JGL851578:JGL851579 JQH851578:JQH851579 KAD851578:KAD851579 KJZ851578:KJZ851579 KTV851578:KTV851579 LDR851578:LDR851579 LNN851578:LNN851579 LXJ851578:LXJ851579 MHF851578:MHF851579 MRB851578:MRB851579 NAX851578:NAX851579 NKT851578:NKT851579 NUP851578:NUP851579 OEL851578:OEL851579 OOH851578:OOH851579 OYD851578:OYD851579 PHZ851578:PHZ851579 PRV851578:PRV851579 QBR851578:QBR851579 QLN851578:QLN851579 QVJ851578:QVJ851579 RFF851578:RFF851579 RPB851578:RPB851579 RYX851578:RYX851579 SIT851578:SIT851579 SSP851578:SSP851579 TCL851578:TCL851579 TMH851578:TMH851579 TWD851578:TWD851579 UFZ851578:UFZ851579 UPV851578:UPV851579 UZR851578:UZR851579 VJN851578:VJN851579 VTJ851578:VTJ851579 WDF851578:WDF851579 WNB851578:WNB851579 WWX851578:WWX851579 AH65146:AH65147 KD65146:KD65147 TZ65146:TZ65147 ADV65146:ADV65147 ANR65146:ANR65147 AXN65146:AXN65147 BHJ65146:BHJ65147 BRF65146:BRF65147 CBB65146:CBB65147 CKX65146:CKX65147 CUT65146:CUT65147 DEP65146:DEP65147 DOL65146:DOL65147 DYH65146:DYH65147 EID65146:EID65147 ERZ65146:ERZ65147 FBV65146:FBV65147 FLR65146:FLR65147 FVN65146:FVN65147 GFJ65146:GFJ65147 GPF65146:GPF65147 GZB65146:GZB65147 HIX65146:HIX65147 HST65146:HST65147 ICP65146:ICP65147 IML65146:IML65147 IWH65146:IWH65147 JGD65146:JGD65147 JPZ65146:JPZ65147 JZV65146:JZV65147 KJR65146:KJR65147 KTN65146:KTN65147 LDJ65146:LDJ65147 LNF65146:LNF65147 LXB65146:LXB65147 MGX65146:MGX65147 MQT65146:MQT65147 NAP65146:NAP65147 NKL65146:NKL65147 NUH65146:NUH65147 OED65146:OED65147 ONZ65146:ONZ65147 OXV65146:OXV65147 PHR65146:PHR65147 PRN65146:PRN65147 QBJ65146:QBJ65147 QLF65146:QLF65147 QVB65146:QVB65147 REX65146:REX65147 ROT65146:ROT65147 RYP65146:RYP65147 SIL65146:SIL65147 SSH65146:SSH65147 TCD65146:TCD65147 TLZ65146:TLZ65147 TVV65146:TVV65147 UFR65146:UFR65147 UPN65146:UPN65147 UZJ65146:UZJ65147 VJF65146:VJF65147 VTB65146:VTB65147 WCX65146:WCX65147 WMT65146:WMT65147 WWP65146:WWP65147 AH130682:AH130683 KD130682:KD130683 TZ130682:TZ130683 ADV130682:ADV130683 ANR130682:ANR130683 AXN130682:AXN130683 BHJ130682:BHJ130683 BRF130682:BRF130683 CBB130682:CBB130683 CKX130682:CKX130683 CUT130682:CUT130683 DEP130682:DEP130683 DOL130682:DOL130683 DYH130682:DYH130683 EID130682:EID130683 ERZ130682:ERZ130683 FBV130682:FBV130683 FLR130682:FLR130683 FVN130682:FVN130683 GFJ130682:GFJ130683 GPF130682:GPF130683 GZB130682:GZB130683 HIX130682:HIX130683 HST130682:HST130683 ICP130682:ICP130683 IML130682:IML130683 IWH130682:IWH130683 JGD130682:JGD130683 JPZ130682:JPZ130683 JZV130682:JZV130683 KJR130682:KJR130683 KTN130682:KTN130683 LDJ130682:LDJ130683 LNF130682:LNF130683 LXB130682:LXB130683 MGX130682:MGX130683 MQT130682:MQT130683 NAP130682:NAP130683 NKL130682:NKL130683 NUH130682:NUH130683 OED130682:OED130683 ONZ130682:ONZ130683 OXV130682:OXV130683 PHR130682:PHR130683 PRN130682:PRN130683 QBJ130682:QBJ130683 QLF130682:QLF130683 QVB130682:QVB130683 REX130682:REX130683 ROT130682:ROT130683 RYP130682:RYP130683 SIL130682:SIL130683 SSH130682:SSH130683 TCD130682:TCD130683 TLZ130682:TLZ130683 TVV130682:TVV130683 UFR130682:UFR130683 UPN130682:UPN130683 UZJ130682:UZJ130683 VJF130682:VJF130683 VTB130682:VTB130683 WCX130682:WCX130683 WMT130682:WMT130683 WWP130682:WWP130683 AH196218:AH196219 KD196218:KD196219 TZ196218:TZ196219 ADV196218:ADV196219 ANR196218:ANR196219 AXN196218:AXN196219 BHJ196218:BHJ196219 BRF196218:BRF196219 CBB196218:CBB196219 CKX196218:CKX196219 CUT196218:CUT196219 DEP196218:DEP196219 DOL196218:DOL196219 DYH196218:DYH196219 EID196218:EID196219 ERZ196218:ERZ196219 FBV196218:FBV196219 FLR196218:FLR196219 FVN196218:FVN196219 GFJ196218:GFJ196219 GPF196218:GPF196219 GZB196218:GZB196219 HIX196218:HIX196219 HST196218:HST196219 ICP196218:ICP196219 IML196218:IML196219 IWH196218:IWH196219 JGD196218:JGD196219 JPZ196218:JPZ196219 JZV196218:JZV196219 KJR196218:KJR196219 KTN196218:KTN196219 LDJ196218:LDJ196219 LNF196218:LNF196219 LXB196218:LXB196219 MGX196218:MGX196219 MQT196218:MQT196219 NAP196218:NAP196219 NKL196218:NKL196219 NUH196218:NUH196219 OED196218:OED196219 ONZ196218:ONZ196219 OXV196218:OXV196219 PHR196218:PHR196219 PRN196218:PRN196219 QBJ196218:QBJ196219 QLF196218:QLF196219 QVB196218:QVB196219 REX196218:REX196219 ROT196218:ROT196219 RYP196218:RYP196219 SIL196218:SIL196219 SSH196218:SSH196219 TCD196218:TCD196219 TLZ196218:TLZ196219 TVV196218:TVV196219 UFR196218:UFR196219 UPN196218:UPN196219 UZJ196218:UZJ196219 VJF196218:VJF196219 VTB196218:VTB196219 WCX196218:WCX196219 WMT196218:WMT196219 WWP196218:WWP196219 AH261754:AH261755 KD261754:KD261755 TZ261754:TZ261755 ADV261754:ADV261755 ANR261754:ANR261755 AXN261754:AXN261755 BHJ261754:BHJ261755 BRF261754:BRF261755 CBB261754:CBB261755 CKX261754:CKX261755 CUT261754:CUT261755 DEP261754:DEP261755 DOL261754:DOL261755 DYH261754:DYH261755 EID261754:EID261755 ERZ261754:ERZ261755 FBV261754:FBV261755 FLR261754:FLR261755 FVN261754:FVN261755 GFJ261754:GFJ261755 GPF261754:GPF261755 GZB261754:GZB261755 HIX261754:HIX261755 HST261754:HST261755 ICP261754:ICP261755 IML261754:IML261755 IWH261754:IWH261755 JGD261754:JGD261755 JPZ261754:JPZ261755 JZV261754:JZV261755 KJR261754:KJR261755 KTN261754:KTN261755 LDJ261754:LDJ261755 LNF261754:LNF261755 LXB261754:LXB261755 MGX261754:MGX261755 MQT261754:MQT261755 NAP261754:NAP261755 NKL261754:NKL261755 NUH261754:NUH261755 OED261754:OED261755 ONZ261754:ONZ261755 OXV261754:OXV261755 PHR261754:PHR261755 PRN261754:PRN261755 QBJ261754:QBJ261755 QLF261754:QLF261755 QVB261754:QVB261755 REX261754:REX261755 ROT261754:ROT261755 RYP261754:RYP261755 SIL261754:SIL261755 SSH261754:SSH261755 TCD261754:TCD261755 TLZ261754:TLZ261755 TVV261754:TVV261755 UFR261754:UFR261755 UPN261754:UPN261755 UZJ261754:UZJ261755 VJF261754:VJF261755 VTB261754:VTB261755 WCX261754:WCX261755 WMT261754:WMT261755 WWP261754:WWP261755 AH327290:AH327291 KD327290:KD327291 TZ327290:TZ327291 ADV327290:ADV327291 ANR327290:ANR327291 AXN327290:AXN327291 BHJ327290:BHJ327291 BRF327290:BRF327291 CBB327290:CBB327291 CKX327290:CKX327291 CUT327290:CUT327291 DEP327290:DEP327291 DOL327290:DOL327291 DYH327290:DYH327291 EID327290:EID327291 ERZ327290:ERZ327291 FBV327290:FBV327291 FLR327290:FLR327291 FVN327290:FVN327291 GFJ327290:GFJ327291 GPF327290:GPF327291 GZB327290:GZB327291 HIX327290:HIX327291 HST327290:HST327291 ICP327290:ICP327291 IML327290:IML327291 IWH327290:IWH327291 JGD327290:JGD327291 JPZ327290:JPZ327291 JZV327290:JZV327291 KJR327290:KJR327291 KTN327290:KTN327291 LDJ327290:LDJ327291 LNF327290:LNF327291 LXB327290:LXB327291 MGX327290:MGX327291 MQT327290:MQT327291 NAP327290:NAP327291 NKL327290:NKL327291 NUH327290:NUH327291 OED327290:OED327291 ONZ327290:ONZ327291 OXV327290:OXV327291 PHR327290:PHR327291 PRN327290:PRN327291 QBJ327290:QBJ327291 QLF327290:QLF327291 QVB327290:QVB327291 REX327290:REX327291 ROT327290:ROT327291 RYP327290:RYP327291 SIL327290:SIL327291 SSH327290:SSH327291 TCD327290:TCD327291 TLZ327290:TLZ327291 TVV327290:TVV327291 UFR327290:UFR327291 UPN327290:UPN327291 UZJ327290:UZJ327291 VJF327290:VJF327291 VTB327290:VTB327291 WCX327290:WCX327291 WMT327290:WMT327291 WWP327290:WWP327291 AH392826:AH392827 KD392826:KD392827 TZ392826:TZ392827 ADV392826:ADV392827 ANR392826:ANR392827 AXN392826:AXN392827 BHJ392826:BHJ392827 BRF392826:BRF392827 CBB392826:CBB392827 CKX392826:CKX392827 CUT392826:CUT392827 DEP392826:DEP392827 DOL392826:DOL392827 DYH392826:DYH392827 EID392826:EID392827 ERZ392826:ERZ392827 FBV392826:FBV392827 FLR392826:FLR392827 FVN392826:FVN392827 GFJ392826:GFJ392827 GPF392826:GPF392827 GZB392826:GZB392827 HIX392826:HIX392827 HST392826:HST392827 ICP392826:ICP392827 IML392826:IML392827 IWH392826:IWH392827 JGD392826:JGD392827 JPZ392826:JPZ392827 JZV392826:JZV392827 KJR392826:KJR392827 KTN392826:KTN392827 LDJ392826:LDJ392827 LNF392826:LNF392827 LXB392826:LXB392827 MGX392826:MGX392827 MQT392826:MQT392827 NAP392826:NAP392827 NKL392826:NKL392827 NUH392826:NUH392827 OED392826:OED392827 ONZ392826:ONZ392827 OXV392826:OXV392827 PHR392826:PHR392827 PRN392826:PRN392827 QBJ392826:QBJ392827 QLF392826:QLF392827 QVB392826:QVB392827 REX392826:REX392827 ROT392826:ROT392827 RYP392826:RYP392827 SIL392826:SIL392827 SSH392826:SSH392827 TCD392826:TCD392827 TLZ392826:TLZ392827 TVV392826:TVV392827 UFR392826:UFR392827 UPN392826:UPN392827 UZJ392826:UZJ392827 VJF392826:VJF392827 VTB392826:VTB392827 WCX392826:WCX392827 WMT392826:WMT392827 WWP392826:WWP392827 AH458362:AH458363 KD458362:KD458363 TZ458362:TZ458363 ADV458362:ADV458363 ANR458362:ANR458363 AXN458362:AXN458363 BHJ458362:BHJ458363 BRF458362:BRF458363 CBB458362:CBB458363 CKX458362:CKX458363 CUT458362:CUT458363 DEP458362:DEP458363 DOL458362:DOL458363 DYH458362:DYH458363 EID458362:EID458363 ERZ458362:ERZ458363 FBV458362:FBV458363 FLR458362:FLR458363 FVN458362:FVN458363 GFJ458362:GFJ458363 GPF458362:GPF458363 GZB458362:GZB458363 HIX458362:HIX458363 HST458362:HST458363 ICP458362:ICP458363 IML458362:IML458363 IWH458362:IWH458363 JGD458362:JGD458363 JPZ458362:JPZ458363 JZV458362:JZV458363 KJR458362:KJR458363 KTN458362:KTN458363 LDJ458362:LDJ458363 LNF458362:LNF458363 LXB458362:LXB458363 MGX458362:MGX458363 MQT458362:MQT458363 NAP458362:NAP458363 NKL458362:NKL458363 NUH458362:NUH458363 OED458362:OED458363 ONZ458362:ONZ458363 OXV458362:OXV458363 PHR458362:PHR458363 PRN458362:PRN458363 QBJ458362:QBJ458363 QLF458362:QLF458363 QVB458362:QVB458363 REX458362:REX458363 ROT458362:ROT458363 RYP458362:RYP458363 SIL458362:SIL458363 SSH458362:SSH458363 TCD458362:TCD458363 TLZ458362:TLZ458363 TVV458362:TVV458363 UFR458362:UFR458363 UPN458362:UPN458363 UZJ458362:UZJ458363 VJF458362:VJF458363 VTB458362:VTB458363 WCX458362:WCX458363 WMT458362:WMT458363 WWP458362:WWP458363 AH523898:AH523899 KD523898:KD523899 TZ523898:TZ523899 ADV523898:ADV523899 ANR523898:ANR523899 AXN523898:AXN523899 BHJ523898:BHJ523899 BRF523898:BRF523899 CBB523898:CBB523899 CKX523898:CKX523899 CUT523898:CUT523899 DEP523898:DEP523899 DOL523898:DOL523899 DYH523898:DYH523899 EID523898:EID523899 ERZ523898:ERZ523899 FBV523898:FBV523899 FLR523898:FLR523899 FVN523898:FVN523899 GFJ523898:GFJ523899 GPF523898:GPF523899 GZB523898:GZB523899 HIX523898:HIX523899 HST523898:HST523899 ICP523898:ICP523899 IML523898:IML523899 IWH523898:IWH523899 JGD523898:JGD523899 JPZ523898:JPZ523899 JZV523898:JZV523899 KJR523898:KJR523899 KTN523898:KTN523899 LDJ523898:LDJ523899 LNF523898:LNF523899 LXB523898:LXB523899 MGX523898:MGX523899 MQT523898:MQT523899 NAP523898:NAP523899 NKL523898:NKL523899 NUH523898:NUH523899 OED523898:OED523899 ONZ523898:ONZ523899 OXV523898:OXV523899 PHR523898:PHR523899 PRN523898:PRN523899 QBJ523898:QBJ523899 QLF523898:QLF523899 QVB523898:QVB523899 REX523898:REX523899 ROT523898:ROT523899 RYP523898:RYP523899 SIL523898:SIL523899 SSH523898:SSH523899 TCD523898:TCD523899 TLZ523898:TLZ523899 TVV523898:TVV523899 UFR523898:UFR523899 UPN523898:UPN523899 UZJ523898:UZJ523899 VJF523898:VJF523899 VTB523898:VTB523899 WCX523898:WCX523899 WMT523898:WMT523899 WWP523898:WWP523899 AH589434:AH589435 KD589434:KD589435 TZ589434:TZ589435 ADV589434:ADV589435 ANR589434:ANR589435 AXN589434:AXN589435 BHJ589434:BHJ589435 BRF589434:BRF589435 CBB589434:CBB589435 CKX589434:CKX589435 CUT589434:CUT589435 DEP589434:DEP589435 DOL589434:DOL589435 DYH589434:DYH589435 EID589434:EID589435 ERZ589434:ERZ589435 FBV589434:FBV589435 FLR589434:FLR589435 FVN589434:FVN589435 GFJ589434:GFJ589435 GPF589434:GPF589435 GZB589434:GZB589435 HIX589434:HIX589435 HST589434:HST589435 ICP589434:ICP589435 IML589434:IML589435 IWH589434:IWH589435 JGD589434:JGD589435 JPZ589434:JPZ589435 JZV589434:JZV589435 KJR589434:KJR589435 KTN589434:KTN589435 LDJ589434:LDJ589435 LNF589434:LNF589435 LXB589434:LXB589435 MGX589434:MGX589435 MQT589434:MQT589435 NAP589434:NAP589435 NKL589434:NKL589435 NUH589434:NUH589435 OED589434:OED589435 ONZ589434:ONZ589435 OXV589434:OXV589435 PHR589434:PHR589435 PRN589434:PRN589435 QBJ589434:QBJ589435 QLF589434:QLF589435 QVB589434:QVB589435 REX589434:REX589435 ROT589434:ROT589435 RYP589434:RYP589435 SIL589434:SIL589435 SSH589434:SSH589435 TCD589434:TCD589435 TLZ589434:TLZ589435 TVV589434:TVV589435 UFR589434:UFR589435 UPN589434:UPN589435 UZJ589434:UZJ589435 VJF589434:VJF589435 VTB589434:VTB589435 WCX589434:WCX589435 WMT589434:WMT589435 WWP589434:WWP589435 AH654970:AH654971 KD654970:KD654971 TZ654970:TZ654971 ADV654970:ADV654971 ANR654970:ANR654971 AXN654970:AXN654971 BHJ654970:BHJ654971 BRF654970:BRF654971 CBB654970:CBB654971 CKX654970:CKX654971 CUT654970:CUT654971 DEP654970:DEP654971 DOL654970:DOL654971 DYH654970:DYH654971 EID654970:EID654971 ERZ654970:ERZ654971 FBV654970:FBV654971 FLR654970:FLR654971 FVN654970:FVN654971 GFJ654970:GFJ654971 GPF654970:GPF654971 GZB654970:GZB654971 HIX654970:HIX654971 HST654970:HST654971 ICP654970:ICP654971 IML654970:IML654971 IWH654970:IWH654971 JGD654970:JGD654971 JPZ654970:JPZ654971 JZV654970:JZV654971 KJR654970:KJR654971 KTN654970:KTN654971 LDJ654970:LDJ654971 LNF654970:LNF654971 LXB654970:LXB654971 MGX654970:MGX654971 MQT654970:MQT654971 NAP654970:NAP654971 NKL654970:NKL654971 NUH654970:NUH654971 OED654970:OED654971 ONZ654970:ONZ654971 OXV654970:OXV654971 PHR654970:PHR654971 PRN654970:PRN654971 QBJ654970:QBJ654971 QLF654970:QLF654971 QVB654970:QVB654971 REX654970:REX654971 ROT654970:ROT654971 RYP654970:RYP654971 SIL654970:SIL654971 SSH654970:SSH654971 TCD654970:TCD654971 TLZ654970:TLZ654971 TVV654970:TVV654971 UFR654970:UFR654971 UPN654970:UPN654971 UZJ654970:UZJ654971 VJF654970:VJF654971 VTB654970:VTB654971 WCX654970:WCX654971 WMT654970:WMT654971 WWP654970:WWP654971 AH720506:AH720507 KD720506:KD720507 TZ720506:TZ720507 ADV720506:ADV720507 ANR720506:ANR720507 AXN720506:AXN720507 BHJ720506:BHJ720507 BRF720506:BRF720507 CBB720506:CBB720507 CKX720506:CKX720507 CUT720506:CUT720507 DEP720506:DEP720507 DOL720506:DOL720507 DYH720506:DYH720507 EID720506:EID720507 ERZ720506:ERZ720507 FBV720506:FBV720507 FLR720506:FLR720507 FVN720506:FVN720507 GFJ720506:GFJ720507 GPF720506:GPF720507 GZB720506:GZB720507 HIX720506:HIX720507 HST720506:HST720507 ICP720506:ICP720507 IML720506:IML720507 IWH720506:IWH720507 JGD720506:JGD720507 JPZ720506:JPZ720507 JZV720506:JZV720507 KJR720506:KJR720507 KTN720506:KTN720507 LDJ720506:LDJ720507 LNF720506:LNF720507 LXB720506:LXB720507 MGX720506:MGX720507 MQT720506:MQT720507 NAP720506:NAP720507 NKL720506:NKL720507 NUH720506:NUH720507 OED720506:OED720507 ONZ720506:ONZ720507 OXV720506:OXV720507 PHR720506:PHR720507 PRN720506:PRN720507 QBJ720506:QBJ720507 QLF720506:QLF720507 QVB720506:QVB720507 REX720506:REX720507 ROT720506:ROT720507 RYP720506:RYP720507 SIL720506:SIL720507 SSH720506:SSH720507 TCD720506:TCD720507 TLZ720506:TLZ720507 TVV720506:TVV720507 UFR720506:UFR720507 UPN720506:UPN720507 UZJ720506:UZJ720507 VJF720506:VJF720507 VTB720506:VTB720507 WCX720506:WCX720507 WMT720506:WMT720507 WWP720506:WWP720507 AH786042:AH786043 KD786042:KD786043 TZ786042:TZ786043 ADV786042:ADV786043 ANR786042:ANR786043 AXN786042:AXN786043 BHJ786042:BHJ786043 BRF786042:BRF786043 CBB786042:CBB786043 CKX786042:CKX786043 CUT786042:CUT786043 DEP786042:DEP786043 DOL786042:DOL786043 DYH786042:DYH786043 EID786042:EID786043 ERZ786042:ERZ786043 FBV786042:FBV786043 FLR786042:FLR786043 FVN786042:FVN786043 GFJ786042:GFJ786043 GPF786042:GPF786043 GZB786042:GZB786043 HIX786042:HIX786043 HST786042:HST786043 ICP786042:ICP786043 IML786042:IML786043 IWH786042:IWH786043 JGD786042:JGD786043 JPZ786042:JPZ786043 JZV786042:JZV786043 KJR786042:KJR786043 KTN786042:KTN786043 LDJ786042:LDJ786043 LNF786042:LNF786043 LXB786042:LXB786043 MGX786042:MGX786043 MQT786042:MQT786043 NAP786042:NAP786043 NKL786042:NKL786043 NUH786042:NUH786043 OED786042:OED786043 ONZ786042:ONZ786043 OXV786042:OXV786043 PHR786042:PHR786043 PRN786042:PRN786043 QBJ786042:QBJ786043 QLF786042:QLF786043 QVB786042:QVB786043 REX786042:REX786043 ROT786042:ROT786043 RYP786042:RYP786043 SIL786042:SIL786043 SSH786042:SSH786043 TCD786042:TCD786043 TLZ786042:TLZ786043 TVV786042:TVV786043 UFR786042:UFR786043 UPN786042:UPN786043 UZJ786042:UZJ786043 VJF786042:VJF786043 VTB786042:VTB786043 WCX786042:WCX786043 WMT786042:WMT786043 WWP786042:WWP786043 AH851578:AH851579 KD851578:KD851579 TZ851578:TZ851579 ADV851578:ADV851579 ANR851578:ANR851579 AXN851578:AXN851579 BHJ851578:BHJ851579 BRF851578:BRF851579 CBB851578:CBB851579 CKX851578:CKX851579 CUT851578:CUT851579 DEP851578:DEP851579 DOL851578:DOL851579 DYH851578:DYH851579 EID851578:EID851579 ERZ851578:ERZ851579 FBV851578:FBV851579 FLR851578:FLR851579 FVN851578:FVN851579 GFJ851578:GFJ851579 GPF851578:GPF851579 GZB851578:GZB851579 HIX851578:HIX851579 HST851578:HST851579 ICP851578:ICP851579 IML851578:IML851579 IWH851578:IWH851579 JGD851578:JGD851579 JPZ851578:JPZ851579 JZV851578:JZV851579 KJR851578:KJR851579 KTN851578:KTN851579 LDJ851578:LDJ851579 LNF851578:LNF851579 LXB851578:LXB851579 MGX851578:MGX851579 MQT851578:MQT851579 NAP851578:NAP851579 NKL851578:NKL851579 NUH851578:NUH851579 OED851578:OED851579 ONZ851578:ONZ851579 OXV851578:OXV851579 PHR851578:PHR851579 PRN851578:PRN851579 QBJ851578:QBJ851579 QLF851578:QLF851579 QVB851578:QVB851579 REX851578:REX851579 ROT851578:ROT851579 RYP851578:RYP851579 SIL851578:SIL851579 SSH851578:SSH851579 TCD851578:TCD851579 TLZ851578:TLZ851579 TVV851578:TVV851579 UFR851578:UFR851579 UPN851578:UPN851579 UZJ851578:UZJ851579 VJF851578:VJF851579 VTB851578:VTB851579 WCX851578:WCX851579 WMT851578:WMT851579 WWP851578:WWP851579 AH917114:AH917115 KD917114:KD917115 TZ917114:TZ917115 ADV917114:ADV917115 ANR917114:ANR917115 AXN917114:AXN917115 BHJ917114:BHJ917115 BRF917114:BRF917115 CBB917114:CBB917115 CKX917114:CKX917115 CUT917114:CUT917115 DEP917114:DEP917115 DOL917114:DOL917115 DYH917114:DYH917115 EID917114:EID917115 ERZ917114:ERZ917115 FBV917114:FBV917115 FLR917114:FLR917115 FVN917114:FVN917115 GFJ917114:GFJ917115 GPF917114:GPF917115 GZB917114:GZB917115 HIX917114:HIX917115 HST917114:HST917115 ICP917114:ICP917115 IML917114:IML917115 IWH917114:IWH917115 JGD917114:JGD917115 JPZ917114:JPZ917115 JZV917114:JZV917115 KJR917114:KJR917115 KTN917114:KTN917115 LDJ917114:LDJ917115 LNF917114:LNF917115 LXB917114:LXB917115 MGX917114:MGX917115 MQT917114:MQT917115 NAP917114:NAP917115 NKL917114:NKL917115 NUH917114:NUH917115 OED917114:OED917115 ONZ917114:ONZ917115 OXV917114:OXV917115 PHR917114:PHR917115 PRN917114:PRN917115 QBJ917114:QBJ917115 QLF917114:QLF917115 QVB917114:QVB917115 REX917114:REX917115 ROT917114:ROT917115 RYP917114:RYP917115 SIL917114:SIL917115 SSH917114:SSH917115 TCD917114:TCD917115 TLZ917114:TLZ917115 TVV917114:TVV917115 UFR917114:UFR917115 UPN917114:UPN917115 UZJ917114:UZJ917115 VJF917114:VJF917115 VTB917114:VTB917115 WCX917114:WCX917115 WMT917114:WMT917115 WWP917114:WWP917115 AH982650:AH982651 KD982650:KD982651 TZ982650:TZ982651 ADV982650:ADV982651 ANR982650:ANR982651 AXN982650:AXN982651 BHJ982650:BHJ982651 BRF982650:BRF982651 CBB982650:CBB982651 CKX982650:CKX982651 CUT982650:CUT982651 DEP982650:DEP982651 DOL982650:DOL982651 DYH982650:DYH982651 EID982650:EID982651 ERZ982650:ERZ982651 FBV982650:FBV982651 FLR982650:FLR982651 FVN982650:FVN982651 GFJ982650:GFJ982651 GPF982650:GPF982651 GZB982650:GZB982651 HIX982650:HIX982651 HST982650:HST982651 ICP982650:ICP982651 IML982650:IML982651 IWH982650:IWH982651 JGD982650:JGD982651 JPZ982650:JPZ982651 JZV982650:JZV982651 KJR982650:KJR982651 KTN982650:KTN982651 LDJ982650:LDJ982651 LNF982650:LNF982651 LXB982650:LXB982651 MGX982650:MGX982651 MQT982650:MQT982651 NAP982650:NAP982651 NKL982650:NKL982651 NUH982650:NUH982651 OED982650:OED982651 ONZ982650:ONZ982651 OXV982650:OXV982651 PHR982650:PHR982651 PRN982650:PRN982651 QBJ982650:QBJ982651 QLF982650:QLF982651 QVB982650:QVB982651 REX982650:REX982651 ROT982650:ROT982651 RYP982650:RYP982651 SIL982650:SIL982651 SSH982650:SSH982651 TCD982650:TCD982651 TLZ982650:TLZ982651 TVV982650:TVV982651 UFR982650:UFR982651 UPN982650:UPN982651 UZJ982650:UZJ982651 VJF982650:VJF982651 VTB982650:VTB982651 WCX982650:WCX982651 WMT982650:WMT982651 WWP982650:WWP982651 AP917114:AP917115 KL917114:KL917115 UH917114:UH917115 AED917114:AED917115 ANZ917114:ANZ917115 AXV917114:AXV917115 BHR917114:BHR917115 BRN917114:BRN917115 CBJ917114:CBJ917115 CLF917114:CLF917115 CVB917114:CVB917115 DEX917114:DEX917115 DOT917114:DOT917115 DYP917114:DYP917115 EIL917114:EIL917115 ESH917114:ESH917115 FCD917114:FCD917115 FLZ917114:FLZ917115 FVV917114:FVV917115 GFR917114:GFR917115 GPN917114:GPN917115 GZJ917114:GZJ917115 HJF917114:HJF917115 HTB917114:HTB917115 ICX917114:ICX917115 IMT917114:IMT917115 IWP917114:IWP917115 JGL917114:JGL917115 JQH917114:JQH917115 KAD917114:KAD917115 KJZ917114:KJZ917115 KTV917114:KTV917115 LDR917114:LDR917115 LNN917114:LNN917115 LXJ917114:LXJ917115 MHF917114:MHF917115 MRB917114:MRB917115 NAX917114:NAX917115 NKT917114:NKT917115 NUP917114:NUP917115 OEL917114:OEL917115 OOH917114:OOH917115 OYD917114:OYD917115 PHZ917114:PHZ917115 PRV917114:PRV917115 QBR917114:QBR917115 QLN917114:QLN917115 QVJ917114:QVJ917115 RFF917114:RFF917115 RPB917114:RPB917115 RYX917114:RYX917115 SIT917114:SIT917115 SSP917114:SSP917115 TCL917114:TCL917115 TMH917114:TMH917115 TWD917114:TWD917115 UFZ917114:UFZ917115 UPV917114:UPV917115 UZR917114:UZR917115 VJN917114:VJN917115 VTJ917114:VTJ917115 WDF917114:WDF917115 WNB917114:WNB917115 WWX917114:WWX917115 AL65146:AL65147 KH65146:KH65147 UD65146:UD65147 ADZ65146:ADZ65147 ANV65146:ANV65147 AXR65146:AXR65147 BHN65146:BHN65147 BRJ65146:BRJ65147 CBF65146:CBF65147 CLB65146:CLB65147 CUX65146:CUX65147 DET65146:DET65147 DOP65146:DOP65147 DYL65146:DYL65147 EIH65146:EIH65147 ESD65146:ESD65147 FBZ65146:FBZ65147 FLV65146:FLV65147 FVR65146:FVR65147 GFN65146:GFN65147 GPJ65146:GPJ65147 GZF65146:GZF65147 HJB65146:HJB65147 HSX65146:HSX65147 ICT65146:ICT65147 IMP65146:IMP65147 IWL65146:IWL65147 JGH65146:JGH65147 JQD65146:JQD65147 JZZ65146:JZZ65147 KJV65146:KJV65147 KTR65146:KTR65147 LDN65146:LDN65147 LNJ65146:LNJ65147 LXF65146:LXF65147 MHB65146:MHB65147 MQX65146:MQX65147 NAT65146:NAT65147 NKP65146:NKP65147 NUL65146:NUL65147 OEH65146:OEH65147 OOD65146:OOD65147 OXZ65146:OXZ65147 PHV65146:PHV65147 PRR65146:PRR65147 QBN65146:QBN65147 QLJ65146:QLJ65147 QVF65146:QVF65147 RFB65146:RFB65147 ROX65146:ROX65147 RYT65146:RYT65147 SIP65146:SIP65147 SSL65146:SSL65147 TCH65146:TCH65147 TMD65146:TMD65147 TVZ65146:TVZ65147 UFV65146:UFV65147 UPR65146:UPR65147 UZN65146:UZN65147 VJJ65146:VJJ65147 VTF65146:VTF65147 WDB65146:WDB65147 WMX65146:WMX65147 WWT65146:WWT65147 AL130682:AL130683 KH130682:KH130683 UD130682:UD130683 ADZ130682:ADZ130683 ANV130682:ANV130683 AXR130682:AXR130683 BHN130682:BHN130683 BRJ130682:BRJ130683 CBF130682:CBF130683 CLB130682:CLB130683 CUX130682:CUX130683 DET130682:DET130683 DOP130682:DOP130683 DYL130682:DYL130683 EIH130682:EIH130683 ESD130682:ESD130683 FBZ130682:FBZ130683 FLV130682:FLV130683 FVR130682:FVR130683 GFN130682:GFN130683 GPJ130682:GPJ130683 GZF130682:GZF130683 HJB130682:HJB130683 HSX130682:HSX130683 ICT130682:ICT130683 IMP130682:IMP130683 IWL130682:IWL130683 JGH130682:JGH130683 JQD130682:JQD130683 JZZ130682:JZZ130683 KJV130682:KJV130683 KTR130682:KTR130683 LDN130682:LDN130683 LNJ130682:LNJ130683 LXF130682:LXF130683 MHB130682:MHB130683 MQX130682:MQX130683 NAT130682:NAT130683 NKP130682:NKP130683 NUL130682:NUL130683 OEH130682:OEH130683 OOD130682:OOD130683 OXZ130682:OXZ130683 PHV130682:PHV130683 PRR130682:PRR130683 QBN130682:QBN130683 QLJ130682:QLJ130683 QVF130682:QVF130683 RFB130682:RFB130683 ROX130682:ROX130683 RYT130682:RYT130683 SIP130682:SIP130683 SSL130682:SSL130683 TCH130682:TCH130683 TMD130682:TMD130683 TVZ130682:TVZ130683 UFV130682:UFV130683 UPR130682:UPR130683 UZN130682:UZN130683 VJJ130682:VJJ130683 VTF130682:VTF130683 WDB130682:WDB130683 WMX130682:WMX130683 WWT130682:WWT130683 AL196218:AL196219 KH196218:KH196219 UD196218:UD196219 ADZ196218:ADZ196219 ANV196218:ANV196219 AXR196218:AXR196219 BHN196218:BHN196219 BRJ196218:BRJ196219 CBF196218:CBF196219 CLB196218:CLB196219 CUX196218:CUX196219 DET196218:DET196219 DOP196218:DOP196219 DYL196218:DYL196219 EIH196218:EIH196219 ESD196218:ESD196219 FBZ196218:FBZ196219 FLV196218:FLV196219 FVR196218:FVR196219 GFN196218:GFN196219 GPJ196218:GPJ196219 GZF196218:GZF196219 HJB196218:HJB196219 HSX196218:HSX196219 ICT196218:ICT196219 IMP196218:IMP196219 IWL196218:IWL196219 JGH196218:JGH196219 JQD196218:JQD196219 JZZ196218:JZZ196219 KJV196218:KJV196219 KTR196218:KTR196219 LDN196218:LDN196219 LNJ196218:LNJ196219 LXF196218:LXF196219 MHB196218:MHB196219 MQX196218:MQX196219 NAT196218:NAT196219 NKP196218:NKP196219 NUL196218:NUL196219 OEH196218:OEH196219 OOD196218:OOD196219 OXZ196218:OXZ196219 PHV196218:PHV196219 PRR196218:PRR196219 QBN196218:QBN196219 QLJ196218:QLJ196219 QVF196218:QVF196219 RFB196218:RFB196219 ROX196218:ROX196219 RYT196218:RYT196219 SIP196218:SIP196219 SSL196218:SSL196219 TCH196218:TCH196219 TMD196218:TMD196219 TVZ196218:TVZ196219 UFV196218:UFV196219 UPR196218:UPR196219 UZN196218:UZN196219 VJJ196218:VJJ196219 VTF196218:VTF196219 WDB196218:WDB196219 WMX196218:WMX196219 WWT196218:WWT196219 AL261754:AL261755 KH261754:KH261755 UD261754:UD261755 ADZ261754:ADZ261755 ANV261754:ANV261755 AXR261754:AXR261755 BHN261754:BHN261755 BRJ261754:BRJ261755 CBF261754:CBF261755 CLB261754:CLB261755 CUX261754:CUX261755 DET261754:DET261755 DOP261754:DOP261755 DYL261754:DYL261755 EIH261754:EIH261755 ESD261754:ESD261755 FBZ261754:FBZ261755 FLV261754:FLV261755 FVR261754:FVR261755 GFN261754:GFN261755 GPJ261754:GPJ261755 GZF261754:GZF261755 HJB261754:HJB261755 HSX261754:HSX261755 ICT261754:ICT261755 IMP261754:IMP261755 IWL261754:IWL261755 JGH261754:JGH261755 JQD261754:JQD261755 JZZ261754:JZZ261755 KJV261754:KJV261755 KTR261754:KTR261755 LDN261754:LDN261755 LNJ261754:LNJ261755 LXF261754:LXF261755 MHB261754:MHB261755 MQX261754:MQX261755 NAT261754:NAT261755 NKP261754:NKP261755 NUL261754:NUL261755 OEH261754:OEH261755 OOD261754:OOD261755 OXZ261754:OXZ261755 PHV261754:PHV261755 PRR261754:PRR261755 QBN261754:QBN261755 QLJ261754:QLJ261755 QVF261754:QVF261755 RFB261754:RFB261755 ROX261754:ROX261755 RYT261754:RYT261755 SIP261754:SIP261755 SSL261754:SSL261755 TCH261754:TCH261755 TMD261754:TMD261755 TVZ261754:TVZ261755 UFV261754:UFV261755 UPR261754:UPR261755 UZN261754:UZN261755 VJJ261754:VJJ261755 VTF261754:VTF261755 WDB261754:WDB261755 WMX261754:WMX261755 WWT261754:WWT261755 AL327290:AL327291 KH327290:KH327291 UD327290:UD327291 ADZ327290:ADZ327291 ANV327290:ANV327291 AXR327290:AXR327291 BHN327290:BHN327291 BRJ327290:BRJ327291 CBF327290:CBF327291 CLB327290:CLB327291 CUX327290:CUX327291 DET327290:DET327291 DOP327290:DOP327291 DYL327290:DYL327291 EIH327290:EIH327291 ESD327290:ESD327291 FBZ327290:FBZ327291 FLV327290:FLV327291 FVR327290:FVR327291 GFN327290:GFN327291 GPJ327290:GPJ327291 GZF327290:GZF327291 HJB327290:HJB327291 HSX327290:HSX327291 ICT327290:ICT327291 IMP327290:IMP327291 IWL327290:IWL327291 JGH327290:JGH327291 JQD327290:JQD327291 JZZ327290:JZZ327291 KJV327290:KJV327291 KTR327290:KTR327291 LDN327290:LDN327291 LNJ327290:LNJ327291 LXF327290:LXF327291 MHB327290:MHB327291 MQX327290:MQX327291 NAT327290:NAT327291 NKP327290:NKP327291 NUL327290:NUL327291 OEH327290:OEH327291 OOD327290:OOD327291 OXZ327290:OXZ327291 PHV327290:PHV327291 PRR327290:PRR327291 QBN327290:QBN327291 QLJ327290:QLJ327291 QVF327290:QVF327291 RFB327290:RFB327291 ROX327290:ROX327291 RYT327290:RYT327291 SIP327290:SIP327291 SSL327290:SSL327291 TCH327290:TCH327291 TMD327290:TMD327291 TVZ327290:TVZ327291 UFV327290:UFV327291 UPR327290:UPR327291 UZN327290:UZN327291 VJJ327290:VJJ327291 VTF327290:VTF327291 WDB327290:WDB327291 WMX327290:WMX327291 WWT327290:WWT327291 AL392826:AL392827 KH392826:KH392827 UD392826:UD392827 ADZ392826:ADZ392827 ANV392826:ANV392827 AXR392826:AXR392827 BHN392826:BHN392827 BRJ392826:BRJ392827 CBF392826:CBF392827 CLB392826:CLB392827 CUX392826:CUX392827 DET392826:DET392827 DOP392826:DOP392827 DYL392826:DYL392827 EIH392826:EIH392827 ESD392826:ESD392827 FBZ392826:FBZ392827 FLV392826:FLV392827 FVR392826:FVR392827 GFN392826:GFN392827 GPJ392826:GPJ392827 GZF392826:GZF392827 HJB392826:HJB392827 HSX392826:HSX392827 ICT392826:ICT392827 IMP392826:IMP392827 IWL392826:IWL392827 JGH392826:JGH392827 JQD392826:JQD392827 JZZ392826:JZZ392827 KJV392826:KJV392827 KTR392826:KTR392827 LDN392826:LDN392827 LNJ392826:LNJ392827 LXF392826:LXF392827 MHB392826:MHB392827 MQX392826:MQX392827 NAT392826:NAT392827 NKP392826:NKP392827 NUL392826:NUL392827 OEH392826:OEH392827 OOD392826:OOD392827 OXZ392826:OXZ392827 PHV392826:PHV392827 PRR392826:PRR392827 QBN392826:QBN392827 QLJ392826:QLJ392827 QVF392826:QVF392827 RFB392826:RFB392827 ROX392826:ROX392827 RYT392826:RYT392827 SIP392826:SIP392827 SSL392826:SSL392827 TCH392826:TCH392827 TMD392826:TMD392827 TVZ392826:TVZ392827 UFV392826:UFV392827 UPR392826:UPR392827 UZN392826:UZN392827 VJJ392826:VJJ392827 VTF392826:VTF392827 WDB392826:WDB392827 WMX392826:WMX392827 WWT392826:WWT392827 AL458362:AL458363 KH458362:KH458363 UD458362:UD458363 ADZ458362:ADZ458363 ANV458362:ANV458363 AXR458362:AXR458363 BHN458362:BHN458363 BRJ458362:BRJ458363 CBF458362:CBF458363 CLB458362:CLB458363 CUX458362:CUX458363 DET458362:DET458363 DOP458362:DOP458363 DYL458362:DYL458363 EIH458362:EIH458363 ESD458362:ESD458363 FBZ458362:FBZ458363 FLV458362:FLV458363 FVR458362:FVR458363 GFN458362:GFN458363 GPJ458362:GPJ458363 GZF458362:GZF458363 HJB458362:HJB458363 HSX458362:HSX458363 ICT458362:ICT458363 IMP458362:IMP458363 IWL458362:IWL458363 JGH458362:JGH458363 JQD458362:JQD458363 JZZ458362:JZZ458363 KJV458362:KJV458363 KTR458362:KTR458363 LDN458362:LDN458363 LNJ458362:LNJ458363 LXF458362:LXF458363 MHB458362:MHB458363 MQX458362:MQX458363 NAT458362:NAT458363 NKP458362:NKP458363 NUL458362:NUL458363 OEH458362:OEH458363 OOD458362:OOD458363 OXZ458362:OXZ458363 PHV458362:PHV458363 PRR458362:PRR458363 QBN458362:QBN458363 QLJ458362:QLJ458363 QVF458362:QVF458363 RFB458362:RFB458363 ROX458362:ROX458363 RYT458362:RYT458363 SIP458362:SIP458363 SSL458362:SSL458363 TCH458362:TCH458363 TMD458362:TMD458363 TVZ458362:TVZ458363 UFV458362:UFV458363 UPR458362:UPR458363 UZN458362:UZN458363 VJJ458362:VJJ458363 VTF458362:VTF458363 WDB458362:WDB458363 WMX458362:WMX458363 WWT458362:WWT458363 AL523898:AL523899 KH523898:KH523899 UD523898:UD523899 ADZ523898:ADZ523899 ANV523898:ANV523899 AXR523898:AXR523899 BHN523898:BHN523899 BRJ523898:BRJ523899 CBF523898:CBF523899 CLB523898:CLB523899 CUX523898:CUX523899 DET523898:DET523899 DOP523898:DOP523899 DYL523898:DYL523899 EIH523898:EIH523899 ESD523898:ESD523899 FBZ523898:FBZ523899 FLV523898:FLV523899 FVR523898:FVR523899 GFN523898:GFN523899 GPJ523898:GPJ523899 GZF523898:GZF523899 HJB523898:HJB523899 HSX523898:HSX523899 ICT523898:ICT523899 IMP523898:IMP523899 IWL523898:IWL523899 JGH523898:JGH523899 JQD523898:JQD523899 JZZ523898:JZZ523899 KJV523898:KJV523899 KTR523898:KTR523899 LDN523898:LDN523899 LNJ523898:LNJ523899 LXF523898:LXF523899 MHB523898:MHB523899 MQX523898:MQX523899 NAT523898:NAT523899 NKP523898:NKP523899 NUL523898:NUL523899 OEH523898:OEH523899 OOD523898:OOD523899 OXZ523898:OXZ523899 PHV523898:PHV523899 PRR523898:PRR523899 QBN523898:QBN523899 QLJ523898:QLJ523899 QVF523898:QVF523899 RFB523898:RFB523899 ROX523898:ROX523899 RYT523898:RYT523899 SIP523898:SIP523899 SSL523898:SSL523899 TCH523898:TCH523899 TMD523898:TMD523899 TVZ523898:TVZ523899 UFV523898:UFV523899 UPR523898:UPR523899 UZN523898:UZN523899 VJJ523898:VJJ523899 VTF523898:VTF523899 WDB523898:WDB523899 WMX523898:WMX523899 WWT523898:WWT523899 AL589434:AL589435 KH589434:KH589435 UD589434:UD589435 ADZ589434:ADZ589435 ANV589434:ANV589435 AXR589434:AXR589435 BHN589434:BHN589435 BRJ589434:BRJ589435 CBF589434:CBF589435 CLB589434:CLB589435 CUX589434:CUX589435 DET589434:DET589435 DOP589434:DOP589435 DYL589434:DYL589435 EIH589434:EIH589435 ESD589434:ESD589435 FBZ589434:FBZ589435 FLV589434:FLV589435 FVR589434:FVR589435 GFN589434:GFN589435 GPJ589434:GPJ589435 GZF589434:GZF589435 HJB589434:HJB589435 HSX589434:HSX589435 ICT589434:ICT589435 IMP589434:IMP589435 IWL589434:IWL589435 JGH589434:JGH589435 JQD589434:JQD589435 JZZ589434:JZZ589435 KJV589434:KJV589435 KTR589434:KTR589435 LDN589434:LDN589435 LNJ589434:LNJ589435 LXF589434:LXF589435 MHB589434:MHB589435 MQX589434:MQX589435 NAT589434:NAT589435 NKP589434:NKP589435 NUL589434:NUL589435 OEH589434:OEH589435 OOD589434:OOD589435 OXZ589434:OXZ589435 PHV589434:PHV589435 PRR589434:PRR589435 QBN589434:QBN589435 QLJ589434:QLJ589435 QVF589434:QVF589435 RFB589434:RFB589435 ROX589434:ROX589435 RYT589434:RYT589435 SIP589434:SIP589435 SSL589434:SSL589435 TCH589434:TCH589435 TMD589434:TMD589435 TVZ589434:TVZ589435 UFV589434:UFV589435 UPR589434:UPR589435 UZN589434:UZN589435 VJJ589434:VJJ589435 VTF589434:VTF589435 WDB589434:WDB589435 WMX589434:WMX589435 WWT589434:WWT589435 AL654970:AL654971 KH654970:KH654971 UD654970:UD654971 ADZ654970:ADZ654971 ANV654970:ANV654971 AXR654970:AXR654971 BHN654970:BHN654971 BRJ654970:BRJ654971 CBF654970:CBF654971 CLB654970:CLB654971 CUX654970:CUX654971 DET654970:DET654971 DOP654970:DOP654971 DYL654970:DYL654971 EIH654970:EIH654971 ESD654970:ESD654971 FBZ654970:FBZ654971 FLV654970:FLV654971 FVR654970:FVR654971 GFN654970:GFN654971 GPJ654970:GPJ654971 GZF654970:GZF654971 HJB654970:HJB654971 HSX654970:HSX654971 ICT654970:ICT654971 IMP654970:IMP654971 IWL654970:IWL654971 JGH654970:JGH654971 JQD654970:JQD654971 JZZ654970:JZZ654971 KJV654970:KJV654971 KTR654970:KTR654971 LDN654970:LDN654971 LNJ654970:LNJ654971 LXF654970:LXF654971 MHB654970:MHB654971 MQX654970:MQX654971 NAT654970:NAT654971 NKP654970:NKP654971 NUL654970:NUL654971 OEH654970:OEH654971 OOD654970:OOD654971 OXZ654970:OXZ654971 PHV654970:PHV654971 PRR654970:PRR654971 QBN654970:QBN654971 QLJ654970:QLJ654971 QVF654970:QVF654971 RFB654970:RFB654971 ROX654970:ROX654971 RYT654970:RYT654971 SIP654970:SIP654971 SSL654970:SSL654971 TCH654970:TCH654971 TMD654970:TMD654971 TVZ654970:TVZ654971 UFV654970:UFV654971 UPR654970:UPR654971 UZN654970:UZN654971 VJJ654970:VJJ654971 VTF654970:VTF654971 WDB654970:WDB654971 WMX654970:WMX654971 WWT654970:WWT654971 AL720506:AL720507 KH720506:KH720507 UD720506:UD720507 ADZ720506:ADZ720507 ANV720506:ANV720507 AXR720506:AXR720507 BHN720506:BHN720507 BRJ720506:BRJ720507 CBF720506:CBF720507 CLB720506:CLB720507 CUX720506:CUX720507 DET720506:DET720507 DOP720506:DOP720507 DYL720506:DYL720507 EIH720506:EIH720507 ESD720506:ESD720507 FBZ720506:FBZ720507 FLV720506:FLV720507 FVR720506:FVR720507 GFN720506:GFN720507 GPJ720506:GPJ720507 GZF720506:GZF720507 HJB720506:HJB720507 HSX720506:HSX720507 ICT720506:ICT720507 IMP720506:IMP720507 IWL720506:IWL720507 JGH720506:JGH720507 JQD720506:JQD720507 JZZ720506:JZZ720507 KJV720506:KJV720507 KTR720506:KTR720507 LDN720506:LDN720507 LNJ720506:LNJ720507 LXF720506:LXF720507 MHB720506:MHB720507 MQX720506:MQX720507 NAT720506:NAT720507 NKP720506:NKP720507 NUL720506:NUL720507 OEH720506:OEH720507 OOD720506:OOD720507 OXZ720506:OXZ720507 PHV720506:PHV720507 PRR720506:PRR720507 QBN720506:QBN720507 QLJ720506:QLJ720507 QVF720506:QVF720507 RFB720506:RFB720507 ROX720506:ROX720507 RYT720506:RYT720507 SIP720506:SIP720507 SSL720506:SSL720507 TCH720506:TCH720507 TMD720506:TMD720507 TVZ720506:TVZ720507 UFV720506:UFV720507 UPR720506:UPR720507 UZN720506:UZN720507 VJJ720506:VJJ720507 VTF720506:VTF720507 WDB720506:WDB720507 WMX720506:WMX720507 WWT720506:WWT720507 AL786042:AL786043 KH786042:KH786043 UD786042:UD786043 ADZ786042:ADZ786043 ANV786042:ANV786043 AXR786042:AXR786043 BHN786042:BHN786043 BRJ786042:BRJ786043 CBF786042:CBF786043 CLB786042:CLB786043 CUX786042:CUX786043 DET786042:DET786043 DOP786042:DOP786043 DYL786042:DYL786043 EIH786042:EIH786043 ESD786042:ESD786043 FBZ786042:FBZ786043 FLV786042:FLV786043 FVR786042:FVR786043 GFN786042:GFN786043 GPJ786042:GPJ786043 GZF786042:GZF786043 HJB786042:HJB786043 HSX786042:HSX786043 ICT786042:ICT786043 IMP786042:IMP786043 IWL786042:IWL786043 JGH786042:JGH786043 JQD786042:JQD786043 JZZ786042:JZZ786043 KJV786042:KJV786043 KTR786042:KTR786043 LDN786042:LDN786043 LNJ786042:LNJ786043 LXF786042:LXF786043 MHB786042:MHB786043 MQX786042:MQX786043 NAT786042:NAT786043 NKP786042:NKP786043 NUL786042:NUL786043 OEH786042:OEH786043 OOD786042:OOD786043 OXZ786042:OXZ786043 PHV786042:PHV786043 PRR786042:PRR786043 QBN786042:QBN786043 QLJ786042:QLJ786043 QVF786042:QVF786043 RFB786042:RFB786043 ROX786042:ROX786043 RYT786042:RYT786043 SIP786042:SIP786043 SSL786042:SSL786043 TCH786042:TCH786043 TMD786042:TMD786043 TVZ786042:TVZ786043 UFV786042:UFV786043 UPR786042:UPR786043 UZN786042:UZN786043 VJJ786042:VJJ786043 VTF786042:VTF786043 WDB786042:WDB786043 WMX786042:WMX786043 WWT786042:WWT786043 AL851578:AL851579 KH851578:KH851579 UD851578:UD851579 ADZ851578:ADZ851579 ANV851578:ANV851579 AXR851578:AXR851579 BHN851578:BHN851579 BRJ851578:BRJ851579 CBF851578:CBF851579 CLB851578:CLB851579 CUX851578:CUX851579 DET851578:DET851579 DOP851578:DOP851579 DYL851578:DYL851579 EIH851578:EIH851579 ESD851578:ESD851579 FBZ851578:FBZ851579 FLV851578:FLV851579 FVR851578:FVR851579 GFN851578:GFN851579 GPJ851578:GPJ851579 GZF851578:GZF851579 HJB851578:HJB851579 HSX851578:HSX851579 ICT851578:ICT851579 IMP851578:IMP851579 IWL851578:IWL851579 JGH851578:JGH851579 JQD851578:JQD851579 JZZ851578:JZZ851579 KJV851578:KJV851579 KTR851578:KTR851579 LDN851578:LDN851579 LNJ851578:LNJ851579 LXF851578:LXF851579 MHB851578:MHB851579 MQX851578:MQX851579 NAT851578:NAT851579 NKP851578:NKP851579 NUL851578:NUL851579 OEH851578:OEH851579 OOD851578:OOD851579 OXZ851578:OXZ851579 PHV851578:PHV851579 PRR851578:PRR851579 QBN851578:QBN851579 QLJ851578:QLJ851579 QVF851578:QVF851579 RFB851578:RFB851579 ROX851578:ROX851579 RYT851578:RYT851579 SIP851578:SIP851579 SSL851578:SSL851579 TCH851578:TCH851579 TMD851578:TMD851579 TVZ851578:TVZ851579 UFV851578:UFV851579 UPR851578:UPR851579 UZN851578:UZN851579 VJJ851578:VJJ851579 VTF851578:VTF851579 WDB851578:WDB851579 WMX851578:WMX851579 WWT851578:WWT851579 AL917114:AL917115 KH917114:KH917115 UD917114:UD917115 ADZ917114:ADZ917115 ANV917114:ANV917115 AXR917114:AXR917115 BHN917114:BHN917115 BRJ917114:BRJ917115 CBF917114:CBF917115 CLB917114:CLB917115 CUX917114:CUX917115 DET917114:DET917115 DOP917114:DOP917115 DYL917114:DYL917115 EIH917114:EIH917115 ESD917114:ESD917115 FBZ917114:FBZ917115 FLV917114:FLV917115 FVR917114:FVR917115 GFN917114:GFN917115 GPJ917114:GPJ917115 GZF917114:GZF917115 HJB917114:HJB917115 HSX917114:HSX917115 ICT917114:ICT917115 IMP917114:IMP917115 IWL917114:IWL917115 JGH917114:JGH917115 JQD917114:JQD917115 JZZ917114:JZZ917115 KJV917114:KJV917115 KTR917114:KTR917115 LDN917114:LDN917115 LNJ917114:LNJ917115 LXF917114:LXF917115 MHB917114:MHB917115 MQX917114:MQX917115 NAT917114:NAT917115 NKP917114:NKP917115 NUL917114:NUL917115 OEH917114:OEH917115 OOD917114:OOD917115 OXZ917114:OXZ917115 PHV917114:PHV917115 PRR917114:PRR917115 QBN917114:QBN917115 QLJ917114:QLJ917115 QVF917114:QVF917115 RFB917114:RFB917115 ROX917114:ROX917115 RYT917114:RYT917115 SIP917114:SIP917115 SSL917114:SSL917115 TCH917114:TCH917115 TMD917114:TMD917115 TVZ917114:TVZ917115 UFV917114:UFV917115 UPR917114:UPR917115 UZN917114:UZN917115 VJJ917114:VJJ917115 VTF917114:VTF917115 WDB917114:WDB917115 WMX917114:WMX917115 WWT917114:WWT917115 AL982650:AL982651 KH982650:KH982651 UD982650:UD982651 ADZ982650:ADZ982651 ANV982650:ANV982651 AXR982650:AXR982651 BHN982650:BHN982651 BRJ982650:BRJ982651 CBF982650:CBF982651 CLB982650:CLB982651 CUX982650:CUX982651 DET982650:DET982651 DOP982650:DOP982651 DYL982650:DYL982651 EIH982650:EIH982651 ESD982650:ESD982651 FBZ982650:FBZ982651 FLV982650:FLV982651 FVR982650:FVR982651 GFN982650:GFN982651 GPJ982650:GPJ982651 GZF982650:GZF982651 HJB982650:HJB982651 HSX982650:HSX982651 ICT982650:ICT982651 IMP982650:IMP982651 IWL982650:IWL982651 JGH982650:JGH982651 JQD982650:JQD982651 JZZ982650:JZZ982651 KJV982650:KJV982651 KTR982650:KTR982651 LDN982650:LDN982651 LNJ982650:LNJ982651 LXF982650:LXF982651 MHB982650:MHB982651 MQX982650:MQX982651 NAT982650:NAT982651 NKP982650:NKP982651 NUL982650:NUL982651 OEH982650:OEH982651 OOD982650:OOD982651 OXZ982650:OXZ982651 PHV982650:PHV982651 PRR982650:PRR982651 QBN982650:QBN982651 QLJ982650:QLJ982651 QVF982650:QVF982651 RFB982650:RFB982651 ROX982650:ROX982651 RYT982650:RYT982651 SIP982650:SIP982651 SSL982650:SSL982651 TCH982650:TCH982651 TMD982650:TMD982651 TVZ982650:TVZ982651 UFV982650:UFV982651 UPR982650:UPR982651 UZN982650:UZN982651 VJJ982650:VJJ982651 VTF982650:VTF982651 WDB982650:WDB982651 WMX982650:WMX982651 WWT982650:WWT982651 AP982650:AP982651 KL982650:KL982651 UH982650:UH982651 AED982650:AED982651 ANZ982650:ANZ982651 AXV982650:AXV982651 BHR982650:BHR982651 BRN982650:BRN982651 CBJ982650:CBJ982651 CLF982650:CLF982651 CVB982650:CVB982651 DEX982650:DEX982651 DOT982650:DOT982651 DYP982650:DYP982651 EIL982650:EIL982651 ESH982650:ESH982651 FCD982650:FCD982651 FLZ982650:FLZ982651 FVV982650:FVV982651 GFR982650:GFR982651 GPN982650:GPN982651 GZJ982650:GZJ982651 HJF982650:HJF982651 HTB982650:HTB982651 ICX982650:ICX982651 IMT982650:IMT982651 IWP982650:IWP982651 JGL982650:JGL982651 JQH982650:JQH982651 KAD982650:KAD982651 KJZ982650:KJZ982651 KTV982650:KTV982651 LDR982650:LDR982651 LNN982650:LNN982651 LXJ982650:LXJ982651 MHF982650:MHF982651 MRB982650:MRB982651 NAX982650:NAX982651 NKT982650:NKT982651 NUP982650:NUP982651 OEL982650:OEL982651 OOH982650:OOH982651 OYD982650:OYD982651 PHZ982650:PHZ982651 PRV982650:PRV982651 QBR982650:QBR982651 QLN982650:QLN982651 QVJ982650:QVJ982651 RFF982650:RFF982651 RPB982650:RPB982651 RYX982650:RYX982651 SIT982650:SIT982651 SSP982650:SSP982651 TCL982650:TCL982651 TMH982650:TMH982651 TWD982650:TWD982651 UFZ982650:UFZ982651 UPV982650:UPV982651 UZR982650:UZR982651 VJN982650:VJN982651 VTJ982650:VTJ982651 WDF982650:WDF982651 WNB982650:WNB982651 WWX982650:WWX982651 AP65146:AP65147 KL65146:KL65147 UH65146:UH65147 AED65146:AED65147 ANZ65146:ANZ65147 AXV65146:AXV65147 BHR65146:BHR65147 BRN65146:BRN65147 CBJ65146:CBJ65147 CLF65146:CLF65147 CVB65146:CVB65147 DEX65146:DEX65147 DOT65146:DOT65147 DYP65146:DYP65147 EIL65146:EIL65147 ESH65146:ESH65147 FCD65146:FCD65147 FLZ65146:FLZ65147 FVV65146:FVV65147 GFR65146:GFR65147 GPN65146:GPN65147 GZJ65146:GZJ65147 HJF65146:HJF65147 HTB65146:HTB65147 ICX65146:ICX65147 IMT65146:IMT65147 IWP65146:IWP65147 JGL65146:JGL65147 JQH65146:JQH65147 KAD65146:KAD65147 KJZ65146:KJZ65147 KTV65146:KTV65147 LDR65146:LDR65147 LNN65146:LNN65147 LXJ65146:LXJ65147 MHF65146:MHF65147 MRB65146:MRB65147 NAX65146:NAX65147 NKT65146:NKT65147 NUP65146:NUP65147 OEL65146:OEL65147 OOH65146:OOH65147 OYD65146:OYD65147 PHZ65146:PHZ65147 PRV65146:PRV65147 QBR65146:QBR65147 QLN65146:QLN65147 QVJ65146:QVJ65147 RFF65146:RFF65147 RPB65146:RPB65147 RYX65146:RYX65147 SIT65146:SIT65147 SSP65146:SSP65147 TCL65146:TCL65147 TMH65146:TMH65147 TWD65146:TWD65147 UFZ65146:UFZ65147 UPV65146:UPV65147 UZR65146:UZR65147 VJN65146:VJN65147 VTJ65146:VTJ65147 WDF65146:WDF65147 WNB65146:WNB65147 WWX65146:WWX65147 AP130682:AP130683 KL130682:KL130683 UH130682:UH130683 AED130682:AED130683 ANZ130682:ANZ130683 AXV130682:AXV130683 BHR130682:BHR130683 BRN130682:BRN130683 CBJ130682:CBJ130683 CLF130682:CLF130683 CVB130682:CVB130683 DEX130682:DEX130683 DOT130682:DOT130683 DYP130682:DYP130683 EIL130682:EIL130683 ESH130682:ESH130683 FCD130682:FCD130683 FLZ130682:FLZ130683 FVV130682:FVV130683 GFR130682:GFR130683 GPN130682:GPN130683 GZJ130682:GZJ130683 HJF130682:HJF130683 HTB130682:HTB130683 ICX130682:ICX130683 IMT130682:IMT130683 IWP130682:IWP130683 JGL130682:JGL130683 JQH130682:JQH130683 KAD130682:KAD130683 KJZ130682:KJZ130683 KTV130682:KTV130683 LDR130682:LDR130683 LNN130682:LNN130683 LXJ130682:LXJ130683 MHF130682:MHF130683 MRB130682:MRB130683 NAX130682:NAX130683 NKT130682:NKT130683 NUP130682:NUP130683 OEL130682:OEL130683 OOH130682:OOH130683 OYD130682:OYD130683 PHZ130682:PHZ130683 PRV130682:PRV130683 QBR130682:QBR130683 QLN130682:QLN130683 QVJ130682:QVJ130683 RFF130682:RFF130683 RPB130682:RPB130683 RYX130682:RYX130683 SIT130682:SIT130683 SSP130682:SSP130683 TCL130682:TCL130683 TMH130682:TMH130683 TWD130682:TWD130683 UFZ130682:UFZ130683 UPV130682:UPV130683 UZR130682:UZR130683 VJN130682:VJN130683 VTJ130682:VTJ130683 WDF130682:WDF130683 WNB130682:WNB130683 WWX130682:WWX130683 AP196218:AP196219 KL196218:KL196219 UH196218:UH196219 AED196218:AED196219 ANZ196218:ANZ196219 AXV196218:AXV196219 BHR196218:BHR196219 BRN196218:BRN196219 CBJ196218:CBJ196219 CLF196218:CLF196219 CVB196218:CVB196219 DEX196218:DEX196219 DOT196218:DOT196219 DYP196218:DYP196219 EIL196218:EIL196219 ESH196218:ESH196219 FCD196218:FCD196219 FLZ196218:FLZ196219 FVV196218:FVV196219 GFR196218:GFR196219 GPN196218:GPN196219 GZJ196218:GZJ196219 HJF196218:HJF196219 HTB196218:HTB196219 ICX196218:ICX196219 IMT196218:IMT196219 IWP196218:IWP196219 JGL196218:JGL196219 JQH196218:JQH196219 KAD196218:KAD196219 KJZ196218:KJZ196219 KTV196218:KTV196219 LDR196218:LDR196219 LNN196218:LNN196219 LXJ196218:LXJ196219 MHF196218:MHF196219 MRB196218:MRB196219 NAX196218:NAX196219 NKT196218:NKT196219 NUP196218:NUP196219 OEL196218:OEL196219 OOH196218:OOH196219 OYD196218:OYD196219 PHZ196218:PHZ196219 PRV196218:PRV196219 QBR196218:QBR196219 QLN196218:QLN196219 QVJ196218:QVJ196219 RFF196218:RFF196219 RPB196218:RPB196219 RYX196218:RYX196219 SIT196218:SIT196219 SSP196218:SSP196219 TCL196218:TCL196219 TMH196218:TMH196219 TWD196218:TWD196219 UFZ196218:UFZ196219 UPV196218:UPV196219 UZR196218:UZR196219 VJN196218:VJN196219 VTJ196218:VTJ196219 WDF196218:WDF196219 WNB196218:WNB196219 WWX196218:WWX196219 AP261754:AP261755 KL261754:KL261755 UH261754:UH261755 AED261754:AED261755 ANZ261754:ANZ261755 AXV261754:AXV261755 BHR261754:BHR261755 BRN261754:BRN261755 CBJ261754:CBJ261755 CLF261754:CLF261755 CVB261754:CVB261755 DEX261754:DEX261755 DOT261754:DOT261755 DYP261754:DYP261755 EIL261754:EIL261755 ESH261754:ESH261755 FCD261754:FCD261755 FLZ261754:FLZ261755 FVV261754:FVV261755 GFR261754:GFR261755 GPN261754:GPN261755 GZJ261754:GZJ261755 HJF261754:HJF261755 HTB261754:HTB261755 ICX261754:ICX261755 IMT261754:IMT261755 IWP261754:IWP261755 JGL261754:JGL261755 JQH261754:JQH261755 KAD261754:KAD261755 KJZ261754:KJZ261755 KTV261754:KTV261755 LDR261754:LDR261755 LNN261754:LNN261755 LXJ261754:LXJ261755 MHF261754:MHF261755 MRB261754:MRB261755 NAX261754:NAX261755 NKT261754:NKT261755 NUP261754:NUP261755 OEL261754:OEL261755 OOH261754:OOH261755 OYD261754:OYD261755 PHZ261754:PHZ261755 PRV261754:PRV261755 QBR261754:QBR261755 QLN261754:QLN261755 QVJ261754:QVJ261755 RFF261754:RFF261755 RPB261754:RPB261755 RYX261754:RYX261755 SIT261754:SIT261755 SSP261754:SSP261755 TCL261754:TCL261755 TMH261754:TMH261755 TWD261754:TWD261755 UFZ261754:UFZ261755 UPV261754:UPV261755 UZR261754:UZR261755 VJN261754:VJN261755 VTJ261754:VTJ261755 WDF261754:WDF261755 WNB261754:WNB261755 WWX261754:WWX261755 AP327290:AP327291 KL327290:KL327291 UH327290:UH327291 AED327290:AED327291 ANZ327290:ANZ327291 AXV327290:AXV327291 BHR327290:BHR327291 BRN327290:BRN327291 CBJ327290:CBJ327291 CLF327290:CLF327291 CVB327290:CVB327291 DEX327290:DEX327291 DOT327290:DOT327291 DYP327290:DYP327291 EIL327290:EIL327291 ESH327290:ESH327291 FCD327290:FCD327291 FLZ327290:FLZ327291 FVV327290:FVV327291 GFR327290:GFR327291 GPN327290:GPN327291 GZJ327290:GZJ327291 HJF327290:HJF327291 HTB327290:HTB327291 ICX327290:ICX327291 IMT327290:IMT327291 IWP327290:IWP327291 JGL327290:JGL327291 JQH327290:JQH327291 KAD327290:KAD327291 KJZ327290:KJZ327291 KTV327290:KTV327291 LDR327290:LDR327291 LNN327290:LNN327291 LXJ327290:LXJ327291 MHF327290:MHF327291 MRB327290:MRB327291 NAX327290:NAX327291 NKT327290:NKT327291 NUP327290:NUP327291 OEL327290:OEL327291 OOH327290:OOH327291 OYD327290:OYD327291 PHZ327290:PHZ327291 PRV327290:PRV327291 QBR327290:QBR327291 QLN327290:QLN327291 QVJ327290:QVJ327291 RFF327290:RFF327291 RPB327290:RPB327291 RYX327290:RYX327291 SIT327290:SIT327291 SSP327290:SSP327291 TCL327290:TCL327291 TMH327290:TMH327291 TWD327290:TWD327291 UFZ327290:UFZ327291 UPV327290:UPV327291 UZR327290:UZR327291 VJN327290:VJN327291 VTJ327290:VTJ327291 WDF327290:WDF327291 WNB327290:WNB327291 WWX327290:WWX327291 AP392826:AP392827 KL392826:KL392827 UH392826:UH392827 AED392826:AED392827 ANZ392826:ANZ392827 AXV392826:AXV392827 BHR392826:BHR392827 BRN392826:BRN392827 CBJ392826:CBJ392827 CLF392826:CLF392827 CVB392826:CVB392827 DEX392826:DEX392827 DOT392826:DOT392827 DYP392826:DYP392827 EIL392826:EIL392827 ESH392826:ESH392827 FCD392826:FCD392827 FLZ392826:FLZ392827 FVV392826:FVV392827 GFR392826:GFR392827 GPN392826:GPN392827 GZJ392826:GZJ392827 HJF392826:HJF392827 HTB392826:HTB392827 ICX392826:ICX392827 IMT392826:IMT392827 IWP392826:IWP392827 JGL392826:JGL392827 JQH392826:JQH392827 KAD392826:KAD392827 KJZ392826:KJZ392827 KTV392826:KTV392827 LDR392826:LDR392827 LNN392826:LNN392827 LXJ392826:LXJ392827 MHF392826:MHF392827 MRB392826:MRB392827 NAX392826:NAX392827 NKT392826:NKT392827 NUP392826:NUP392827 OEL392826:OEL392827 OOH392826:OOH392827 OYD392826:OYD392827 PHZ392826:PHZ392827 PRV392826:PRV392827 QBR392826:QBR392827 QLN392826:QLN392827 QVJ392826:QVJ392827 RFF392826:RFF392827 RPB392826:RPB392827 RYX392826:RYX392827 SIT392826:SIT392827 SSP392826:SSP392827 TCL392826:TCL392827 TMH392826:TMH392827 TWD392826:TWD392827 UFZ392826:UFZ392827 UPV392826:UPV392827 UZR392826:UZR392827 VJN392826:VJN392827 VTJ392826:VTJ392827 WDF392826:WDF392827 WNB392826:WNB392827 WWX392826:WWX392827 AP458362:AP458363 KL458362:KL458363 UH458362:UH458363 AED458362:AED458363 ANZ458362:ANZ458363 AXV458362:AXV458363 BHR458362:BHR458363 BRN458362:BRN458363 CBJ458362:CBJ458363 CLF458362:CLF458363 CVB458362:CVB458363 DEX458362:DEX458363 DOT458362:DOT458363 DYP458362:DYP458363 EIL458362:EIL458363 ESH458362:ESH458363 FCD458362:FCD458363 FLZ458362:FLZ458363 FVV458362:FVV458363 GFR458362:GFR458363 GPN458362:GPN458363 GZJ458362:GZJ458363 HJF458362:HJF458363 HTB458362:HTB458363 ICX458362:ICX458363 IMT458362:IMT458363 IWP458362:IWP458363 JGL458362:JGL458363 JQH458362:JQH458363 KAD458362:KAD458363 KJZ458362:KJZ458363 KTV458362:KTV458363 LDR458362:LDR458363 LNN458362:LNN458363 LXJ458362:LXJ458363 MHF458362:MHF458363 MRB458362:MRB458363 NAX458362:NAX458363 NKT458362:NKT458363 NUP458362:NUP458363 OEL458362:OEL458363 OOH458362:OOH458363 OYD458362:OYD458363 PHZ458362:PHZ458363 PRV458362:PRV458363 QBR458362:QBR458363 QLN458362:QLN458363 QVJ458362:QVJ458363 RFF458362:RFF458363 RPB458362:RPB458363 RYX458362:RYX458363 SIT458362:SIT458363 SSP458362:SSP458363 TCL458362:TCL458363 TMH458362:TMH458363 TWD458362:TWD458363 UFZ458362:UFZ458363 UPV458362:UPV458363 UZR458362:UZR458363 VJN458362:VJN458363 VTJ458362:VTJ458363 WDF458362:WDF458363 WNB458362:WNB458363 WWX458362:WWX458363 AP523898:AP523899 KL523898:KL523899 UH523898:UH523899 AED523898:AED523899 ANZ523898:ANZ523899 AXV523898:AXV523899 BHR523898:BHR523899 BRN523898:BRN523899 CBJ523898:CBJ523899 CLF523898:CLF523899 CVB523898:CVB523899 DEX523898:DEX523899 DOT523898:DOT523899 DYP523898:DYP523899 EIL523898:EIL523899 ESH523898:ESH523899 FCD523898:FCD523899 FLZ523898:FLZ523899 FVV523898:FVV523899 GFR523898:GFR523899 GPN523898:GPN523899 GZJ523898:GZJ523899 HJF523898:HJF523899 HTB523898:HTB523899 ICX523898:ICX523899 IMT523898:IMT523899 IWP523898:IWP523899 JGL523898:JGL523899 JQH523898:JQH523899 KAD523898:KAD523899 KJZ523898:KJZ523899 KTV523898:KTV523899 LDR523898:LDR523899 LNN523898:LNN523899 LXJ523898:LXJ523899 MHF523898:MHF523899 MRB523898:MRB523899 NAX523898:NAX523899 NKT523898:NKT523899 NUP523898:NUP523899 OEL523898:OEL523899 OOH523898:OOH523899 OYD523898:OYD523899 PHZ523898:PHZ523899 PRV523898:PRV523899 QBR523898:QBR523899 QLN523898:QLN523899 QVJ523898:QVJ523899 RFF523898:RFF523899 RPB523898:RPB523899 RYX523898:RYX523899 SIT523898:SIT523899 SSP523898:SSP523899 TCL523898:TCL523899 TMH523898:TMH523899 TWD523898:TWD523899 UFZ523898:UFZ523899 UPV523898:UPV523899 UZR523898:UZR523899 VJN523898:VJN523899 VTJ523898:VTJ523899 WDF523898:WDF523899 WNB523898:WNB523899 WWX523898:WWX523899 AP589434:AP589435 KL589434:KL589435 UH589434:UH589435 AED589434:AED589435 ANZ589434:ANZ589435 AXV589434:AXV589435 BHR589434:BHR589435 BRN589434:BRN589435 CBJ589434:CBJ589435 CLF589434:CLF589435 CVB589434:CVB589435 DEX589434:DEX589435 DOT589434:DOT589435 DYP589434:DYP589435 EIL589434:EIL589435 ESH589434:ESH589435 FCD589434:FCD589435 FLZ589434:FLZ589435 FVV589434:FVV589435 GFR589434:GFR589435 GPN589434:GPN589435 GZJ589434:GZJ589435 HJF589434:HJF589435 HTB589434:HTB589435 ICX589434:ICX589435 IMT589434:IMT589435 IWP589434:IWP589435 JGL589434:JGL589435 JQH589434:JQH589435 KAD589434:KAD589435 KJZ589434:KJZ589435 KTV589434:KTV589435 LDR589434:LDR589435 LNN589434:LNN589435 LXJ589434:LXJ589435 MHF589434:MHF589435 MRB589434:MRB589435 NAX589434:NAX589435 NKT589434:NKT589435 NUP589434:NUP589435 OEL589434:OEL589435 OOH589434:OOH589435 OYD589434:OYD589435 PHZ589434:PHZ589435 PRV589434:PRV589435 QBR589434:QBR589435 QLN589434:QLN589435 QVJ589434:QVJ589435 RFF589434:RFF589435 RPB589434:RPB589435 RYX589434:RYX589435 SIT589434:SIT589435 SSP589434:SSP589435 TCL589434:TCL589435 TMH589434:TMH589435 TWD589434:TWD589435 UFZ589434:UFZ589435 UPV589434:UPV589435 UZR589434:UZR589435 VJN589434:VJN589435 VTJ589434:VTJ589435 WDF589434:WDF589435 WNB589434:WNB589435 WWX589434:WWX589435 AP654970:AP654971 KL654970:KL654971 UH654970:UH654971 AED654970:AED654971 ANZ654970:ANZ654971 AXV654970:AXV654971 BHR654970:BHR654971 BRN654970:BRN654971 CBJ654970:CBJ654971 CLF654970:CLF654971 CVB654970:CVB654971 DEX654970:DEX654971 DOT654970:DOT654971 DYP654970:DYP654971 EIL654970:EIL654971 ESH654970:ESH654971 FCD654970:FCD654971 FLZ654970:FLZ654971 FVV654970:FVV654971 GFR654970:GFR654971 GPN654970:GPN654971 GZJ654970:GZJ654971 HJF654970:HJF654971 HTB654970:HTB654971 ICX654970:ICX654971 IMT654970:IMT654971 IWP654970:IWP654971 JGL654970:JGL654971 JQH654970:JQH654971 KAD654970:KAD654971 KJZ654970:KJZ654971 KTV654970:KTV654971 LDR654970:LDR654971 LNN654970:LNN654971 LXJ654970:LXJ654971 MHF654970:MHF654971 MRB654970:MRB654971 NAX654970:NAX654971 NKT654970:NKT654971 NUP654970:NUP654971 OEL654970:OEL654971 OOH654970:OOH654971 OYD654970:OYD654971 PHZ654970:PHZ654971 PRV654970:PRV654971 QBR654970:QBR654971 QLN654970:QLN654971 QVJ654970:QVJ654971 RFF654970:RFF654971 RPB654970:RPB654971 RYX654970:RYX654971 SIT654970:SIT654971 SSP654970:SSP654971 TCL654970:TCL654971 TMH654970:TMH654971 TWD654970:TWD654971 UFZ654970:UFZ654971 UPV654970:UPV654971 UZR654970:UZR654971 VJN654970:VJN654971 VTJ654970:VTJ654971 WDF654970:WDF654971 WNB654970:WNB654971 WWX654970:WWX654971 Z3:Z4 JV3:JV4 TR3:TR4 ADN3:ADN4 ANJ3:ANJ4 AXF3:AXF4 BHB3:BHB4 BQX3:BQX4 CAT3:CAT4 CKP3:CKP4 CUL3:CUL4 DEH3:DEH4 DOD3:DOD4 DXZ3:DXZ4 EHV3:EHV4 ERR3:ERR4 FBN3:FBN4 FLJ3:FLJ4 FVF3:FVF4 GFB3:GFB4 GOX3:GOX4 GYT3:GYT4 HIP3:HIP4 HSL3:HSL4 ICH3:ICH4 IMD3:IMD4 IVZ3:IVZ4 JFV3:JFV4 JPR3:JPR4 JZN3:JZN4 KJJ3:KJJ4 KTF3:KTF4 LDB3:LDB4 LMX3:LMX4 LWT3:LWT4 MGP3:MGP4 MQL3:MQL4 NAH3:NAH4 NKD3:NKD4 NTZ3:NTZ4 ODV3:ODV4 ONR3:ONR4 OXN3:OXN4 PHJ3:PHJ4 PRF3:PRF4 QBB3:QBB4 QKX3:QKX4 QUT3:QUT4 REP3:REP4 ROL3:ROL4 RYH3:RYH4 SID3:SID4 SRZ3:SRZ4 TBV3:TBV4 TLR3:TLR4 TVN3:TVN4 UFJ3:UFJ4 UPF3:UPF4 UZB3:UZB4 VIX3:VIX4 VST3:VST4 WCP3:WCP4 WML3:WML4 WWH3:WWH4 AD3:AD4 JZ3:JZ4 TV3:TV4 ADR3:ADR4 ANN3:ANN4 AXJ3:AXJ4 BHF3:BHF4 BRB3:BRB4 CAX3:CAX4 CKT3:CKT4 CUP3:CUP4 DEL3:DEL4 DOH3:DOH4 DYD3:DYD4 EHZ3:EHZ4 ERV3:ERV4 FBR3:FBR4 FLN3:FLN4 FVJ3:FVJ4 GFF3:GFF4 GPB3:GPB4 GYX3:GYX4 HIT3:HIT4 HSP3:HSP4 ICL3:ICL4 IMH3:IMH4 IWD3:IWD4 JFZ3:JFZ4 JPV3:JPV4 JZR3:JZR4 KJN3:KJN4 KTJ3:KTJ4 LDF3:LDF4 LNB3:LNB4 LWX3:LWX4 MGT3:MGT4 MQP3:MQP4 NAL3:NAL4 NKH3:NKH4 NUD3:NUD4 ODZ3:ODZ4 ONV3:ONV4 OXR3:OXR4 PHN3:PHN4 PRJ3:PRJ4 QBF3:QBF4 QLB3:QLB4 QUX3:QUX4 RET3:RET4 ROP3:ROP4 RYL3:RYL4 SIH3:SIH4 SSD3:SSD4 TBZ3:TBZ4 TLV3:TLV4 TVR3:TVR4 UFN3:UFN4 UPJ3:UPJ4 UZF3:UZF4 VJB3:VJB4 VSX3:VSX4 WCT3:WCT4 WMP3:WMP4 WWL3:WWL4 AH3:AH4 KD3:KD4 TZ3:TZ4 ADV3:ADV4 ANR3:ANR4 AXN3:AXN4 BHJ3:BHJ4 BRF3:BRF4 CBB3:CBB4 CKX3:CKX4 CUT3:CUT4 DEP3:DEP4 DOL3:DOL4 DYH3:DYH4 EID3:EID4 ERZ3:ERZ4 FBV3:FBV4 FLR3:FLR4 FVN3:FVN4 GFJ3:GFJ4 GPF3:GPF4 GZB3:GZB4 HIX3:HIX4 HST3:HST4 ICP3:ICP4 IML3:IML4 IWH3:IWH4 JGD3:JGD4 JPZ3:JPZ4 JZV3:JZV4 KJR3:KJR4 KTN3:KTN4 LDJ3:LDJ4 LNF3:LNF4 LXB3:LXB4 MGX3:MGX4 MQT3:MQT4 NAP3:NAP4 NKL3:NKL4 NUH3:NUH4 OED3:OED4 ONZ3:ONZ4 OXV3:OXV4 PHR3:PHR4 PRN3:PRN4 QBJ3:QBJ4 QLF3:QLF4 QVB3:QVB4 REX3:REX4 ROT3:ROT4 RYP3:RYP4 SIL3:SIL4 SSH3:SSH4 TCD3:TCD4 TLZ3:TLZ4 TVV3:TVV4 UFR3:UFR4 UPN3:UPN4 UZJ3:UZJ4 VJF3:VJF4 VTB3:VTB4 WCX3:WCX4 WMT3:WMT4 WWP3:WWP4 AL3:AL4 KH3:KH4 UD3:UD4 ADZ3:ADZ4 ANV3:ANV4 AXR3:AXR4 BHN3:BHN4 BRJ3:BRJ4 CBF3:CBF4 CLB3:CLB4 CUX3:CUX4 DET3:DET4 DOP3:DOP4 DYL3:DYL4 EIH3:EIH4 ESD3:ESD4 FBZ3:FBZ4 FLV3:FLV4 FVR3:FVR4 GFN3:GFN4 GPJ3:GPJ4 GZF3:GZF4 HJB3:HJB4 HSX3:HSX4 ICT3:ICT4 IMP3:IMP4 IWL3:IWL4 JGH3:JGH4 JQD3:JQD4 JZZ3:JZZ4 KJV3:KJV4 KTR3:KTR4 LDN3:LDN4 LNJ3:LNJ4 LXF3:LXF4 MHB3:MHB4 MQX3:MQX4 NAT3:NAT4 NKP3:NKP4 NUL3:NUL4 OEH3:OEH4 OOD3:OOD4 OXZ3:OXZ4 PHV3:PHV4 PRR3:PRR4 QBN3:QBN4 QLJ3:QLJ4 QVF3:QVF4 RFB3:RFB4 ROX3:ROX4 RYT3:RYT4 SIP3:SIP4 SSL3:SSL4 TCH3:TCH4 TMD3:TMD4 TVZ3:TVZ4 UFV3:UFV4 UPR3:UPR4 UZN3:UZN4 VJJ3:VJJ4 VTF3:VTF4 WDB3:WDB4 WMX3:WMX4 WWT3:WWT4 AP3:AP4 KL3:KL4 UH3:UH4 AED3:AED4 ANZ3:ANZ4 AXV3:AXV4 BHR3:BHR4 BRN3:BRN4 CBJ3:CBJ4 CLF3:CLF4 CVB3:CVB4 DEX3:DEX4 DOT3:DOT4 DYP3:DYP4 EIL3:EIL4 ESH3:ESH4 FCD3:FCD4 FLZ3:FLZ4 FVV3:FVV4 GFR3:GFR4 GPN3:GPN4 GZJ3:GZJ4 HJF3:HJF4 HTB3:HTB4 ICX3:ICX4 IMT3:IMT4 IWP3:IWP4 JGL3:JGL4 JQH3:JQH4 KAD3:KAD4 KJZ3:KJZ4 KTV3:KTV4 LDR3:LDR4 LNN3:LNN4 LXJ3:LXJ4 MHF3:MHF4 MRB3:MRB4 NAX3:NAX4 NKT3:NKT4 NUP3:NUP4 OEL3:OEL4 OOH3:OOH4 OYD3:OYD4 PHZ3:PHZ4 PRV3:PRV4 QBR3:QBR4 QLN3:QLN4 QVJ3:QVJ4 RFF3:RFF4 RPB3:RPB4 RYX3:RYX4 SIT3:SIT4 SSP3:SSP4 TCL3:TCL4 TMH3:TMH4 TWD3:TWD4 UFZ3:UFZ4 UPV3:UPV4 UZR3:UZR4 VJN3:VJN4 VTJ3:VTJ4 WDF3:WDF4 WNB3:WNB4 WWX3:WWX4" xr:uid="{00000000-0002-0000-0900-000005000000}"/>
    <dataValidation allowBlank="1" showInputMessage="1" showErrorMessage="1" promptTitle="UPC" prompt="Enter the item UPC here." sqref="Y982650:Y982872 JU982650:JU982872 TQ982650:TQ982872 ADM982650:ADM982872 ANI982650:ANI982872 AXE982650:AXE982872 BHA982650:BHA982872 BQW982650:BQW982872 CAS982650:CAS982872 CKO982650:CKO982872 CUK982650:CUK982872 DEG982650:DEG982872 DOC982650:DOC982872 DXY982650:DXY982872 EHU982650:EHU982872 ERQ982650:ERQ982872 FBM982650:FBM982872 FLI982650:FLI982872 FVE982650:FVE982872 GFA982650:GFA982872 GOW982650:GOW982872 GYS982650:GYS982872 HIO982650:HIO982872 HSK982650:HSK982872 ICG982650:ICG982872 IMC982650:IMC982872 IVY982650:IVY982872 JFU982650:JFU982872 JPQ982650:JPQ982872 JZM982650:JZM982872 KJI982650:KJI982872 KTE982650:KTE982872 LDA982650:LDA982872 LMW982650:LMW982872 LWS982650:LWS982872 MGO982650:MGO982872 MQK982650:MQK982872 NAG982650:NAG982872 NKC982650:NKC982872 NTY982650:NTY982872 ODU982650:ODU982872 ONQ982650:ONQ982872 OXM982650:OXM982872 PHI982650:PHI982872 PRE982650:PRE982872 QBA982650:QBA982872 QKW982650:QKW982872 QUS982650:QUS982872 REO982650:REO982872 ROK982650:ROK982872 RYG982650:RYG982872 SIC982650:SIC982872 SRY982650:SRY982872 TBU982650:TBU982872 TLQ982650:TLQ982872 TVM982650:TVM982872 UFI982650:UFI982872 UPE982650:UPE982872 UZA982650:UZA982872 VIW982650:VIW982872 VSS982650:VSS982872 WCO982650:WCO982872 WMK982650:WMK982872 WWG982650:WWG982872 Y65146:Y65368 JU65146:JU65368 TQ65146:TQ65368 ADM65146:ADM65368 ANI65146:ANI65368 AXE65146:AXE65368 BHA65146:BHA65368 BQW65146:BQW65368 CAS65146:CAS65368 CKO65146:CKO65368 CUK65146:CUK65368 DEG65146:DEG65368 DOC65146:DOC65368 DXY65146:DXY65368 EHU65146:EHU65368 ERQ65146:ERQ65368 FBM65146:FBM65368 FLI65146:FLI65368 FVE65146:FVE65368 GFA65146:GFA65368 GOW65146:GOW65368 GYS65146:GYS65368 HIO65146:HIO65368 HSK65146:HSK65368 ICG65146:ICG65368 IMC65146:IMC65368 IVY65146:IVY65368 JFU65146:JFU65368 JPQ65146:JPQ65368 JZM65146:JZM65368 KJI65146:KJI65368 KTE65146:KTE65368 LDA65146:LDA65368 LMW65146:LMW65368 LWS65146:LWS65368 MGO65146:MGO65368 MQK65146:MQK65368 NAG65146:NAG65368 NKC65146:NKC65368 NTY65146:NTY65368 ODU65146:ODU65368 ONQ65146:ONQ65368 OXM65146:OXM65368 PHI65146:PHI65368 PRE65146:PRE65368 QBA65146:QBA65368 QKW65146:QKW65368 QUS65146:QUS65368 REO65146:REO65368 ROK65146:ROK65368 RYG65146:RYG65368 SIC65146:SIC65368 SRY65146:SRY65368 TBU65146:TBU65368 TLQ65146:TLQ65368 TVM65146:TVM65368 UFI65146:UFI65368 UPE65146:UPE65368 UZA65146:UZA65368 VIW65146:VIW65368 VSS65146:VSS65368 WCO65146:WCO65368 WMK65146:WMK65368 WWG65146:WWG65368 Y130682:Y130904 JU130682:JU130904 TQ130682:TQ130904 ADM130682:ADM130904 ANI130682:ANI130904 AXE130682:AXE130904 BHA130682:BHA130904 BQW130682:BQW130904 CAS130682:CAS130904 CKO130682:CKO130904 CUK130682:CUK130904 DEG130682:DEG130904 DOC130682:DOC130904 DXY130682:DXY130904 EHU130682:EHU130904 ERQ130682:ERQ130904 FBM130682:FBM130904 FLI130682:FLI130904 FVE130682:FVE130904 GFA130682:GFA130904 GOW130682:GOW130904 GYS130682:GYS130904 HIO130682:HIO130904 HSK130682:HSK130904 ICG130682:ICG130904 IMC130682:IMC130904 IVY130682:IVY130904 JFU130682:JFU130904 JPQ130682:JPQ130904 JZM130682:JZM130904 KJI130682:KJI130904 KTE130682:KTE130904 LDA130682:LDA130904 LMW130682:LMW130904 LWS130682:LWS130904 MGO130682:MGO130904 MQK130682:MQK130904 NAG130682:NAG130904 NKC130682:NKC130904 NTY130682:NTY130904 ODU130682:ODU130904 ONQ130682:ONQ130904 OXM130682:OXM130904 PHI130682:PHI130904 PRE130682:PRE130904 QBA130682:QBA130904 QKW130682:QKW130904 QUS130682:QUS130904 REO130682:REO130904 ROK130682:ROK130904 RYG130682:RYG130904 SIC130682:SIC130904 SRY130682:SRY130904 TBU130682:TBU130904 TLQ130682:TLQ130904 TVM130682:TVM130904 UFI130682:UFI130904 UPE130682:UPE130904 UZA130682:UZA130904 VIW130682:VIW130904 VSS130682:VSS130904 WCO130682:WCO130904 WMK130682:WMK130904 WWG130682:WWG130904 Y196218:Y196440 JU196218:JU196440 TQ196218:TQ196440 ADM196218:ADM196440 ANI196218:ANI196440 AXE196218:AXE196440 BHA196218:BHA196440 BQW196218:BQW196440 CAS196218:CAS196440 CKO196218:CKO196440 CUK196218:CUK196440 DEG196218:DEG196440 DOC196218:DOC196440 DXY196218:DXY196440 EHU196218:EHU196440 ERQ196218:ERQ196440 FBM196218:FBM196440 FLI196218:FLI196440 FVE196218:FVE196440 GFA196218:GFA196440 GOW196218:GOW196440 GYS196218:GYS196440 HIO196218:HIO196440 HSK196218:HSK196440 ICG196218:ICG196440 IMC196218:IMC196440 IVY196218:IVY196440 JFU196218:JFU196440 JPQ196218:JPQ196440 JZM196218:JZM196440 KJI196218:KJI196440 KTE196218:KTE196440 LDA196218:LDA196440 LMW196218:LMW196440 LWS196218:LWS196440 MGO196218:MGO196440 MQK196218:MQK196440 NAG196218:NAG196440 NKC196218:NKC196440 NTY196218:NTY196440 ODU196218:ODU196440 ONQ196218:ONQ196440 OXM196218:OXM196440 PHI196218:PHI196440 PRE196218:PRE196440 QBA196218:QBA196440 QKW196218:QKW196440 QUS196218:QUS196440 REO196218:REO196440 ROK196218:ROK196440 RYG196218:RYG196440 SIC196218:SIC196440 SRY196218:SRY196440 TBU196218:TBU196440 TLQ196218:TLQ196440 TVM196218:TVM196440 UFI196218:UFI196440 UPE196218:UPE196440 UZA196218:UZA196440 VIW196218:VIW196440 VSS196218:VSS196440 WCO196218:WCO196440 WMK196218:WMK196440 WWG196218:WWG196440 Y261754:Y261976 JU261754:JU261976 TQ261754:TQ261976 ADM261754:ADM261976 ANI261754:ANI261976 AXE261754:AXE261976 BHA261754:BHA261976 BQW261754:BQW261976 CAS261754:CAS261976 CKO261754:CKO261976 CUK261754:CUK261976 DEG261754:DEG261976 DOC261754:DOC261976 DXY261754:DXY261976 EHU261754:EHU261976 ERQ261754:ERQ261976 FBM261754:FBM261976 FLI261754:FLI261976 FVE261754:FVE261976 GFA261754:GFA261976 GOW261754:GOW261976 GYS261754:GYS261976 HIO261754:HIO261976 HSK261754:HSK261976 ICG261754:ICG261976 IMC261754:IMC261976 IVY261754:IVY261976 JFU261754:JFU261976 JPQ261754:JPQ261976 JZM261754:JZM261976 KJI261754:KJI261976 KTE261754:KTE261976 LDA261754:LDA261976 LMW261754:LMW261976 LWS261754:LWS261976 MGO261754:MGO261976 MQK261754:MQK261976 NAG261754:NAG261976 NKC261754:NKC261976 NTY261754:NTY261976 ODU261754:ODU261976 ONQ261754:ONQ261976 OXM261754:OXM261976 PHI261754:PHI261976 PRE261754:PRE261976 QBA261754:QBA261976 QKW261754:QKW261976 QUS261754:QUS261976 REO261754:REO261976 ROK261754:ROK261976 RYG261754:RYG261976 SIC261754:SIC261976 SRY261754:SRY261976 TBU261754:TBU261976 TLQ261754:TLQ261976 TVM261754:TVM261976 UFI261754:UFI261976 UPE261754:UPE261976 UZA261754:UZA261976 VIW261754:VIW261976 VSS261754:VSS261976 WCO261754:WCO261976 WMK261754:WMK261976 WWG261754:WWG261976 Y327290:Y327512 JU327290:JU327512 TQ327290:TQ327512 ADM327290:ADM327512 ANI327290:ANI327512 AXE327290:AXE327512 BHA327290:BHA327512 BQW327290:BQW327512 CAS327290:CAS327512 CKO327290:CKO327512 CUK327290:CUK327512 DEG327290:DEG327512 DOC327290:DOC327512 DXY327290:DXY327512 EHU327290:EHU327512 ERQ327290:ERQ327512 FBM327290:FBM327512 FLI327290:FLI327512 FVE327290:FVE327512 GFA327290:GFA327512 GOW327290:GOW327512 GYS327290:GYS327512 HIO327290:HIO327512 HSK327290:HSK327512 ICG327290:ICG327512 IMC327290:IMC327512 IVY327290:IVY327512 JFU327290:JFU327512 JPQ327290:JPQ327512 JZM327290:JZM327512 KJI327290:KJI327512 KTE327290:KTE327512 LDA327290:LDA327512 LMW327290:LMW327512 LWS327290:LWS327512 MGO327290:MGO327512 MQK327290:MQK327512 NAG327290:NAG327512 NKC327290:NKC327512 NTY327290:NTY327512 ODU327290:ODU327512 ONQ327290:ONQ327512 OXM327290:OXM327512 PHI327290:PHI327512 PRE327290:PRE327512 QBA327290:QBA327512 QKW327290:QKW327512 QUS327290:QUS327512 REO327290:REO327512 ROK327290:ROK327512 RYG327290:RYG327512 SIC327290:SIC327512 SRY327290:SRY327512 TBU327290:TBU327512 TLQ327290:TLQ327512 TVM327290:TVM327512 UFI327290:UFI327512 UPE327290:UPE327512 UZA327290:UZA327512 VIW327290:VIW327512 VSS327290:VSS327512 WCO327290:WCO327512 WMK327290:WMK327512 WWG327290:WWG327512 Y392826:Y393048 JU392826:JU393048 TQ392826:TQ393048 ADM392826:ADM393048 ANI392826:ANI393048 AXE392826:AXE393048 BHA392826:BHA393048 BQW392826:BQW393048 CAS392826:CAS393048 CKO392826:CKO393048 CUK392826:CUK393048 DEG392826:DEG393048 DOC392826:DOC393048 DXY392826:DXY393048 EHU392826:EHU393048 ERQ392826:ERQ393048 FBM392826:FBM393048 FLI392826:FLI393048 FVE392826:FVE393048 GFA392826:GFA393048 GOW392826:GOW393048 GYS392826:GYS393048 HIO392826:HIO393048 HSK392826:HSK393048 ICG392826:ICG393048 IMC392826:IMC393048 IVY392826:IVY393048 JFU392826:JFU393048 JPQ392826:JPQ393048 JZM392826:JZM393048 KJI392826:KJI393048 KTE392826:KTE393048 LDA392826:LDA393048 LMW392826:LMW393048 LWS392826:LWS393048 MGO392826:MGO393048 MQK392826:MQK393048 NAG392826:NAG393048 NKC392826:NKC393048 NTY392826:NTY393048 ODU392826:ODU393048 ONQ392826:ONQ393048 OXM392826:OXM393048 PHI392826:PHI393048 PRE392826:PRE393048 QBA392826:QBA393048 QKW392826:QKW393048 QUS392826:QUS393048 REO392826:REO393048 ROK392826:ROK393048 RYG392826:RYG393048 SIC392826:SIC393048 SRY392826:SRY393048 TBU392826:TBU393048 TLQ392826:TLQ393048 TVM392826:TVM393048 UFI392826:UFI393048 UPE392826:UPE393048 UZA392826:UZA393048 VIW392826:VIW393048 VSS392826:VSS393048 WCO392826:WCO393048 WMK392826:WMK393048 WWG392826:WWG393048 Y458362:Y458584 JU458362:JU458584 TQ458362:TQ458584 ADM458362:ADM458584 ANI458362:ANI458584 AXE458362:AXE458584 BHA458362:BHA458584 BQW458362:BQW458584 CAS458362:CAS458584 CKO458362:CKO458584 CUK458362:CUK458584 DEG458362:DEG458584 DOC458362:DOC458584 DXY458362:DXY458584 EHU458362:EHU458584 ERQ458362:ERQ458584 FBM458362:FBM458584 FLI458362:FLI458584 FVE458362:FVE458584 GFA458362:GFA458584 GOW458362:GOW458584 GYS458362:GYS458584 HIO458362:HIO458584 HSK458362:HSK458584 ICG458362:ICG458584 IMC458362:IMC458584 IVY458362:IVY458584 JFU458362:JFU458584 JPQ458362:JPQ458584 JZM458362:JZM458584 KJI458362:KJI458584 KTE458362:KTE458584 LDA458362:LDA458584 LMW458362:LMW458584 LWS458362:LWS458584 MGO458362:MGO458584 MQK458362:MQK458584 NAG458362:NAG458584 NKC458362:NKC458584 NTY458362:NTY458584 ODU458362:ODU458584 ONQ458362:ONQ458584 OXM458362:OXM458584 PHI458362:PHI458584 PRE458362:PRE458584 QBA458362:QBA458584 QKW458362:QKW458584 QUS458362:QUS458584 REO458362:REO458584 ROK458362:ROK458584 RYG458362:RYG458584 SIC458362:SIC458584 SRY458362:SRY458584 TBU458362:TBU458584 TLQ458362:TLQ458584 TVM458362:TVM458584 UFI458362:UFI458584 UPE458362:UPE458584 UZA458362:UZA458584 VIW458362:VIW458584 VSS458362:VSS458584 WCO458362:WCO458584 WMK458362:WMK458584 WWG458362:WWG458584 Y523898:Y524120 JU523898:JU524120 TQ523898:TQ524120 ADM523898:ADM524120 ANI523898:ANI524120 AXE523898:AXE524120 BHA523898:BHA524120 BQW523898:BQW524120 CAS523898:CAS524120 CKO523898:CKO524120 CUK523898:CUK524120 DEG523898:DEG524120 DOC523898:DOC524120 DXY523898:DXY524120 EHU523898:EHU524120 ERQ523898:ERQ524120 FBM523898:FBM524120 FLI523898:FLI524120 FVE523898:FVE524120 GFA523898:GFA524120 GOW523898:GOW524120 GYS523898:GYS524120 HIO523898:HIO524120 HSK523898:HSK524120 ICG523898:ICG524120 IMC523898:IMC524120 IVY523898:IVY524120 JFU523898:JFU524120 JPQ523898:JPQ524120 JZM523898:JZM524120 KJI523898:KJI524120 KTE523898:KTE524120 LDA523898:LDA524120 LMW523898:LMW524120 LWS523898:LWS524120 MGO523898:MGO524120 MQK523898:MQK524120 NAG523898:NAG524120 NKC523898:NKC524120 NTY523898:NTY524120 ODU523898:ODU524120 ONQ523898:ONQ524120 OXM523898:OXM524120 PHI523898:PHI524120 PRE523898:PRE524120 QBA523898:QBA524120 QKW523898:QKW524120 QUS523898:QUS524120 REO523898:REO524120 ROK523898:ROK524120 RYG523898:RYG524120 SIC523898:SIC524120 SRY523898:SRY524120 TBU523898:TBU524120 TLQ523898:TLQ524120 TVM523898:TVM524120 UFI523898:UFI524120 UPE523898:UPE524120 UZA523898:UZA524120 VIW523898:VIW524120 VSS523898:VSS524120 WCO523898:WCO524120 WMK523898:WMK524120 WWG523898:WWG524120 Y589434:Y589656 JU589434:JU589656 TQ589434:TQ589656 ADM589434:ADM589656 ANI589434:ANI589656 AXE589434:AXE589656 BHA589434:BHA589656 BQW589434:BQW589656 CAS589434:CAS589656 CKO589434:CKO589656 CUK589434:CUK589656 DEG589434:DEG589656 DOC589434:DOC589656 DXY589434:DXY589656 EHU589434:EHU589656 ERQ589434:ERQ589656 FBM589434:FBM589656 FLI589434:FLI589656 FVE589434:FVE589656 GFA589434:GFA589656 GOW589434:GOW589656 GYS589434:GYS589656 HIO589434:HIO589656 HSK589434:HSK589656 ICG589434:ICG589656 IMC589434:IMC589656 IVY589434:IVY589656 JFU589434:JFU589656 JPQ589434:JPQ589656 JZM589434:JZM589656 KJI589434:KJI589656 KTE589434:KTE589656 LDA589434:LDA589656 LMW589434:LMW589656 LWS589434:LWS589656 MGO589434:MGO589656 MQK589434:MQK589656 NAG589434:NAG589656 NKC589434:NKC589656 NTY589434:NTY589656 ODU589434:ODU589656 ONQ589434:ONQ589656 OXM589434:OXM589656 PHI589434:PHI589656 PRE589434:PRE589656 QBA589434:QBA589656 QKW589434:QKW589656 QUS589434:QUS589656 REO589434:REO589656 ROK589434:ROK589656 RYG589434:RYG589656 SIC589434:SIC589656 SRY589434:SRY589656 TBU589434:TBU589656 TLQ589434:TLQ589656 TVM589434:TVM589656 UFI589434:UFI589656 UPE589434:UPE589656 UZA589434:UZA589656 VIW589434:VIW589656 VSS589434:VSS589656 WCO589434:WCO589656 WMK589434:WMK589656 WWG589434:WWG589656 Y654970:Y655192 JU654970:JU655192 TQ654970:TQ655192 ADM654970:ADM655192 ANI654970:ANI655192 AXE654970:AXE655192 BHA654970:BHA655192 BQW654970:BQW655192 CAS654970:CAS655192 CKO654970:CKO655192 CUK654970:CUK655192 DEG654970:DEG655192 DOC654970:DOC655192 DXY654970:DXY655192 EHU654970:EHU655192 ERQ654970:ERQ655192 FBM654970:FBM655192 FLI654970:FLI655192 FVE654970:FVE655192 GFA654970:GFA655192 GOW654970:GOW655192 GYS654970:GYS655192 HIO654970:HIO655192 HSK654970:HSK655192 ICG654970:ICG655192 IMC654970:IMC655192 IVY654970:IVY655192 JFU654970:JFU655192 JPQ654970:JPQ655192 JZM654970:JZM655192 KJI654970:KJI655192 KTE654970:KTE655192 LDA654970:LDA655192 LMW654970:LMW655192 LWS654970:LWS655192 MGO654970:MGO655192 MQK654970:MQK655192 NAG654970:NAG655192 NKC654970:NKC655192 NTY654970:NTY655192 ODU654970:ODU655192 ONQ654970:ONQ655192 OXM654970:OXM655192 PHI654970:PHI655192 PRE654970:PRE655192 QBA654970:QBA655192 QKW654970:QKW655192 QUS654970:QUS655192 REO654970:REO655192 ROK654970:ROK655192 RYG654970:RYG655192 SIC654970:SIC655192 SRY654970:SRY655192 TBU654970:TBU655192 TLQ654970:TLQ655192 TVM654970:TVM655192 UFI654970:UFI655192 UPE654970:UPE655192 UZA654970:UZA655192 VIW654970:VIW655192 VSS654970:VSS655192 WCO654970:WCO655192 WMK654970:WMK655192 WWG654970:WWG655192 Y720506:Y720728 JU720506:JU720728 TQ720506:TQ720728 ADM720506:ADM720728 ANI720506:ANI720728 AXE720506:AXE720728 BHA720506:BHA720728 BQW720506:BQW720728 CAS720506:CAS720728 CKO720506:CKO720728 CUK720506:CUK720728 DEG720506:DEG720728 DOC720506:DOC720728 DXY720506:DXY720728 EHU720506:EHU720728 ERQ720506:ERQ720728 FBM720506:FBM720728 FLI720506:FLI720728 FVE720506:FVE720728 GFA720506:GFA720728 GOW720506:GOW720728 GYS720506:GYS720728 HIO720506:HIO720728 HSK720506:HSK720728 ICG720506:ICG720728 IMC720506:IMC720728 IVY720506:IVY720728 JFU720506:JFU720728 JPQ720506:JPQ720728 JZM720506:JZM720728 KJI720506:KJI720728 KTE720506:KTE720728 LDA720506:LDA720728 LMW720506:LMW720728 LWS720506:LWS720728 MGO720506:MGO720728 MQK720506:MQK720728 NAG720506:NAG720728 NKC720506:NKC720728 NTY720506:NTY720728 ODU720506:ODU720728 ONQ720506:ONQ720728 OXM720506:OXM720728 PHI720506:PHI720728 PRE720506:PRE720728 QBA720506:QBA720728 QKW720506:QKW720728 QUS720506:QUS720728 REO720506:REO720728 ROK720506:ROK720728 RYG720506:RYG720728 SIC720506:SIC720728 SRY720506:SRY720728 TBU720506:TBU720728 TLQ720506:TLQ720728 TVM720506:TVM720728 UFI720506:UFI720728 UPE720506:UPE720728 UZA720506:UZA720728 VIW720506:VIW720728 VSS720506:VSS720728 WCO720506:WCO720728 WMK720506:WMK720728 WWG720506:WWG720728 Y786042:Y786264 JU786042:JU786264 TQ786042:TQ786264 ADM786042:ADM786264 ANI786042:ANI786264 AXE786042:AXE786264 BHA786042:BHA786264 BQW786042:BQW786264 CAS786042:CAS786264 CKO786042:CKO786264 CUK786042:CUK786264 DEG786042:DEG786264 DOC786042:DOC786264 DXY786042:DXY786264 EHU786042:EHU786264 ERQ786042:ERQ786264 FBM786042:FBM786264 FLI786042:FLI786264 FVE786042:FVE786264 GFA786042:GFA786264 GOW786042:GOW786264 GYS786042:GYS786264 HIO786042:HIO786264 HSK786042:HSK786264 ICG786042:ICG786264 IMC786042:IMC786264 IVY786042:IVY786264 JFU786042:JFU786264 JPQ786042:JPQ786264 JZM786042:JZM786264 KJI786042:KJI786264 KTE786042:KTE786264 LDA786042:LDA786264 LMW786042:LMW786264 LWS786042:LWS786264 MGO786042:MGO786264 MQK786042:MQK786264 NAG786042:NAG786264 NKC786042:NKC786264 NTY786042:NTY786264 ODU786042:ODU786264 ONQ786042:ONQ786264 OXM786042:OXM786264 PHI786042:PHI786264 PRE786042:PRE786264 QBA786042:QBA786264 QKW786042:QKW786264 QUS786042:QUS786264 REO786042:REO786264 ROK786042:ROK786264 RYG786042:RYG786264 SIC786042:SIC786264 SRY786042:SRY786264 TBU786042:TBU786264 TLQ786042:TLQ786264 TVM786042:TVM786264 UFI786042:UFI786264 UPE786042:UPE786264 UZA786042:UZA786264 VIW786042:VIW786264 VSS786042:VSS786264 WCO786042:WCO786264 WMK786042:WMK786264 WWG786042:WWG786264 Y851578:Y851800 JU851578:JU851800 TQ851578:TQ851800 ADM851578:ADM851800 ANI851578:ANI851800 AXE851578:AXE851800 BHA851578:BHA851800 BQW851578:BQW851800 CAS851578:CAS851800 CKO851578:CKO851800 CUK851578:CUK851800 DEG851578:DEG851800 DOC851578:DOC851800 DXY851578:DXY851800 EHU851578:EHU851800 ERQ851578:ERQ851800 FBM851578:FBM851800 FLI851578:FLI851800 FVE851578:FVE851800 GFA851578:GFA851800 GOW851578:GOW851800 GYS851578:GYS851800 HIO851578:HIO851800 HSK851578:HSK851800 ICG851578:ICG851800 IMC851578:IMC851800 IVY851578:IVY851800 JFU851578:JFU851800 JPQ851578:JPQ851800 JZM851578:JZM851800 KJI851578:KJI851800 KTE851578:KTE851800 LDA851578:LDA851800 LMW851578:LMW851800 LWS851578:LWS851800 MGO851578:MGO851800 MQK851578:MQK851800 NAG851578:NAG851800 NKC851578:NKC851800 NTY851578:NTY851800 ODU851578:ODU851800 ONQ851578:ONQ851800 OXM851578:OXM851800 PHI851578:PHI851800 PRE851578:PRE851800 QBA851578:QBA851800 QKW851578:QKW851800 QUS851578:QUS851800 REO851578:REO851800 ROK851578:ROK851800 RYG851578:RYG851800 SIC851578:SIC851800 SRY851578:SRY851800 TBU851578:TBU851800 TLQ851578:TLQ851800 TVM851578:TVM851800 UFI851578:UFI851800 UPE851578:UPE851800 UZA851578:UZA851800 VIW851578:VIW851800 VSS851578:VSS851800 WCO851578:WCO851800 WMK851578:WMK851800 WWG851578:WWG851800 Y917114:Y917336 JU917114:JU917336 TQ917114:TQ917336 ADM917114:ADM917336 ANI917114:ANI917336 AXE917114:AXE917336 BHA917114:BHA917336 BQW917114:BQW917336 CAS917114:CAS917336 CKO917114:CKO917336 CUK917114:CUK917336 DEG917114:DEG917336 DOC917114:DOC917336 DXY917114:DXY917336 EHU917114:EHU917336 ERQ917114:ERQ917336 FBM917114:FBM917336 FLI917114:FLI917336 FVE917114:FVE917336 GFA917114:GFA917336 GOW917114:GOW917336 GYS917114:GYS917336 HIO917114:HIO917336 HSK917114:HSK917336 ICG917114:ICG917336 IMC917114:IMC917336 IVY917114:IVY917336 JFU917114:JFU917336 JPQ917114:JPQ917336 JZM917114:JZM917336 KJI917114:KJI917336 KTE917114:KTE917336 LDA917114:LDA917336 LMW917114:LMW917336 LWS917114:LWS917336 MGO917114:MGO917336 MQK917114:MQK917336 NAG917114:NAG917336 NKC917114:NKC917336 NTY917114:NTY917336 ODU917114:ODU917336 ONQ917114:ONQ917336 OXM917114:OXM917336 PHI917114:PHI917336 PRE917114:PRE917336 QBA917114:QBA917336 QKW917114:QKW917336 QUS917114:QUS917336 REO917114:REO917336 ROK917114:ROK917336 RYG917114:RYG917336 SIC917114:SIC917336 SRY917114:SRY917336 TBU917114:TBU917336 TLQ917114:TLQ917336 TVM917114:TVM917336 UFI917114:UFI917336 UPE917114:UPE917336 UZA917114:UZA917336 VIW917114:VIW917336 VSS917114:VSS917336 WCO917114:WCO917336 WMK917114:WMK917336 WWG917114:WWG917336 Y3:Y225 JU3:JU225 TQ3:TQ225 ADM3:ADM225 ANI3:ANI225 AXE3:AXE225 BHA3:BHA225 BQW3:BQW225 CAS3:CAS225 CKO3:CKO225 CUK3:CUK225 DEG3:DEG225 DOC3:DOC225 DXY3:DXY225 EHU3:EHU225 ERQ3:ERQ225 FBM3:FBM225 FLI3:FLI225 FVE3:FVE225 GFA3:GFA225 GOW3:GOW225 GYS3:GYS225 HIO3:HIO225 HSK3:HSK225 ICG3:ICG225 IMC3:IMC225 IVY3:IVY225 JFU3:JFU225 JPQ3:JPQ225 JZM3:JZM225 KJI3:KJI225 KTE3:KTE225 LDA3:LDA225 LMW3:LMW225 LWS3:LWS225 MGO3:MGO225 MQK3:MQK225 NAG3:NAG225 NKC3:NKC225 NTY3:NTY225 ODU3:ODU225 ONQ3:ONQ225 OXM3:OXM225 PHI3:PHI225 PRE3:PRE225 QBA3:QBA225 QKW3:QKW225 QUS3:QUS225 REO3:REO225 ROK3:ROK225 RYG3:RYG225 SIC3:SIC225 SRY3:SRY225 TBU3:TBU225 TLQ3:TLQ225 TVM3:TVM225 UFI3:UFI225 UPE3:UPE225 UZA3:UZA225 VIW3:VIW225 VSS3:VSS225 WCO3:WCO225 WMK3:WMK225 WWG3:WWG225" xr:uid="{00000000-0002-0000-0900-000006000000}"/>
    <dataValidation allowBlank="1" showInputMessage="1" showErrorMessage="1" promptTitle="Merchant SKU" prompt="Enter the SKU identifier supplied by your Merchant partner.  While not always required, it's generally best practice to provide this on all items." sqref="W982650:W982651 JS982650:JS982651 TO982650:TO982651 ADK982650:ADK982651 ANG982650:ANG982651 AXC982650:AXC982651 BGY982650:BGY982651 BQU982650:BQU982651 CAQ982650:CAQ982651 CKM982650:CKM982651 CUI982650:CUI982651 DEE982650:DEE982651 DOA982650:DOA982651 DXW982650:DXW982651 EHS982650:EHS982651 ERO982650:ERO982651 FBK982650:FBK982651 FLG982650:FLG982651 FVC982650:FVC982651 GEY982650:GEY982651 GOU982650:GOU982651 GYQ982650:GYQ982651 HIM982650:HIM982651 HSI982650:HSI982651 ICE982650:ICE982651 IMA982650:IMA982651 IVW982650:IVW982651 JFS982650:JFS982651 JPO982650:JPO982651 JZK982650:JZK982651 KJG982650:KJG982651 KTC982650:KTC982651 LCY982650:LCY982651 LMU982650:LMU982651 LWQ982650:LWQ982651 MGM982650:MGM982651 MQI982650:MQI982651 NAE982650:NAE982651 NKA982650:NKA982651 NTW982650:NTW982651 ODS982650:ODS982651 ONO982650:ONO982651 OXK982650:OXK982651 PHG982650:PHG982651 PRC982650:PRC982651 QAY982650:QAY982651 QKU982650:QKU982651 QUQ982650:QUQ982651 REM982650:REM982651 ROI982650:ROI982651 RYE982650:RYE982651 SIA982650:SIA982651 SRW982650:SRW982651 TBS982650:TBS982651 TLO982650:TLO982651 TVK982650:TVK982651 UFG982650:UFG982651 UPC982650:UPC982651 UYY982650:UYY982651 VIU982650:VIU982651 VSQ982650:VSQ982651 WCM982650:WCM982651 WMI982650:WMI982651 WWE982650:WWE982651 W65146:W65147 JS65146:JS65147 TO65146:TO65147 ADK65146:ADK65147 ANG65146:ANG65147 AXC65146:AXC65147 BGY65146:BGY65147 BQU65146:BQU65147 CAQ65146:CAQ65147 CKM65146:CKM65147 CUI65146:CUI65147 DEE65146:DEE65147 DOA65146:DOA65147 DXW65146:DXW65147 EHS65146:EHS65147 ERO65146:ERO65147 FBK65146:FBK65147 FLG65146:FLG65147 FVC65146:FVC65147 GEY65146:GEY65147 GOU65146:GOU65147 GYQ65146:GYQ65147 HIM65146:HIM65147 HSI65146:HSI65147 ICE65146:ICE65147 IMA65146:IMA65147 IVW65146:IVW65147 JFS65146:JFS65147 JPO65146:JPO65147 JZK65146:JZK65147 KJG65146:KJG65147 KTC65146:KTC65147 LCY65146:LCY65147 LMU65146:LMU65147 LWQ65146:LWQ65147 MGM65146:MGM65147 MQI65146:MQI65147 NAE65146:NAE65147 NKA65146:NKA65147 NTW65146:NTW65147 ODS65146:ODS65147 ONO65146:ONO65147 OXK65146:OXK65147 PHG65146:PHG65147 PRC65146:PRC65147 QAY65146:QAY65147 QKU65146:QKU65147 QUQ65146:QUQ65147 REM65146:REM65147 ROI65146:ROI65147 RYE65146:RYE65147 SIA65146:SIA65147 SRW65146:SRW65147 TBS65146:TBS65147 TLO65146:TLO65147 TVK65146:TVK65147 UFG65146:UFG65147 UPC65146:UPC65147 UYY65146:UYY65147 VIU65146:VIU65147 VSQ65146:VSQ65147 WCM65146:WCM65147 WMI65146:WMI65147 WWE65146:WWE65147 W130682:W130683 JS130682:JS130683 TO130682:TO130683 ADK130682:ADK130683 ANG130682:ANG130683 AXC130682:AXC130683 BGY130682:BGY130683 BQU130682:BQU130683 CAQ130682:CAQ130683 CKM130682:CKM130683 CUI130682:CUI130683 DEE130682:DEE130683 DOA130682:DOA130683 DXW130682:DXW130683 EHS130682:EHS130683 ERO130682:ERO130683 FBK130682:FBK130683 FLG130682:FLG130683 FVC130682:FVC130683 GEY130682:GEY130683 GOU130682:GOU130683 GYQ130682:GYQ130683 HIM130682:HIM130683 HSI130682:HSI130683 ICE130682:ICE130683 IMA130682:IMA130683 IVW130682:IVW130683 JFS130682:JFS130683 JPO130682:JPO130683 JZK130682:JZK130683 KJG130682:KJG130683 KTC130682:KTC130683 LCY130682:LCY130683 LMU130682:LMU130683 LWQ130682:LWQ130683 MGM130682:MGM130683 MQI130682:MQI130683 NAE130682:NAE130683 NKA130682:NKA130683 NTW130682:NTW130683 ODS130682:ODS130683 ONO130682:ONO130683 OXK130682:OXK130683 PHG130682:PHG130683 PRC130682:PRC130683 QAY130682:QAY130683 QKU130682:QKU130683 QUQ130682:QUQ130683 REM130682:REM130683 ROI130682:ROI130683 RYE130682:RYE130683 SIA130682:SIA130683 SRW130682:SRW130683 TBS130682:TBS130683 TLO130682:TLO130683 TVK130682:TVK130683 UFG130682:UFG130683 UPC130682:UPC130683 UYY130682:UYY130683 VIU130682:VIU130683 VSQ130682:VSQ130683 WCM130682:WCM130683 WMI130682:WMI130683 WWE130682:WWE130683 W196218:W196219 JS196218:JS196219 TO196218:TO196219 ADK196218:ADK196219 ANG196218:ANG196219 AXC196218:AXC196219 BGY196218:BGY196219 BQU196218:BQU196219 CAQ196218:CAQ196219 CKM196218:CKM196219 CUI196218:CUI196219 DEE196218:DEE196219 DOA196218:DOA196219 DXW196218:DXW196219 EHS196218:EHS196219 ERO196218:ERO196219 FBK196218:FBK196219 FLG196218:FLG196219 FVC196218:FVC196219 GEY196218:GEY196219 GOU196218:GOU196219 GYQ196218:GYQ196219 HIM196218:HIM196219 HSI196218:HSI196219 ICE196218:ICE196219 IMA196218:IMA196219 IVW196218:IVW196219 JFS196218:JFS196219 JPO196218:JPO196219 JZK196218:JZK196219 KJG196218:KJG196219 KTC196218:KTC196219 LCY196218:LCY196219 LMU196218:LMU196219 LWQ196218:LWQ196219 MGM196218:MGM196219 MQI196218:MQI196219 NAE196218:NAE196219 NKA196218:NKA196219 NTW196218:NTW196219 ODS196218:ODS196219 ONO196218:ONO196219 OXK196218:OXK196219 PHG196218:PHG196219 PRC196218:PRC196219 QAY196218:QAY196219 QKU196218:QKU196219 QUQ196218:QUQ196219 REM196218:REM196219 ROI196218:ROI196219 RYE196218:RYE196219 SIA196218:SIA196219 SRW196218:SRW196219 TBS196218:TBS196219 TLO196218:TLO196219 TVK196218:TVK196219 UFG196218:UFG196219 UPC196218:UPC196219 UYY196218:UYY196219 VIU196218:VIU196219 VSQ196218:VSQ196219 WCM196218:WCM196219 WMI196218:WMI196219 WWE196218:WWE196219 W261754:W261755 JS261754:JS261755 TO261754:TO261755 ADK261754:ADK261755 ANG261754:ANG261755 AXC261754:AXC261755 BGY261754:BGY261755 BQU261754:BQU261755 CAQ261754:CAQ261755 CKM261754:CKM261755 CUI261754:CUI261755 DEE261754:DEE261755 DOA261754:DOA261755 DXW261754:DXW261755 EHS261754:EHS261755 ERO261754:ERO261755 FBK261754:FBK261755 FLG261754:FLG261755 FVC261754:FVC261755 GEY261754:GEY261755 GOU261754:GOU261755 GYQ261754:GYQ261755 HIM261754:HIM261755 HSI261754:HSI261755 ICE261754:ICE261755 IMA261754:IMA261755 IVW261754:IVW261755 JFS261754:JFS261755 JPO261754:JPO261755 JZK261754:JZK261755 KJG261754:KJG261755 KTC261754:KTC261755 LCY261754:LCY261755 LMU261754:LMU261755 LWQ261754:LWQ261755 MGM261754:MGM261755 MQI261754:MQI261755 NAE261754:NAE261755 NKA261754:NKA261755 NTW261754:NTW261755 ODS261754:ODS261755 ONO261754:ONO261755 OXK261754:OXK261755 PHG261754:PHG261755 PRC261754:PRC261755 QAY261754:QAY261755 QKU261754:QKU261755 QUQ261754:QUQ261755 REM261754:REM261755 ROI261754:ROI261755 RYE261754:RYE261755 SIA261754:SIA261755 SRW261754:SRW261755 TBS261754:TBS261755 TLO261754:TLO261755 TVK261754:TVK261755 UFG261754:UFG261755 UPC261754:UPC261755 UYY261754:UYY261755 VIU261754:VIU261755 VSQ261754:VSQ261755 WCM261754:WCM261755 WMI261754:WMI261755 WWE261754:WWE261755 W327290:W327291 JS327290:JS327291 TO327290:TO327291 ADK327290:ADK327291 ANG327290:ANG327291 AXC327290:AXC327291 BGY327290:BGY327291 BQU327290:BQU327291 CAQ327290:CAQ327291 CKM327290:CKM327291 CUI327290:CUI327291 DEE327290:DEE327291 DOA327290:DOA327291 DXW327290:DXW327291 EHS327290:EHS327291 ERO327290:ERO327291 FBK327290:FBK327291 FLG327290:FLG327291 FVC327290:FVC327291 GEY327290:GEY327291 GOU327290:GOU327291 GYQ327290:GYQ327291 HIM327290:HIM327291 HSI327290:HSI327291 ICE327290:ICE327291 IMA327290:IMA327291 IVW327290:IVW327291 JFS327290:JFS327291 JPO327290:JPO327291 JZK327290:JZK327291 KJG327290:KJG327291 KTC327290:KTC327291 LCY327290:LCY327291 LMU327290:LMU327291 LWQ327290:LWQ327291 MGM327290:MGM327291 MQI327290:MQI327291 NAE327290:NAE327291 NKA327290:NKA327291 NTW327290:NTW327291 ODS327290:ODS327291 ONO327290:ONO327291 OXK327290:OXK327291 PHG327290:PHG327291 PRC327290:PRC327291 QAY327290:QAY327291 QKU327290:QKU327291 QUQ327290:QUQ327291 REM327290:REM327291 ROI327290:ROI327291 RYE327290:RYE327291 SIA327290:SIA327291 SRW327290:SRW327291 TBS327290:TBS327291 TLO327290:TLO327291 TVK327290:TVK327291 UFG327290:UFG327291 UPC327290:UPC327291 UYY327290:UYY327291 VIU327290:VIU327291 VSQ327290:VSQ327291 WCM327290:WCM327291 WMI327290:WMI327291 WWE327290:WWE327291 W392826:W392827 JS392826:JS392827 TO392826:TO392827 ADK392826:ADK392827 ANG392826:ANG392827 AXC392826:AXC392827 BGY392826:BGY392827 BQU392826:BQU392827 CAQ392826:CAQ392827 CKM392826:CKM392827 CUI392826:CUI392827 DEE392826:DEE392827 DOA392826:DOA392827 DXW392826:DXW392827 EHS392826:EHS392827 ERO392826:ERO392827 FBK392826:FBK392827 FLG392826:FLG392827 FVC392826:FVC392827 GEY392826:GEY392827 GOU392826:GOU392827 GYQ392826:GYQ392827 HIM392826:HIM392827 HSI392826:HSI392827 ICE392826:ICE392827 IMA392826:IMA392827 IVW392826:IVW392827 JFS392826:JFS392827 JPO392826:JPO392827 JZK392826:JZK392827 KJG392826:KJG392827 KTC392826:KTC392827 LCY392826:LCY392827 LMU392826:LMU392827 LWQ392826:LWQ392827 MGM392826:MGM392827 MQI392826:MQI392827 NAE392826:NAE392827 NKA392826:NKA392827 NTW392826:NTW392827 ODS392826:ODS392827 ONO392826:ONO392827 OXK392826:OXK392827 PHG392826:PHG392827 PRC392826:PRC392827 QAY392826:QAY392827 QKU392826:QKU392827 QUQ392826:QUQ392827 REM392826:REM392827 ROI392826:ROI392827 RYE392826:RYE392827 SIA392826:SIA392827 SRW392826:SRW392827 TBS392826:TBS392827 TLO392826:TLO392827 TVK392826:TVK392827 UFG392826:UFG392827 UPC392826:UPC392827 UYY392826:UYY392827 VIU392826:VIU392827 VSQ392826:VSQ392827 WCM392826:WCM392827 WMI392826:WMI392827 WWE392826:WWE392827 W458362:W458363 JS458362:JS458363 TO458362:TO458363 ADK458362:ADK458363 ANG458362:ANG458363 AXC458362:AXC458363 BGY458362:BGY458363 BQU458362:BQU458363 CAQ458362:CAQ458363 CKM458362:CKM458363 CUI458362:CUI458363 DEE458362:DEE458363 DOA458362:DOA458363 DXW458362:DXW458363 EHS458362:EHS458363 ERO458362:ERO458363 FBK458362:FBK458363 FLG458362:FLG458363 FVC458362:FVC458363 GEY458362:GEY458363 GOU458362:GOU458363 GYQ458362:GYQ458363 HIM458362:HIM458363 HSI458362:HSI458363 ICE458362:ICE458363 IMA458362:IMA458363 IVW458362:IVW458363 JFS458362:JFS458363 JPO458362:JPO458363 JZK458362:JZK458363 KJG458362:KJG458363 KTC458362:KTC458363 LCY458362:LCY458363 LMU458362:LMU458363 LWQ458362:LWQ458363 MGM458362:MGM458363 MQI458362:MQI458363 NAE458362:NAE458363 NKA458362:NKA458363 NTW458362:NTW458363 ODS458362:ODS458363 ONO458362:ONO458363 OXK458362:OXK458363 PHG458362:PHG458363 PRC458362:PRC458363 QAY458362:QAY458363 QKU458362:QKU458363 QUQ458362:QUQ458363 REM458362:REM458363 ROI458362:ROI458363 RYE458362:RYE458363 SIA458362:SIA458363 SRW458362:SRW458363 TBS458362:TBS458363 TLO458362:TLO458363 TVK458362:TVK458363 UFG458362:UFG458363 UPC458362:UPC458363 UYY458362:UYY458363 VIU458362:VIU458363 VSQ458362:VSQ458363 WCM458362:WCM458363 WMI458362:WMI458363 WWE458362:WWE458363 W523898:W523899 JS523898:JS523899 TO523898:TO523899 ADK523898:ADK523899 ANG523898:ANG523899 AXC523898:AXC523899 BGY523898:BGY523899 BQU523898:BQU523899 CAQ523898:CAQ523899 CKM523898:CKM523899 CUI523898:CUI523899 DEE523898:DEE523899 DOA523898:DOA523899 DXW523898:DXW523899 EHS523898:EHS523899 ERO523898:ERO523899 FBK523898:FBK523899 FLG523898:FLG523899 FVC523898:FVC523899 GEY523898:GEY523899 GOU523898:GOU523899 GYQ523898:GYQ523899 HIM523898:HIM523899 HSI523898:HSI523899 ICE523898:ICE523899 IMA523898:IMA523899 IVW523898:IVW523899 JFS523898:JFS523899 JPO523898:JPO523899 JZK523898:JZK523899 KJG523898:KJG523899 KTC523898:KTC523899 LCY523898:LCY523899 LMU523898:LMU523899 LWQ523898:LWQ523899 MGM523898:MGM523899 MQI523898:MQI523899 NAE523898:NAE523899 NKA523898:NKA523899 NTW523898:NTW523899 ODS523898:ODS523899 ONO523898:ONO523899 OXK523898:OXK523899 PHG523898:PHG523899 PRC523898:PRC523899 QAY523898:QAY523899 QKU523898:QKU523899 QUQ523898:QUQ523899 REM523898:REM523899 ROI523898:ROI523899 RYE523898:RYE523899 SIA523898:SIA523899 SRW523898:SRW523899 TBS523898:TBS523899 TLO523898:TLO523899 TVK523898:TVK523899 UFG523898:UFG523899 UPC523898:UPC523899 UYY523898:UYY523899 VIU523898:VIU523899 VSQ523898:VSQ523899 WCM523898:WCM523899 WMI523898:WMI523899 WWE523898:WWE523899 W589434:W589435 JS589434:JS589435 TO589434:TO589435 ADK589434:ADK589435 ANG589434:ANG589435 AXC589434:AXC589435 BGY589434:BGY589435 BQU589434:BQU589435 CAQ589434:CAQ589435 CKM589434:CKM589435 CUI589434:CUI589435 DEE589434:DEE589435 DOA589434:DOA589435 DXW589434:DXW589435 EHS589434:EHS589435 ERO589434:ERO589435 FBK589434:FBK589435 FLG589434:FLG589435 FVC589434:FVC589435 GEY589434:GEY589435 GOU589434:GOU589435 GYQ589434:GYQ589435 HIM589434:HIM589435 HSI589434:HSI589435 ICE589434:ICE589435 IMA589434:IMA589435 IVW589434:IVW589435 JFS589434:JFS589435 JPO589434:JPO589435 JZK589434:JZK589435 KJG589434:KJG589435 KTC589434:KTC589435 LCY589434:LCY589435 LMU589434:LMU589435 LWQ589434:LWQ589435 MGM589434:MGM589435 MQI589434:MQI589435 NAE589434:NAE589435 NKA589434:NKA589435 NTW589434:NTW589435 ODS589434:ODS589435 ONO589434:ONO589435 OXK589434:OXK589435 PHG589434:PHG589435 PRC589434:PRC589435 QAY589434:QAY589435 QKU589434:QKU589435 QUQ589434:QUQ589435 REM589434:REM589435 ROI589434:ROI589435 RYE589434:RYE589435 SIA589434:SIA589435 SRW589434:SRW589435 TBS589434:TBS589435 TLO589434:TLO589435 TVK589434:TVK589435 UFG589434:UFG589435 UPC589434:UPC589435 UYY589434:UYY589435 VIU589434:VIU589435 VSQ589434:VSQ589435 WCM589434:WCM589435 WMI589434:WMI589435 WWE589434:WWE589435 W654970:W654971 JS654970:JS654971 TO654970:TO654971 ADK654970:ADK654971 ANG654970:ANG654971 AXC654970:AXC654971 BGY654970:BGY654971 BQU654970:BQU654971 CAQ654970:CAQ654971 CKM654970:CKM654971 CUI654970:CUI654971 DEE654970:DEE654971 DOA654970:DOA654971 DXW654970:DXW654971 EHS654970:EHS654971 ERO654970:ERO654971 FBK654970:FBK654971 FLG654970:FLG654971 FVC654970:FVC654971 GEY654970:GEY654971 GOU654970:GOU654971 GYQ654970:GYQ654971 HIM654970:HIM654971 HSI654970:HSI654971 ICE654970:ICE654971 IMA654970:IMA654971 IVW654970:IVW654971 JFS654970:JFS654971 JPO654970:JPO654971 JZK654970:JZK654971 KJG654970:KJG654971 KTC654970:KTC654971 LCY654970:LCY654971 LMU654970:LMU654971 LWQ654970:LWQ654971 MGM654970:MGM654971 MQI654970:MQI654971 NAE654970:NAE654971 NKA654970:NKA654971 NTW654970:NTW654971 ODS654970:ODS654971 ONO654970:ONO654971 OXK654970:OXK654971 PHG654970:PHG654971 PRC654970:PRC654971 QAY654970:QAY654971 QKU654970:QKU654971 QUQ654970:QUQ654971 REM654970:REM654971 ROI654970:ROI654971 RYE654970:RYE654971 SIA654970:SIA654971 SRW654970:SRW654971 TBS654970:TBS654971 TLO654970:TLO654971 TVK654970:TVK654971 UFG654970:UFG654971 UPC654970:UPC654971 UYY654970:UYY654971 VIU654970:VIU654971 VSQ654970:VSQ654971 WCM654970:WCM654971 WMI654970:WMI654971 WWE654970:WWE654971 W720506:W720507 JS720506:JS720507 TO720506:TO720507 ADK720506:ADK720507 ANG720506:ANG720507 AXC720506:AXC720507 BGY720506:BGY720507 BQU720506:BQU720507 CAQ720506:CAQ720507 CKM720506:CKM720507 CUI720506:CUI720507 DEE720506:DEE720507 DOA720506:DOA720507 DXW720506:DXW720507 EHS720506:EHS720507 ERO720506:ERO720507 FBK720506:FBK720507 FLG720506:FLG720507 FVC720506:FVC720507 GEY720506:GEY720507 GOU720506:GOU720507 GYQ720506:GYQ720507 HIM720506:HIM720507 HSI720506:HSI720507 ICE720506:ICE720507 IMA720506:IMA720507 IVW720506:IVW720507 JFS720506:JFS720507 JPO720506:JPO720507 JZK720506:JZK720507 KJG720506:KJG720507 KTC720506:KTC720507 LCY720506:LCY720507 LMU720506:LMU720507 LWQ720506:LWQ720507 MGM720506:MGM720507 MQI720506:MQI720507 NAE720506:NAE720507 NKA720506:NKA720507 NTW720506:NTW720507 ODS720506:ODS720507 ONO720506:ONO720507 OXK720506:OXK720507 PHG720506:PHG720507 PRC720506:PRC720507 QAY720506:QAY720507 QKU720506:QKU720507 QUQ720506:QUQ720507 REM720506:REM720507 ROI720506:ROI720507 RYE720506:RYE720507 SIA720506:SIA720507 SRW720506:SRW720507 TBS720506:TBS720507 TLO720506:TLO720507 TVK720506:TVK720507 UFG720506:UFG720507 UPC720506:UPC720507 UYY720506:UYY720507 VIU720506:VIU720507 VSQ720506:VSQ720507 WCM720506:WCM720507 WMI720506:WMI720507 WWE720506:WWE720507 W786042:W786043 JS786042:JS786043 TO786042:TO786043 ADK786042:ADK786043 ANG786042:ANG786043 AXC786042:AXC786043 BGY786042:BGY786043 BQU786042:BQU786043 CAQ786042:CAQ786043 CKM786042:CKM786043 CUI786042:CUI786043 DEE786042:DEE786043 DOA786042:DOA786043 DXW786042:DXW786043 EHS786042:EHS786043 ERO786042:ERO786043 FBK786042:FBK786043 FLG786042:FLG786043 FVC786042:FVC786043 GEY786042:GEY786043 GOU786042:GOU786043 GYQ786042:GYQ786043 HIM786042:HIM786043 HSI786042:HSI786043 ICE786042:ICE786043 IMA786042:IMA786043 IVW786042:IVW786043 JFS786042:JFS786043 JPO786042:JPO786043 JZK786042:JZK786043 KJG786042:KJG786043 KTC786042:KTC786043 LCY786042:LCY786043 LMU786042:LMU786043 LWQ786042:LWQ786043 MGM786042:MGM786043 MQI786042:MQI786043 NAE786042:NAE786043 NKA786042:NKA786043 NTW786042:NTW786043 ODS786042:ODS786043 ONO786042:ONO786043 OXK786042:OXK786043 PHG786042:PHG786043 PRC786042:PRC786043 QAY786042:QAY786043 QKU786042:QKU786043 QUQ786042:QUQ786043 REM786042:REM786043 ROI786042:ROI786043 RYE786042:RYE786043 SIA786042:SIA786043 SRW786042:SRW786043 TBS786042:TBS786043 TLO786042:TLO786043 TVK786042:TVK786043 UFG786042:UFG786043 UPC786042:UPC786043 UYY786042:UYY786043 VIU786042:VIU786043 VSQ786042:VSQ786043 WCM786042:WCM786043 WMI786042:WMI786043 WWE786042:WWE786043 W851578:W851579 JS851578:JS851579 TO851578:TO851579 ADK851578:ADK851579 ANG851578:ANG851579 AXC851578:AXC851579 BGY851578:BGY851579 BQU851578:BQU851579 CAQ851578:CAQ851579 CKM851578:CKM851579 CUI851578:CUI851579 DEE851578:DEE851579 DOA851578:DOA851579 DXW851578:DXW851579 EHS851578:EHS851579 ERO851578:ERO851579 FBK851578:FBK851579 FLG851578:FLG851579 FVC851578:FVC851579 GEY851578:GEY851579 GOU851578:GOU851579 GYQ851578:GYQ851579 HIM851578:HIM851579 HSI851578:HSI851579 ICE851578:ICE851579 IMA851578:IMA851579 IVW851578:IVW851579 JFS851578:JFS851579 JPO851578:JPO851579 JZK851578:JZK851579 KJG851578:KJG851579 KTC851578:KTC851579 LCY851578:LCY851579 LMU851578:LMU851579 LWQ851578:LWQ851579 MGM851578:MGM851579 MQI851578:MQI851579 NAE851578:NAE851579 NKA851578:NKA851579 NTW851578:NTW851579 ODS851578:ODS851579 ONO851578:ONO851579 OXK851578:OXK851579 PHG851578:PHG851579 PRC851578:PRC851579 QAY851578:QAY851579 QKU851578:QKU851579 QUQ851578:QUQ851579 REM851578:REM851579 ROI851578:ROI851579 RYE851578:RYE851579 SIA851578:SIA851579 SRW851578:SRW851579 TBS851578:TBS851579 TLO851578:TLO851579 TVK851578:TVK851579 UFG851578:UFG851579 UPC851578:UPC851579 UYY851578:UYY851579 VIU851578:VIU851579 VSQ851578:VSQ851579 WCM851578:WCM851579 WMI851578:WMI851579 WWE851578:WWE851579 W917114:W917115 JS917114:JS917115 TO917114:TO917115 ADK917114:ADK917115 ANG917114:ANG917115 AXC917114:AXC917115 BGY917114:BGY917115 BQU917114:BQU917115 CAQ917114:CAQ917115 CKM917114:CKM917115 CUI917114:CUI917115 DEE917114:DEE917115 DOA917114:DOA917115 DXW917114:DXW917115 EHS917114:EHS917115 ERO917114:ERO917115 FBK917114:FBK917115 FLG917114:FLG917115 FVC917114:FVC917115 GEY917114:GEY917115 GOU917114:GOU917115 GYQ917114:GYQ917115 HIM917114:HIM917115 HSI917114:HSI917115 ICE917114:ICE917115 IMA917114:IMA917115 IVW917114:IVW917115 JFS917114:JFS917115 JPO917114:JPO917115 JZK917114:JZK917115 KJG917114:KJG917115 KTC917114:KTC917115 LCY917114:LCY917115 LMU917114:LMU917115 LWQ917114:LWQ917115 MGM917114:MGM917115 MQI917114:MQI917115 NAE917114:NAE917115 NKA917114:NKA917115 NTW917114:NTW917115 ODS917114:ODS917115 ONO917114:ONO917115 OXK917114:OXK917115 PHG917114:PHG917115 PRC917114:PRC917115 QAY917114:QAY917115 QKU917114:QKU917115 QUQ917114:QUQ917115 REM917114:REM917115 ROI917114:ROI917115 RYE917114:RYE917115 SIA917114:SIA917115 SRW917114:SRW917115 TBS917114:TBS917115 TLO917114:TLO917115 TVK917114:TVK917115 UFG917114:UFG917115 UPC917114:UPC917115 UYY917114:UYY917115 VIU917114:VIU917115 VSQ917114:VSQ917115 WCM917114:WCM917115 WMI917114:WMI917115 WWE917114:WWE917115" xr:uid="{00000000-0002-0000-0900-000007000000}"/>
    <dataValidation allowBlank="1" showInputMessage="1" showErrorMessage="1" promptTitle="Discontinued Flag" prompt="Enter 'Yes' only when the item has been discontinued and stock will not be replenished in the future.  If 'No' you can leave blank." sqref="N982650:N982651 JJ982650:JJ982651 TF982650:TF982651 ADB982650:ADB982651 AMX982650:AMX982651 AWT982650:AWT982651 BGP982650:BGP982651 BQL982650:BQL982651 CAH982650:CAH982651 CKD982650:CKD982651 CTZ982650:CTZ982651 DDV982650:DDV982651 DNR982650:DNR982651 DXN982650:DXN982651 EHJ982650:EHJ982651 ERF982650:ERF982651 FBB982650:FBB982651 FKX982650:FKX982651 FUT982650:FUT982651 GEP982650:GEP982651 GOL982650:GOL982651 GYH982650:GYH982651 HID982650:HID982651 HRZ982650:HRZ982651 IBV982650:IBV982651 ILR982650:ILR982651 IVN982650:IVN982651 JFJ982650:JFJ982651 JPF982650:JPF982651 JZB982650:JZB982651 KIX982650:KIX982651 KST982650:KST982651 LCP982650:LCP982651 LML982650:LML982651 LWH982650:LWH982651 MGD982650:MGD982651 MPZ982650:MPZ982651 MZV982650:MZV982651 NJR982650:NJR982651 NTN982650:NTN982651 ODJ982650:ODJ982651 ONF982650:ONF982651 OXB982650:OXB982651 PGX982650:PGX982651 PQT982650:PQT982651 QAP982650:QAP982651 QKL982650:QKL982651 QUH982650:QUH982651 RED982650:RED982651 RNZ982650:RNZ982651 RXV982650:RXV982651 SHR982650:SHR982651 SRN982650:SRN982651 TBJ982650:TBJ982651 TLF982650:TLF982651 TVB982650:TVB982651 UEX982650:UEX982651 UOT982650:UOT982651 UYP982650:UYP982651 VIL982650:VIL982651 VSH982650:VSH982651 WCD982650:WCD982651 WLZ982650:WLZ982651 WVV982650:WVV982651 N65146:N65147 JJ65146:JJ65147 TF65146:TF65147 ADB65146:ADB65147 AMX65146:AMX65147 AWT65146:AWT65147 BGP65146:BGP65147 BQL65146:BQL65147 CAH65146:CAH65147 CKD65146:CKD65147 CTZ65146:CTZ65147 DDV65146:DDV65147 DNR65146:DNR65147 DXN65146:DXN65147 EHJ65146:EHJ65147 ERF65146:ERF65147 FBB65146:FBB65147 FKX65146:FKX65147 FUT65146:FUT65147 GEP65146:GEP65147 GOL65146:GOL65147 GYH65146:GYH65147 HID65146:HID65147 HRZ65146:HRZ65147 IBV65146:IBV65147 ILR65146:ILR65147 IVN65146:IVN65147 JFJ65146:JFJ65147 JPF65146:JPF65147 JZB65146:JZB65147 KIX65146:KIX65147 KST65146:KST65147 LCP65146:LCP65147 LML65146:LML65147 LWH65146:LWH65147 MGD65146:MGD65147 MPZ65146:MPZ65147 MZV65146:MZV65147 NJR65146:NJR65147 NTN65146:NTN65147 ODJ65146:ODJ65147 ONF65146:ONF65147 OXB65146:OXB65147 PGX65146:PGX65147 PQT65146:PQT65147 QAP65146:QAP65147 QKL65146:QKL65147 QUH65146:QUH65147 RED65146:RED65147 RNZ65146:RNZ65147 RXV65146:RXV65147 SHR65146:SHR65147 SRN65146:SRN65147 TBJ65146:TBJ65147 TLF65146:TLF65147 TVB65146:TVB65147 UEX65146:UEX65147 UOT65146:UOT65147 UYP65146:UYP65147 VIL65146:VIL65147 VSH65146:VSH65147 WCD65146:WCD65147 WLZ65146:WLZ65147 WVV65146:WVV65147 N130682:N130683 JJ130682:JJ130683 TF130682:TF130683 ADB130682:ADB130683 AMX130682:AMX130683 AWT130682:AWT130683 BGP130682:BGP130683 BQL130682:BQL130683 CAH130682:CAH130683 CKD130682:CKD130683 CTZ130682:CTZ130683 DDV130682:DDV130683 DNR130682:DNR130683 DXN130682:DXN130683 EHJ130682:EHJ130683 ERF130682:ERF130683 FBB130682:FBB130683 FKX130682:FKX130683 FUT130682:FUT130683 GEP130682:GEP130683 GOL130682:GOL130683 GYH130682:GYH130683 HID130682:HID130683 HRZ130682:HRZ130683 IBV130682:IBV130683 ILR130682:ILR130683 IVN130682:IVN130683 JFJ130682:JFJ130683 JPF130682:JPF130683 JZB130682:JZB130683 KIX130682:KIX130683 KST130682:KST130683 LCP130682:LCP130683 LML130682:LML130683 LWH130682:LWH130683 MGD130682:MGD130683 MPZ130682:MPZ130683 MZV130682:MZV130683 NJR130682:NJR130683 NTN130682:NTN130683 ODJ130682:ODJ130683 ONF130682:ONF130683 OXB130682:OXB130683 PGX130682:PGX130683 PQT130682:PQT130683 QAP130682:QAP130683 QKL130682:QKL130683 QUH130682:QUH130683 RED130682:RED130683 RNZ130682:RNZ130683 RXV130682:RXV130683 SHR130682:SHR130683 SRN130682:SRN130683 TBJ130682:TBJ130683 TLF130682:TLF130683 TVB130682:TVB130683 UEX130682:UEX130683 UOT130682:UOT130683 UYP130682:UYP130683 VIL130682:VIL130683 VSH130682:VSH130683 WCD130682:WCD130683 WLZ130682:WLZ130683 WVV130682:WVV130683 N196218:N196219 JJ196218:JJ196219 TF196218:TF196219 ADB196218:ADB196219 AMX196218:AMX196219 AWT196218:AWT196219 BGP196218:BGP196219 BQL196218:BQL196219 CAH196218:CAH196219 CKD196218:CKD196219 CTZ196218:CTZ196219 DDV196218:DDV196219 DNR196218:DNR196219 DXN196218:DXN196219 EHJ196218:EHJ196219 ERF196218:ERF196219 FBB196218:FBB196219 FKX196218:FKX196219 FUT196218:FUT196219 GEP196218:GEP196219 GOL196218:GOL196219 GYH196218:GYH196219 HID196218:HID196219 HRZ196218:HRZ196219 IBV196218:IBV196219 ILR196218:ILR196219 IVN196218:IVN196219 JFJ196218:JFJ196219 JPF196218:JPF196219 JZB196218:JZB196219 KIX196218:KIX196219 KST196218:KST196219 LCP196218:LCP196219 LML196218:LML196219 LWH196218:LWH196219 MGD196218:MGD196219 MPZ196218:MPZ196219 MZV196218:MZV196219 NJR196218:NJR196219 NTN196218:NTN196219 ODJ196218:ODJ196219 ONF196218:ONF196219 OXB196218:OXB196219 PGX196218:PGX196219 PQT196218:PQT196219 QAP196218:QAP196219 QKL196218:QKL196219 QUH196218:QUH196219 RED196218:RED196219 RNZ196218:RNZ196219 RXV196218:RXV196219 SHR196218:SHR196219 SRN196218:SRN196219 TBJ196218:TBJ196219 TLF196218:TLF196219 TVB196218:TVB196219 UEX196218:UEX196219 UOT196218:UOT196219 UYP196218:UYP196219 VIL196218:VIL196219 VSH196218:VSH196219 WCD196218:WCD196219 WLZ196218:WLZ196219 WVV196218:WVV196219 N261754:N261755 JJ261754:JJ261755 TF261754:TF261755 ADB261754:ADB261755 AMX261754:AMX261755 AWT261754:AWT261755 BGP261754:BGP261755 BQL261754:BQL261755 CAH261754:CAH261755 CKD261754:CKD261755 CTZ261754:CTZ261755 DDV261754:DDV261755 DNR261754:DNR261755 DXN261754:DXN261755 EHJ261754:EHJ261755 ERF261754:ERF261755 FBB261754:FBB261755 FKX261754:FKX261755 FUT261754:FUT261755 GEP261754:GEP261755 GOL261754:GOL261755 GYH261754:GYH261755 HID261754:HID261755 HRZ261754:HRZ261755 IBV261754:IBV261755 ILR261754:ILR261755 IVN261754:IVN261755 JFJ261754:JFJ261755 JPF261754:JPF261755 JZB261754:JZB261755 KIX261754:KIX261755 KST261754:KST261755 LCP261754:LCP261755 LML261754:LML261755 LWH261754:LWH261755 MGD261754:MGD261755 MPZ261754:MPZ261755 MZV261754:MZV261755 NJR261754:NJR261755 NTN261754:NTN261755 ODJ261754:ODJ261755 ONF261754:ONF261755 OXB261754:OXB261755 PGX261754:PGX261755 PQT261754:PQT261755 QAP261754:QAP261755 QKL261754:QKL261755 QUH261754:QUH261755 RED261754:RED261755 RNZ261754:RNZ261755 RXV261754:RXV261755 SHR261754:SHR261755 SRN261754:SRN261755 TBJ261754:TBJ261755 TLF261754:TLF261755 TVB261754:TVB261755 UEX261754:UEX261755 UOT261754:UOT261755 UYP261754:UYP261755 VIL261754:VIL261755 VSH261754:VSH261755 WCD261754:WCD261755 WLZ261754:WLZ261755 WVV261754:WVV261755 N327290:N327291 JJ327290:JJ327291 TF327290:TF327291 ADB327290:ADB327291 AMX327290:AMX327291 AWT327290:AWT327291 BGP327290:BGP327291 BQL327290:BQL327291 CAH327290:CAH327291 CKD327290:CKD327291 CTZ327290:CTZ327291 DDV327290:DDV327291 DNR327290:DNR327291 DXN327290:DXN327291 EHJ327290:EHJ327291 ERF327290:ERF327291 FBB327290:FBB327291 FKX327290:FKX327291 FUT327290:FUT327291 GEP327290:GEP327291 GOL327290:GOL327291 GYH327290:GYH327291 HID327290:HID327291 HRZ327290:HRZ327291 IBV327290:IBV327291 ILR327290:ILR327291 IVN327290:IVN327291 JFJ327290:JFJ327291 JPF327290:JPF327291 JZB327290:JZB327291 KIX327290:KIX327291 KST327290:KST327291 LCP327290:LCP327291 LML327290:LML327291 LWH327290:LWH327291 MGD327290:MGD327291 MPZ327290:MPZ327291 MZV327290:MZV327291 NJR327290:NJR327291 NTN327290:NTN327291 ODJ327290:ODJ327291 ONF327290:ONF327291 OXB327290:OXB327291 PGX327290:PGX327291 PQT327290:PQT327291 QAP327290:QAP327291 QKL327290:QKL327291 QUH327290:QUH327291 RED327290:RED327291 RNZ327290:RNZ327291 RXV327290:RXV327291 SHR327290:SHR327291 SRN327290:SRN327291 TBJ327290:TBJ327291 TLF327290:TLF327291 TVB327290:TVB327291 UEX327290:UEX327291 UOT327290:UOT327291 UYP327290:UYP327291 VIL327290:VIL327291 VSH327290:VSH327291 WCD327290:WCD327291 WLZ327290:WLZ327291 WVV327290:WVV327291 N392826:N392827 JJ392826:JJ392827 TF392826:TF392827 ADB392826:ADB392827 AMX392826:AMX392827 AWT392826:AWT392827 BGP392826:BGP392827 BQL392826:BQL392827 CAH392826:CAH392827 CKD392826:CKD392827 CTZ392826:CTZ392827 DDV392826:DDV392827 DNR392826:DNR392827 DXN392826:DXN392827 EHJ392826:EHJ392827 ERF392826:ERF392827 FBB392826:FBB392827 FKX392826:FKX392827 FUT392826:FUT392827 GEP392826:GEP392827 GOL392826:GOL392827 GYH392826:GYH392827 HID392826:HID392827 HRZ392826:HRZ392827 IBV392826:IBV392827 ILR392826:ILR392827 IVN392826:IVN392827 JFJ392826:JFJ392827 JPF392826:JPF392827 JZB392826:JZB392827 KIX392826:KIX392827 KST392826:KST392827 LCP392826:LCP392827 LML392826:LML392827 LWH392826:LWH392827 MGD392826:MGD392827 MPZ392826:MPZ392827 MZV392826:MZV392827 NJR392826:NJR392827 NTN392826:NTN392827 ODJ392826:ODJ392827 ONF392826:ONF392827 OXB392826:OXB392827 PGX392826:PGX392827 PQT392826:PQT392827 QAP392826:QAP392827 QKL392826:QKL392827 QUH392826:QUH392827 RED392826:RED392827 RNZ392826:RNZ392827 RXV392826:RXV392827 SHR392826:SHR392827 SRN392826:SRN392827 TBJ392826:TBJ392827 TLF392826:TLF392827 TVB392826:TVB392827 UEX392826:UEX392827 UOT392826:UOT392827 UYP392826:UYP392827 VIL392826:VIL392827 VSH392826:VSH392827 WCD392826:WCD392827 WLZ392826:WLZ392827 WVV392826:WVV392827 N458362:N458363 JJ458362:JJ458363 TF458362:TF458363 ADB458362:ADB458363 AMX458362:AMX458363 AWT458362:AWT458363 BGP458362:BGP458363 BQL458362:BQL458363 CAH458362:CAH458363 CKD458362:CKD458363 CTZ458362:CTZ458363 DDV458362:DDV458363 DNR458362:DNR458363 DXN458362:DXN458363 EHJ458362:EHJ458363 ERF458362:ERF458363 FBB458362:FBB458363 FKX458362:FKX458363 FUT458362:FUT458363 GEP458362:GEP458363 GOL458362:GOL458363 GYH458362:GYH458363 HID458362:HID458363 HRZ458362:HRZ458363 IBV458362:IBV458363 ILR458362:ILR458363 IVN458362:IVN458363 JFJ458362:JFJ458363 JPF458362:JPF458363 JZB458362:JZB458363 KIX458362:KIX458363 KST458362:KST458363 LCP458362:LCP458363 LML458362:LML458363 LWH458362:LWH458363 MGD458362:MGD458363 MPZ458362:MPZ458363 MZV458362:MZV458363 NJR458362:NJR458363 NTN458362:NTN458363 ODJ458362:ODJ458363 ONF458362:ONF458363 OXB458362:OXB458363 PGX458362:PGX458363 PQT458362:PQT458363 QAP458362:QAP458363 QKL458362:QKL458363 QUH458362:QUH458363 RED458362:RED458363 RNZ458362:RNZ458363 RXV458362:RXV458363 SHR458362:SHR458363 SRN458362:SRN458363 TBJ458362:TBJ458363 TLF458362:TLF458363 TVB458362:TVB458363 UEX458362:UEX458363 UOT458362:UOT458363 UYP458362:UYP458363 VIL458362:VIL458363 VSH458362:VSH458363 WCD458362:WCD458363 WLZ458362:WLZ458363 WVV458362:WVV458363 N523898:N523899 JJ523898:JJ523899 TF523898:TF523899 ADB523898:ADB523899 AMX523898:AMX523899 AWT523898:AWT523899 BGP523898:BGP523899 BQL523898:BQL523899 CAH523898:CAH523899 CKD523898:CKD523899 CTZ523898:CTZ523899 DDV523898:DDV523899 DNR523898:DNR523899 DXN523898:DXN523899 EHJ523898:EHJ523899 ERF523898:ERF523899 FBB523898:FBB523899 FKX523898:FKX523899 FUT523898:FUT523899 GEP523898:GEP523899 GOL523898:GOL523899 GYH523898:GYH523899 HID523898:HID523899 HRZ523898:HRZ523899 IBV523898:IBV523899 ILR523898:ILR523899 IVN523898:IVN523899 JFJ523898:JFJ523899 JPF523898:JPF523899 JZB523898:JZB523899 KIX523898:KIX523899 KST523898:KST523899 LCP523898:LCP523899 LML523898:LML523899 LWH523898:LWH523899 MGD523898:MGD523899 MPZ523898:MPZ523899 MZV523898:MZV523899 NJR523898:NJR523899 NTN523898:NTN523899 ODJ523898:ODJ523899 ONF523898:ONF523899 OXB523898:OXB523899 PGX523898:PGX523899 PQT523898:PQT523899 QAP523898:QAP523899 QKL523898:QKL523899 QUH523898:QUH523899 RED523898:RED523899 RNZ523898:RNZ523899 RXV523898:RXV523899 SHR523898:SHR523899 SRN523898:SRN523899 TBJ523898:TBJ523899 TLF523898:TLF523899 TVB523898:TVB523899 UEX523898:UEX523899 UOT523898:UOT523899 UYP523898:UYP523899 VIL523898:VIL523899 VSH523898:VSH523899 WCD523898:WCD523899 WLZ523898:WLZ523899 WVV523898:WVV523899 N589434:N589435 JJ589434:JJ589435 TF589434:TF589435 ADB589434:ADB589435 AMX589434:AMX589435 AWT589434:AWT589435 BGP589434:BGP589435 BQL589434:BQL589435 CAH589434:CAH589435 CKD589434:CKD589435 CTZ589434:CTZ589435 DDV589434:DDV589435 DNR589434:DNR589435 DXN589434:DXN589435 EHJ589434:EHJ589435 ERF589434:ERF589435 FBB589434:FBB589435 FKX589434:FKX589435 FUT589434:FUT589435 GEP589434:GEP589435 GOL589434:GOL589435 GYH589434:GYH589435 HID589434:HID589435 HRZ589434:HRZ589435 IBV589434:IBV589435 ILR589434:ILR589435 IVN589434:IVN589435 JFJ589434:JFJ589435 JPF589434:JPF589435 JZB589434:JZB589435 KIX589434:KIX589435 KST589434:KST589435 LCP589434:LCP589435 LML589434:LML589435 LWH589434:LWH589435 MGD589434:MGD589435 MPZ589434:MPZ589435 MZV589434:MZV589435 NJR589434:NJR589435 NTN589434:NTN589435 ODJ589434:ODJ589435 ONF589434:ONF589435 OXB589434:OXB589435 PGX589434:PGX589435 PQT589434:PQT589435 QAP589434:QAP589435 QKL589434:QKL589435 QUH589434:QUH589435 RED589434:RED589435 RNZ589434:RNZ589435 RXV589434:RXV589435 SHR589434:SHR589435 SRN589434:SRN589435 TBJ589434:TBJ589435 TLF589434:TLF589435 TVB589434:TVB589435 UEX589434:UEX589435 UOT589434:UOT589435 UYP589434:UYP589435 VIL589434:VIL589435 VSH589434:VSH589435 WCD589434:WCD589435 WLZ589434:WLZ589435 WVV589434:WVV589435 N654970:N654971 JJ654970:JJ654971 TF654970:TF654971 ADB654970:ADB654971 AMX654970:AMX654971 AWT654970:AWT654971 BGP654970:BGP654971 BQL654970:BQL654971 CAH654970:CAH654971 CKD654970:CKD654971 CTZ654970:CTZ654971 DDV654970:DDV654971 DNR654970:DNR654971 DXN654970:DXN654971 EHJ654970:EHJ654971 ERF654970:ERF654971 FBB654970:FBB654971 FKX654970:FKX654971 FUT654970:FUT654971 GEP654970:GEP654971 GOL654970:GOL654971 GYH654970:GYH654971 HID654970:HID654971 HRZ654970:HRZ654971 IBV654970:IBV654971 ILR654970:ILR654971 IVN654970:IVN654971 JFJ654970:JFJ654971 JPF654970:JPF654971 JZB654970:JZB654971 KIX654970:KIX654971 KST654970:KST654971 LCP654970:LCP654971 LML654970:LML654971 LWH654970:LWH654971 MGD654970:MGD654971 MPZ654970:MPZ654971 MZV654970:MZV654971 NJR654970:NJR654971 NTN654970:NTN654971 ODJ654970:ODJ654971 ONF654970:ONF654971 OXB654970:OXB654971 PGX654970:PGX654971 PQT654970:PQT654971 QAP654970:QAP654971 QKL654970:QKL654971 QUH654970:QUH654971 RED654970:RED654971 RNZ654970:RNZ654971 RXV654970:RXV654971 SHR654970:SHR654971 SRN654970:SRN654971 TBJ654970:TBJ654971 TLF654970:TLF654971 TVB654970:TVB654971 UEX654970:UEX654971 UOT654970:UOT654971 UYP654970:UYP654971 VIL654970:VIL654971 VSH654970:VSH654971 WCD654970:WCD654971 WLZ654970:WLZ654971 WVV654970:WVV654971 N720506:N720507 JJ720506:JJ720507 TF720506:TF720507 ADB720506:ADB720507 AMX720506:AMX720507 AWT720506:AWT720507 BGP720506:BGP720507 BQL720506:BQL720507 CAH720506:CAH720507 CKD720506:CKD720507 CTZ720506:CTZ720507 DDV720506:DDV720507 DNR720506:DNR720507 DXN720506:DXN720507 EHJ720506:EHJ720507 ERF720506:ERF720507 FBB720506:FBB720507 FKX720506:FKX720507 FUT720506:FUT720507 GEP720506:GEP720507 GOL720506:GOL720507 GYH720506:GYH720507 HID720506:HID720507 HRZ720506:HRZ720507 IBV720506:IBV720507 ILR720506:ILR720507 IVN720506:IVN720507 JFJ720506:JFJ720507 JPF720506:JPF720507 JZB720506:JZB720507 KIX720506:KIX720507 KST720506:KST720507 LCP720506:LCP720507 LML720506:LML720507 LWH720506:LWH720507 MGD720506:MGD720507 MPZ720506:MPZ720507 MZV720506:MZV720507 NJR720506:NJR720507 NTN720506:NTN720507 ODJ720506:ODJ720507 ONF720506:ONF720507 OXB720506:OXB720507 PGX720506:PGX720507 PQT720506:PQT720507 QAP720506:QAP720507 QKL720506:QKL720507 QUH720506:QUH720507 RED720506:RED720507 RNZ720506:RNZ720507 RXV720506:RXV720507 SHR720506:SHR720507 SRN720506:SRN720507 TBJ720506:TBJ720507 TLF720506:TLF720507 TVB720506:TVB720507 UEX720506:UEX720507 UOT720506:UOT720507 UYP720506:UYP720507 VIL720506:VIL720507 VSH720506:VSH720507 WCD720506:WCD720507 WLZ720506:WLZ720507 WVV720506:WVV720507 N786042:N786043 JJ786042:JJ786043 TF786042:TF786043 ADB786042:ADB786043 AMX786042:AMX786043 AWT786042:AWT786043 BGP786042:BGP786043 BQL786042:BQL786043 CAH786042:CAH786043 CKD786042:CKD786043 CTZ786042:CTZ786043 DDV786042:DDV786043 DNR786042:DNR786043 DXN786042:DXN786043 EHJ786042:EHJ786043 ERF786042:ERF786043 FBB786042:FBB786043 FKX786042:FKX786043 FUT786042:FUT786043 GEP786042:GEP786043 GOL786042:GOL786043 GYH786042:GYH786043 HID786042:HID786043 HRZ786042:HRZ786043 IBV786042:IBV786043 ILR786042:ILR786043 IVN786042:IVN786043 JFJ786042:JFJ786043 JPF786042:JPF786043 JZB786042:JZB786043 KIX786042:KIX786043 KST786042:KST786043 LCP786042:LCP786043 LML786042:LML786043 LWH786042:LWH786043 MGD786042:MGD786043 MPZ786042:MPZ786043 MZV786042:MZV786043 NJR786042:NJR786043 NTN786042:NTN786043 ODJ786042:ODJ786043 ONF786042:ONF786043 OXB786042:OXB786043 PGX786042:PGX786043 PQT786042:PQT786043 QAP786042:QAP786043 QKL786042:QKL786043 QUH786042:QUH786043 RED786042:RED786043 RNZ786042:RNZ786043 RXV786042:RXV786043 SHR786042:SHR786043 SRN786042:SRN786043 TBJ786042:TBJ786043 TLF786042:TLF786043 TVB786042:TVB786043 UEX786042:UEX786043 UOT786042:UOT786043 UYP786042:UYP786043 VIL786042:VIL786043 VSH786042:VSH786043 WCD786042:WCD786043 WLZ786042:WLZ786043 WVV786042:WVV786043 N851578:N851579 JJ851578:JJ851579 TF851578:TF851579 ADB851578:ADB851579 AMX851578:AMX851579 AWT851578:AWT851579 BGP851578:BGP851579 BQL851578:BQL851579 CAH851578:CAH851579 CKD851578:CKD851579 CTZ851578:CTZ851579 DDV851578:DDV851579 DNR851578:DNR851579 DXN851578:DXN851579 EHJ851578:EHJ851579 ERF851578:ERF851579 FBB851578:FBB851579 FKX851578:FKX851579 FUT851578:FUT851579 GEP851578:GEP851579 GOL851578:GOL851579 GYH851578:GYH851579 HID851578:HID851579 HRZ851578:HRZ851579 IBV851578:IBV851579 ILR851578:ILR851579 IVN851578:IVN851579 JFJ851578:JFJ851579 JPF851578:JPF851579 JZB851578:JZB851579 KIX851578:KIX851579 KST851578:KST851579 LCP851578:LCP851579 LML851578:LML851579 LWH851578:LWH851579 MGD851578:MGD851579 MPZ851578:MPZ851579 MZV851578:MZV851579 NJR851578:NJR851579 NTN851578:NTN851579 ODJ851578:ODJ851579 ONF851578:ONF851579 OXB851578:OXB851579 PGX851578:PGX851579 PQT851578:PQT851579 QAP851578:QAP851579 QKL851578:QKL851579 QUH851578:QUH851579 RED851578:RED851579 RNZ851578:RNZ851579 RXV851578:RXV851579 SHR851578:SHR851579 SRN851578:SRN851579 TBJ851578:TBJ851579 TLF851578:TLF851579 TVB851578:TVB851579 UEX851578:UEX851579 UOT851578:UOT851579 UYP851578:UYP851579 VIL851578:VIL851579 VSH851578:VSH851579 WCD851578:WCD851579 WLZ851578:WLZ851579 WVV851578:WVV851579 N917114:N917115 JJ917114:JJ917115 TF917114:TF917115 ADB917114:ADB917115 AMX917114:AMX917115 AWT917114:AWT917115 BGP917114:BGP917115 BQL917114:BQL917115 CAH917114:CAH917115 CKD917114:CKD917115 CTZ917114:CTZ917115 DDV917114:DDV917115 DNR917114:DNR917115 DXN917114:DXN917115 EHJ917114:EHJ917115 ERF917114:ERF917115 FBB917114:FBB917115 FKX917114:FKX917115 FUT917114:FUT917115 GEP917114:GEP917115 GOL917114:GOL917115 GYH917114:GYH917115 HID917114:HID917115 HRZ917114:HRZ917115 IBV917114:IBV917115 ILR917114:ILR917115 IVN917114:IVN917115 JFJ917114:JFJ917115 JPF917114:JPF917115 JZB917114:JZB917115 KIX917114:KIX917115 KST917114:KST917115 LCP917114:LCP917115 LML917114:LML917115 LWH917114:LWH917115 MGD917114:MGD917115 MPZ917114:MPZ917115 MZV917114:MZV917115 NJR917114:NJR917115 NTN917114:NTN917115 ODJ917114:ODJ917115 ONF917114:ONF917115 OXB917114:OXB917115 PGX917114:PGX917115 PQT917114:PQT917115 QAP917114:QAP917115 QKL917114:QKL917115 QUH917114:QUH917115 RED917114:RED917115 RNZ917114:RNZ917115 RXV917114:RXV917115 SHR917114:SHR917115 SRN917114:SRN917115 TBJ917114:TBJ917115 TLF917114:TLF917115 TVB917114:TVB917115 UEX917114:UEX917115 UOT917114:UOT917115 UYP917114:UYP917115 VIL917114:VIL917115 VSH917114:VSH917115 WCD917114:WCD917115 WLZ917114:WLZ917115 WVV917114:WVV917115 N3:N4 JJ3:JJ4 TF3:TF4 ADB3:ADB4 AMX3:AMX4 AWT3:AWT4 BGP3:BGP4 BQL3:BQL4 CAH3:CAH4 CKD3:CKD4 CTZ3:CTZ4 DDV3:DDV4 DNR3:DNR4 DXN3:DXN4 EHJ3:EHJ4 ERF3:ERF4 FBB3:FBB4 FKX3:FKX4 FUT3:FUT4 GEP3:GEP4 GOL3:GOL4 GYH3:GYH4 HID3:HID4 HRZ3:HRZ4 IBV3:IBV4 ILR3:ILR4 IVN3:IVN4 JFJ3:JFJ4 JPF3:JPF4 JZB3:JZB4 KIX3:KIX4 KST3:KST4 LCP3:LCP4 LML3:LML4 LWH3:LWH4 MGD3:MGD4 MPZ3:MPZ4 MZV3:MZV4 NJR3:NJR4 NTN3:NTN4 ODJ3:ODJ4 ONF3:ONF4 OXB3:OXB4 PGX3:PGX4 PQT3:PQT4 QAP3:QAP4 QKL3:QKL4 QUH3:QUH4 RED3:RED4 RNZ3:RNZ4 RXV3:RXV4 SHR3:SHR4 SRN3:SRN4 TBJ3:TBJ4 TLF3:TLF4 TVB3:TVB4 UEX3:UEX4 UOT3:UOT4 UYP3:UYP4 VIL3:VIL4 VSH3:VSH4 WCD3:WCD4 WLZ3:WLZ4 WVV3:WVV4" xr:uid="{00000000-0002-0000-0900-000008000000}"/>
    <dataValidation allowBlank="1" showInputMessage="1" showErrorMessage="1" promptTitle="Unit Price" prompt="Optionally enter Unit Price value.  Must be non-negative" sqref="K982650:K982651 JG982650:JG982651 TC982650:TC982651 ACY982650:ACY982651 AMU982650:AMU982651 AWQ982650:AWQ982651 BGM982650:BGM982651 BQI982650:BQI982651 CAE982650:CAE982651 CKA982650:CKA982651 CTW982650:CTW982651 DDS982650:DDS982651 DNO982650:DNO982651 DXK982650:DXK982651 EHG982650:EHG982651 ERC982650:ERC982651 FAY982650:FAY982651 FKU982650:FKU982651 FUQ982650:FUQ982651 GEM982650:GEM982651 GOI982650:GOI982651 GYE982650:GYE982651 HIA982650:HIA982651 HRW982650:HRW982651 IBS982650:IBS982651 ILO982650:ILO982651 IVK982650:IVK982651 JFG982650:JFG982651 JPC982650:JPC982651 JYY982650:JYY982651 KIU982650:KIU982651 KSQ982650:KSQ982651 LCM982650:LCM982651 LMI982650:LMI982651 LWE982650:LWE982651 MGA982650:MGA982651 MPW982650:MPW982651 MZS982650:MZS982651 NJO982650:NJO982651 NTK982650:NTK982651 ODG982650:ODG982651 ONC982650:ONC982651 OWY982650:OWY982651 PGU982650:PGU982651 PQQ982650:PQQ982651 QAM982650:QAM982651 QKI982650:QKI982651 QUE982650:QUE982651 REA982650:REA982651 RNW982650:RNW982651 RXS982650:RXS982651 SHO982650:SHO982651 SRK982650:SRK982651 TBG982650:TBG982651 TLC982650:TLC982651 TUY982650:TUY982651 UEU982650:UEU982651 UOQ982650:UOQ982651 UYM982650:UYM982651 VII982650:VII982651 VSE982650:VSE982651 WCA982650:WCA982651 WLW982650:WLW982651 WVS982650:WVS982651 K65146:K65147 JG65146:JG65147 TC65146:TC65147 ACY65146:ACY65147 AMU65146:AMU65147 AWQ65146:AWQ65147 BGM65146:BGM65147 BQI65146:BQI65147 CAE65146:CAE65147 CKA65146:CKA65147 CTW65146:CTW65147 DDS65146:DDS65147 DNO65146:DNO65147 DXK65146:DXK65147 EHG65146:EHG65147 ERC65146:ERC65147 FAY65146:FAY65147 FKU65146:FKU65147 FUQ65146:FUQ65147 GEM65146:GEM65147 GOI65146:GOI65147 GYE65146:GYE65147 HIA65146:HIA65147 HRW65146:HRW65147 IBS65146:IBS65147 ILO65146:ILO65147 IVK65146:IVK65147 JFG65146:JFG65147 JPC65146:JPC65147 JYY65146:JYY65147 KIU65146:KIU65147 KSQ65146:KSQ65147 LCM65146:LCM65147 LMI65146:LMI65147 LWE65146:LWE65147 MGA65146:MGA65147 MPW65146:MPW65147 MZS65146:MZS65147 NJO65146:NJO65147 NTK65146:NTK65147 ODG65146:ODG65147 ONC65146:ONC65147 OWY65146:OWY65147 PGU65146:PGU65147 PQQ65146:PQQ65147 QAM65146:QAM65147 QKI65146:QKI65147 QUE65146:QUE65147 REA65146:REA65147 RNW65146:RNW65147 RXS65146:RXS65147 SHO65146:SHO65147 SRK65146:SRK65147 TBG65146:TBG65147 TLC65146:TLC65147 TUY65146:TUY65147 UEU65146:UEU65147 UOQ65146:UOQ65147 UYM65146:UYM65147 VII65146:VII65147 VSE65146:VSE65147 WCA65146:WCA65147 WLW65146:WLW65147 WVS65146:WVS65147 K130682:K130683 JG130682:JG130683 TC130682:TC130683 ACY130682:ACY130683 AMU130682:AMU130683 AWQ130682:AWQ130683 BGM130682:BGM130683 BQI130682:BQI130683 CAE130682:CAE130683 CKA130682:CKA130683 CTW130682:CTW130683 DDS130682:DDS130683 DNO130682:DNO130683 DXK130682:DXK130683 EHG130682:EHG130683 ERC130682:ERC130683 FAY130682:FAY130683 FKU130682:FKU130683 FUQ130682:FUQ130683 GEM130682:GEM130683 GOI130682:GOI130683 GYE130682:GYE130683 HIA130682:HIA130683 HRW130682:HRW130683 IBS130682:IBS130683 ILO130682:ILO130683 IVK130682:IVK130683 JFG130682:JFG130683 JPC130682:JPC130683 JYY130682:JYY130683 KIU130682:KIU130683 KSQ130682:KSQ130683 LCM130682:LCM130683 LMI130682:LMI130683 LWE130682:LWE130683 MGA130682:MGA130683 MPW130682:MPW130683 MZS130682:MZS130683 NJO130682:NJO130683 NTK130682:NTK130683 ODG130682:ODG130683 ONC130682:ONC130683 OWY130682:OWY130683 PGU130682:PGU130683 PQQ130682:PQQ130683 QAM130682:QAM130683 QKI130682:QKI130683 QUE130682:QUE130683 REA130682:REA130683 RNW130682:RNW130683 RXS130682:RXS130683 SHO130682:SHO130683 SRK130682:SRK130683 TBG130682:TBG130683 TLC130682:TLC130683 TUY130682:TUY130683 UEU130682:UEU130683 UOQ130682:UOQ130683 UYM130682:UYM130683 VII130682:VII130683 VSE130682:VSE130683 WCA130682:WCA130683 WLW130682:WLW130683 WVS130682:WVS130683 K196218:K196219 JG196218:JG196219 TC196218:TC196219 ACY196218:ACY196219 AMU196218:AMU196219 AWQ196218:AWQ196219 BGM196218:BGM196219 BQI196218:BQI196219 CAE196218:CAE196219 CKA196218:CKA196219 CTW196218:CTW196219 DDS196218:DDS196219 DNO196218:DNO196219 DXK196218:DXK196219 EHG196218:EHG196219 ERC196218:ERC196219 FAY196218:FAY196219 FKU196218:FKU196219 FUQ196218:FUQ196219 GEM196218:GEM196219 GOI196218:GOI196219 GYE196218:GYE196219 HIA196218:HIA196219 HRW196218:HRW196219 IBS196218:IBS196219 ILO196218:ILO196219 IVK196218:IVK196219 JFG196218:JFG196219 JPC196218:JPC196219 JYY196218:JYY196219 KIU196218:KIU196219 KSQ196218:KSQ196219 LCM196218:LCM196219 LMI196218:LMI196219 LWE196218:LWE196219 MGA196218:MGA196219 MPW196218:MPW196219 MZS196218:MZS196219 NJO196218:NJO196219 NTK196218:NTK196219 ODG196218:ODG196219 ONC196218:ONC196219 OWY196218:OWY196219 PGU196218:PGU196219 PQQ196218:PQQ196219 QAM196218:QAM196219 QKI196218:QKI196219 QUE196218:QUE196219 REA196218:REA196219 RNW196218:RNW196219 RXS196218:RXS196219 SHO196218:SHO196219 SRK196218:SRK196219 TBG196218:TBG196219 TLC196218:TLC196219 TUY196218:TUY196219 UEU196218:UEU196219 UOQ196218:UOQ196219 UYM196218:UYM196219 VII196218:VII196219 VSE196218:VSE196219 WCA196218:WCA196219 WLW196218:WLW196219 WVS196218:WVS196219 K261754:K261755 JG261754:JG261755 TC261754:TC261755 ACY261754:ACY261755 AMU261754:AMU261755 AWQ261754:AWQ261755 BGM261754:BGM261755 BQI261754:BQI261755 CAE261754:CAE261755 CKA261754:CKA261755 CTW261754:CTW261755 DDS261754:DDS261755 DNO261754:DNO261755 DXK261754:DXK261755 EHG261754:EHG261755 ERC261754:ERC261755 FAY261754:FAY261755 FKU261754:FKU261755 FUQ261754:FUQ261755 GEM261754:GEM261755 GOI261754:GOI261755 GYE261754:GYE261755 HIA261754:HIA261755 HRW261754:HRW261755 IBS261754:IBS261755 ILO261754:ILO261755 IVK261754:IVK261755 JFG261754:JFG261755 JPC261754:JPC261755 JYY261754:JYY261755 KIU261754:KIU261755 KSQ261754:KSQ261755 LCM261754:LCM261755 LMI261754:LMI261755 LWE261754:LWE261755 MGA261754:MGA261755 MPW261754:MPW261755 MZS261754:MZS261755 NJO261754:NJO261755 NTK261754:NTK261755 ODG261754:ODG261755 ONC261754:ONC261755 OWY261754:OWY261755 PGU261754:PGU261755 PQQ261754:PQQ261755 QAM261754:QAM261755 QKI261754:QKI261755 QUE261754:QUE261755 REA261754:REA261755 RNW261754:RNW261755 RXS261754:RXS261755 SHO261754:SHO261755 SRK261754:SRK261755 TBG261754:TBG261755 TLC261754:TLC261755 TUY261754:TUY261755 UEU261754:UEU261755 UOQ261754:UOQ261755 UYM261754:UYM261755 VII261754:VII261755 VSE261754:VSE261755 WCA261754:WCA261755 WLW261754:WLW261755 WVS261754:WVS261755 K327290:K327291 JG327290:JG327291 TC327290:TC327291 ACY327290:ACY327291 AMU327290:AMU327291 AWQ327290:AWQ327291 BGM327290:BGM327291 BQI327290:BQI327291 CAE327290:CAE327291 CKA327290:CKA327291 CTW327290:CTW327291 DDS327290:DDS327291 DNO327290:DNO327291 DXK327290:DXK327291 EHG327290:EHG327291 ERC327290:ERC327291 FAY327290:FAY327291 FKU327290:FKU327291 FUQ327290:FUQ327291 GEM327290:GEM327291 GOI327290:GOI327291 GYE327290:GYE327291 HIA327290:HIA327291 HRW327290:HRW327291 IBS327290:IBS327291 ILO327290:ILO327291 IVK327290:IVK327291 JFG327290:JFG327291 JPC327290:JPC327291 JYY327290:JYY327291 KIU327290:KIU327291 KSQ327290:KSQ327291 LCM327290:LCM327291 LMI327290:LMI327291 LWE327290:LWE327291 MGA327290:MGA327291 MPW327290:MPW327291 MZS327290:MZS327291 NJO327290:NJO327291 NTK327290:NTK327291 ODG327290:ODG327291 ONC327290:ONC327291 OWY327290:OWY327291 PGU327290:PGU327291 PQQ327290:PQQ327291 QAM327290:QAM327291 QKI327290:QKI327291 QUE327290:QUE327291 REA327290:REA327291 RNW327290:RNW327291 RXS327290:RXS327291 SHO327290:SHO327291 SRK327290:SRK327291 TBG327290:TBG327291 TLC327290:TLC327291 TUY327290:TUY327291 UEU327290:UEU327291 UOQ327290:UOQ327291 UYM327290:UYM327291 VII327290:VII327291 VSE327290:VSE327291 WCA327290:WCA327291 WLW327290:WLW327291 WVS327290:WVS327291 K392826:K392827 JG392826:JG392827 TC392826:TC392827 ACY392826:ACY392827 AMU392826:AMU392827 AWQ392826:AWQ392827 BGM392826:BGM392827 BQI392826:BQI392827 CAE392826:CAE392827 CKA392826:CKA392827 CTW392826:CTW392827 DDS392826:DDS392827 DNO392826:DNO392827 DXK392826:DXK392827 EHG392826:EHG392827 ERC392826:ERC392827 FAY392826:FAY392827 FKU392826:FKU392827 FUQ392826:FUQ392827 GEM392826:GEM392827 GOI392826:GOI392827 GYE392826:GYE392827 HIA392826:HIA392827 HRW392826:HRW392827 IBS392826:IBS392827 ILO392826:ILO392827 IVK392826:IVK392827 JFG392826:JFG392827 JPC392826:JPC392827 JYY392826:JYY392827 KIU392826:KIU392827 KSQ392826:KSQ392827 LCM392826:LCM392827 LMI392826:LMI392827 LWE392826:LWE392827 MGA392826:MGA392827 MPW392826:MPW392827 MZS392826:MZS392827 NJO392826:NJO392827 NTK392826:NTK392827 ODG392826:ODG392827 ONC392826:ONC392827 OWY392826:OWY392827 PGU392826:PGU392827 PQQ392826:PQQ392827 QAM392826:QAM392827 QKI392826:QKI392827 QUE392826:QUE392827 REA392826:REA392827 RNW392826:RNW392827 RXS392826:RXS392827 SHO392826:SHO392827 SRK392826:SRK392827 TBG392826:TBG392827 TLC392826:TLC392827 TUY392826:TUY392827 UEU392826:UEU392827 UOQ392826:UOQ392827 UYM392826:UYM392827 VII392826:VII392827 VSE392826:VSE392827 WCA392826:WCA392827 WLW392826:WLW392827 WVS392826:WVS392827 K458362:K458363 JG458362:JG458363 TC458362:TC458363 ACY458362:ACY458363 AMU458362:AMU458363 AWQ458362:AWQ458363 BGM458362:BGM458363 BQI458362:BQI458363 CAE458362:CAE458363 CKA458362:CKA458363 CTW458362:CTW458363 DDS458362:DDS458363 DNO458362:DNO458363 DXK458362:DXK458363 EHG458362:EHG458363 ERC458362:ERC458363 FAY458362:FAY458363 FKU458362:FKU458363 FUQ458362:FUQ458363 GEM458362:GEM458363 GOI458362:GOI458363 GYE458362:GYE458363 HIA458362:HIA458363 HRW458362:HRW458363 IBS458362:IBS458363 ILO458362:ILO458363 IVK458362:IVK458363 JFG458362:JFG458363 JPC458362:JPC458363 JYY458362:JYY458363 KIU458362:KIU458363 KSQ458362:KSQ458363 LCM458362:LCM458363 LMI458362:LMI458363 LWE458362:LWE458363 MGA458362:MGA458363 MPW458362:MPW458363 MZS458362:MZS458363 NJO458362:NJO458363 NTK458362:NTK458363 ODG458362:ODG458363 ONC458362:ONC458363 OWY458362:OWY458363 PGU458362:PGU458363 PQQ458362:PQQ458363 QAM458362:QAM458363 QKI458362:QKI458363 QUE458362:QUE458363 REA458362:REA458363 RNW458362:RNW458363 RXS458362:RXS458363 SHO458362:SHO458363 SRK458362:SRK458363 TBG458362:TBG458363 TLC458362:TLC458363 TUY458362:TUY458363 UEU458362:UEU458363 UOQ458362:UOQ458363 UYM458362:UYM458363 VII458362:VII458363 VSE458362:VSE458363 WCA458362:WCA458363 WLW458362:WLW458363 WVS458362:WVS458363 K523898:K523899 JG523898:JG523899 TC523898:TC523899 ACY523898:ACY523899 AMU523898:AMU523899 AWQ523898:AWQ523899 BGM523898:BGM523899 BQI523898:BQI523899 CAE523898:CAE523899 CKA523898:CKA523899 CTW523898:CTW523899 DDS523898:DDS523899 DNO523898:DNO523899 DXK523898:DXK523899 EHG523898:EHG523899 ERC523898:ERC523899 FAY523898:FAY523899 FKU523898:FKU523899 FUQ523898:FUQ523899 GEM523898:GEM523899 GOI523898:GOI523899 GYE523898:GYE523899 HIA523898:HIA523899 HRW523898:HRW523899 IBS523898:IBS523899 ILO523898:ILO523899 IVK523898:IVK523899 JFG523898:JFG523899 JPC523898:JPC523899 JYY523898:JYY523899 KIU523898:KIU523899 KSQ523898:KSQ523899 LCM523898:LCM523899 LMI523898:LMI523899 LWE523898:LWE523899 MGA523898:MGA523899 MPW523898:MPW523899 MZS523898:MZS523899 NJO523898:NJO523899 NTK523898:NTK523899 ODG523898:ODG523899 ONC523898:ONC523899 OWY523898:OWY523899 PGU523898:PGU523899 PQQ523898:PQQ523899 QAM523898:QAM523899 QKI523898:QKI523899 QUE523898:QUE523899 REA523898:REA523899 RNW523898:RNW523899 RXS523898:RXS523899 SHO523898:SHO523899 SRK523898:SRK523899 TBG523898:TBG523899 TLC523898:TLC523899 TUY523898:TUY523899 UEU523898:UEU523899 UOQ523898:UOQ523899 UYM523898:UYM523899 VII523898:VII523899 VSE523898:VSE523899 WCA523898:WCA523899 WLW523898:WLW523899 WVS523898:WVS523899 K589434:K589435 JG589434:JG589435 TC589434:TC589435 ACY589434:ACY589435 AMU589434:AMU589435 AWQ589434:AWQ589435 BGM589434:BGM589435 BQI589434:BQI589435 CAE589434:CAE589435 CKA589434:CKA589435 CTW589434:CTW589435 DDS589434:DDS589435 DNO589434:DNO589435 DXK589434:DXK589435 EHG589434:EHG589435 ERC589434:ERC589435 FAY589434:FAY589435 FKU589434:FKU589435 FUQ589434:FUQ589435 GEM589434:GEM589435 GOI589434:GOI589435 GYE589434:GYE589435 HIA589434:HIA589435 HRW589434:HRW589435 IBS589434:IBS589435 ILO589434:ILO589435 IVK589434:IVK589435 JFG589434:JFG589435 JPC589434:JPC589435 JYY589434:JYY589435 KIU589434:KIU589435 KSQ589434:KSQ589435 LCM589434:LCM589435 LMI589434:LMI589435 LWE589434:LWE589435 MGA589434:MGA589435 MPW589434:MPW589435 MZS589434:MZS589435 NJO589434:NJO589435 NTK589434:NTK589435 ODG589434:ODG589435 ONC589434:ONC589435 OWY589434:OWY589435 PGU589434:PGU589435 PQQ589434:PQQ589435 QAM589434:QAM589435 QKI589434:QKI589435 QUE589434:QUE589435 REA589434:REA589435 RNW589434:RNW589435 RXS589434:RXS589435 SHO589434:SHO589435 SRK589434:SRK589435 TBG589434:TBG589435 TLC589434:TLC589435 TUY589434:TUY589435 UEU589434:UEU589435 UOQ589434:UOQ589435 UYM589434:UYM589435 VII589434:VII589435 VSE589434:VSE589435 WCA589434:WCA589435 WLW589434:WLW589435 WVS589434:WVS589435 K654970:K654971 JG654970:JG654971 TC654970:TC654971 ACY654970:ACY654971 AMU654970:AMU654971 AWQ654970:AWQ654971 BGM654970:BGM654971 BQI654970:BQI654971 CAE654970:CAE654971 CKA654970:CKA654971 CTW654970:CTW654971 DDS654970:DDS654971 DNO654970:DNO654971 DXK654970:DXK654971 EHG654970:EHG654971 ERC654970:ERC654971 FAY654970:FAY654971 FKU654970:FKU654971 FUQ654970:FUQ654971 GEM654970:GEM654971 GOI654970:GOI654971 GYE654970:GYE654971 HIA654970:HIA654971 HRW654970:HRW654971 IBS654970:IBS654971 ILO654970:ILO654971 IVK654970:IVK654971 JFG654970:JFG654971 JPC654970:JPC654971 JYY654970:JYY654971 KIU654970:KIU654971 KSQ654970:KSQ654971 LCM654970:LCM654971 LMI654970:LMI654971 LWE654970:LWE654971 MGA654970:MGA654971 MPW654970:MPW654971 MZS654970:MZS654971 NJO654970:NJO654971 NTK654970:NTK654971 ODG654970:ODG654971 ONC654970:ONC654971 OWY654970:OWY654971 PGU654970:PGU654971 PQQ654970:PQQ654971 QAM654970:QAM654971 QKI654970:QKI654971 QUE654970:QUE654971 REA654970:REA654971 RNW654970:RNW654971 RXS654970:RXS654971 SHO654970:SHO654971 SRK654970:SRK654971 TBG654970:TBG654971 TLC654970:TLC654971 TUY654970:TUY654971 UEU654970:UEU654971 UOQ654970:UOQ654971 UYM654970:UYM654971 VII654970:VII654971 VSE654970:VSE654971 WCA654970:WCA654971 WLW654970:WLW654971 WVS654970:WVS654971 K720506:K720507 JG720506:JG720507 TC720506:TC720507 ACY720506:ACY720507 AMU720506:AMU720507 AWQ720506:AWQ720507 BGM720506:BGM720507 BQI720506:BQI720507 CAE720506:CAE720507 CKA720506:CKA720507 CTW720506:CTW720507 DDS720506:DDS720507 DNO720506:DNO720507 DXK720506:DXK720507 EHG720506:EHG720507 ERC720506:ERC720507 FAY720506:FAY720507 FKU720506:FKU720507 FUQ720506:FUQ720507 GEM720506:GEM720507 GOI720506:GOI720507 GYE720506:GYE720507 HIA720506:HIA720507 HRW720506:HRW720507 IBS720506:IBS720507 ILO720506:ILO720507 IVK720506:IVK720507 JFG720506:JFG720507 JPC720506:JPC720507 JYY720506:JYY720507 KIU720506:KIU720507 KSQ720506:KSQ720507 LCM720506:LCM720507 LMI720506:LMI720507 LWE720506:LWE720507 MGA720506:MGA720507 MPW720506:MPW720507 MZS720506:MZS720507 NJO720506:NJO720507 NTK720506:NTK720507 ODG720506:ODG720507 ONC720506:ONC720507 OWY720506:OWY720507 PGU720506:PGU720507 PQQ720506:PQQ720507 QAM720506:QAM720507 QKI720506:QKI720507 QUE720506:QUE720507 REA720506:REA720507 RNW720506:RNW720507 RXS720506:RXS720507 SHO720506:SHO720507 SRK720506:SRK720507 TBG720506:TBG720507 TLC720506:TLC720507 TUY720506:TUY720507 UEU720506:UEU720507 UOQ720506:UOQ720507 UYM720506:UYM720507 VII720506:VII720507 VSE720506:VSE720507 WCA720506:WCA720507 WLW720506:WLW720507 WVS720506:WVS720507 K786042:K786043 JG786042:JG786043 TC786042:TC786043 ACY786042:ACY786043 AMU786042:AMU786043 AWQ786042:AWQ786043 BGM786042:BGM786043 BQI786042:BQI786043 CAE786042:CAE786043 CKA786042:CKA786043 CTW786042:CTW786043 DDS786042:DDS786043 DNO786042:DNO786043 DXK786042:DXK786043 EHG786042:EHG786043 ERC786042:ERC786043 FAY786042:FAY786043 FKU786042:FKU786043 FUQ786042:FUQ786043 GEM786042:GEM786043 GOI786042:GOI786043 GYE786042:GYE786043 HIA786042:HIA786043 HRW786042:HRW786043 IBS786042:IBS786043 ILO786042:ILO786043 IVK786042:IVK786043 JFG786042:JFG786043 JPC786042:JPC786043 JYY786042:JYY786043 KIU786042:KIU786043 KSQ786042:KSQ786043 LCM786042:LCM786043 LMI786042:LMI786043 LWE786042:LWE786043 MGA786042:MGA786043 MPW786042:MPW786043 MZS786042:MZS786043 NJO786042:NJO786043 NTK786042:NTK786043 ODG786042:ODG786043 ONC786042:ONC786043 OWY786042:OWY786043 PGU786042:PGU786043 PQQ786042:PQQ786043 QAM786042:QAM786043 QKI786042:QKI786043 QUE786042:QUE786043 REA786042:REA786043 RNW786042:RNW786043 RXS786042:RXS786043 SHO786042:SHO786043 SRK786042:SRK786043 TBG786042:TBG786043 TLC786042:TLC786043 TUY786042:TUY786043 UEU786042:UEU786043 UOQ786042:UOQ786043 UYM786042:UYM786043 VII786042:VII786043 VSE786042:VSE786043 WCA786042:WCA786043 WLW786042:WLW786043 WVS786042:WVS786043 K851578:K851579 JG851578:JG851579 TC851578:TC851579 ACY851578:ACY851579 AMU851578:AMU851579 AWQ851578:AWQ851579 BGM851578:BGM851579 BQI851578:BQI851579 CAE851578:CAE851579 CKA851578:CKA851579 CTW851578:CTW851579 DDS851578:DDS851579 DNO851578:DNO851579 DXK851578:DXK851579 EHG851578:EHG851579 ERC851578:ERC851579 FAY851578:FAY851579 FKU851578:FKU851579 FUQ851578:FUQ851579 GEM851578:GEM851579 GOI851578:GOI851579 GYE851578:GYE851579 HIA851578:HIA851579 HRW851578:HRW851579 IBS851578:IBS851579 ILO851578:ILO851579 IVK851578:IVK851579 JFG851578:JFG851579 JPC851578:JPC851579 JYY851578:JYY851579 KIU851578:KIU851579 KSQ851578:KSQ851579 LCM851578:LCM851579 LMI851578:LMI851579 LWE851578:LWE851579 MGA851578:MGA851579 MPW851578:MPW851579 MZS851578:MZS851579 NJO851578:NJO851579 NTK851578:NTK851579 ODG851578:ODG851579 ONC851578:ONC851579 OWY851578:OWY851579 PGU851578:PGU851579 PQQ851578:PQQ851579 QAM851578:QAM851579 QKI851578:QKI851579 QUE851578:QUE851579 REA851578:REA851579 RNW851578:RNW851579 RXS851578:RXS851579 SHO851578:SHO851579 SRK851578:SRK851579 TBG851578:TBG851579 TLC851578:TLC851579 TUY851578:TUY851579 UEU851578:UEU851579 UOQ851578:UOQ851579 UYM851578:UYM851579 VII851578:VII851579 VSE851578:VSE851579 WCA851578:WCA851579 WLW851578:WLW851579 WVS851578:WVS851579 K917114:K917115 JG917114:JG917115 TC917114:TC917115 ACY917114:ACY917115 AMU917114:AMU917115 AWQ917114:AWQ917115 BGM917114:BGM917115 BQI917114:BQI917115 CAE917114:CAE917115 CKA917114:CKA917115 CTW917114:CTW917115 DDS917114:DDS917115 DNO917114:DNO917115 DXK917114:DXK917115 EHG917114:EHG917115 ERC917114:ERC917115 FAY917114:FAY917115 FKU917114:FKU917115 FUQ917114:FUQ917115 GEM917114:GEM917115 GOI917114:GOI917115 GYE917114:GYE917115 HIA917114:HIA917115 HRW917114:HRW917115 IBS917114:IBS917115 ILO917114:ILO917115 IVK917114:IVK917115 JFG917114:JFG917115 JPC917114:JPC917115 JYY917114:JYY917115 KIU917114:KIU917115 KSQ917114:KSQ917115 LCM917114:LCM917115 LMI917114:LMI917115 LWE917114:LWE917115 MGA917114:MGA917115 MPW917114:MPW917115 MZS917114:MZS917115 NJO917114:NJO917115 NTK917114:NTK917115 ODG917114:ODG917115 ONC917114:ONC917115 OWY917114:OWY917115 PGU917114:PGU917115 PQQ917114:PQQ917115 QAM917114:QAM917115 QKI917114:QKI917115 QUE917114:QUE917115 REA917114:REA917115 RNW917114:RNW917115 RXS917114:RXS917115 SHO917114:SHO917115 SRK917114:SRK917115 TBG917114:TBG917115 TLC917114:TLC917115 TUY917114:TUY917115 UEU917114:UEU917115 UOQ917114:UOQ917115 UYM917114:UYM917115 VII917114:VII917115 VSE917114:VSE917115 WCA917114:WCA917115 WLW917114:WLW917115 WVS917114:WVS917115 K3:K4 JG3:JG4 TC3:TC4 ACY3:ACY4 AMU3:AMU4 AWQ3:AWQ4 BGM3:BGM4 BQI3:BQI4 CAE3:CAE4 CKA3:CKA4 CTW3:CTW4 DDS3:DDS4 DNO3:DNO4 DXK3:DXK4 EHG3:EHG4 ERC3:ERC4 FAY3:FAY4 FKU3:FKU4 FUQ3:FUQ4 GEM3:GEM4 GOI3:GOI4 GYE3:GYE4 HIA3:HIA4 HRW3:HRW4 IBS3:IBS4 ILO3:ILO4 IVK3:IVK4 JFG3:JFG4 JPC3:JPC4 JYY3:JYY4 KIU3:KIU4 KSQ3:KSQ4 LCM3:LCM4 LMI3:LMI4 LWE3:LWE4 MGA3:MGA4 MPW3:MPW4 MZS3:MZS4 NJO3:NJO4 NTK3:NTK4 ODG3:ODG4 ONC3:ONC4 OWY3:OWY4 PGU3:PGU4 PQQ3:PQQ4 QAM3:QAM4 QKI3:QKI4 QUE3:QUE4 REA3:REA4 RNW3:RNW4 RXS3:RXS4 SHO3:SHO4 SRK3:SRK4 TBG3:TBG4 TLC3:TLC4 TUY3:TUY4 UEU3:UEU4 UOQ3:UOQ4 UYM3:UYM4 VII3:VII4 VSE3:VSE4 WCA3:WCA4 WLW3:WLW4 WVS3:WVS4" xr:uid="{00000000-0002-0000-0900-000009000000}"/>
    <dataValidation allowBlank="1" showInputMessage="1" showErrorMessage="1" promptTitle="Unit Cost" prompt="Report the unit cost of the item as agreed to with your retail partner." sqref="J982650:J982876 JF982650:JF982876 TB982650:TB982876 ACX982650:ACX982876 AMT982650:AMT982876 AWP982650:AWP982876 BGL982650:BGL982876 BQH982650:BQH982876 CAD982650:CAD982876 CJZ982650:CJZ982876 CTV982650:CTV982876 DDR982650:DDR982876 DNN982650:DNN982876 DXJ982650:DXJ982876 EHF982650:EHF982876 ERB982650:ERB982876 FAX982650:FAX982876 FKT982650:FKT982876 FUP982650:FUP982876 GEL982650:GEL982876 GOH982650:GOH982876 GYD982650:GYD982876 HHZ982650:HHZ982876 HRV982650:HRV982876 IBR982650:IBR982876 ILN982650:ILN982876 IVJ982650:IVJ982876 JFF982650:JFF982876 JPB982650:JPB982876 JYX982650:JYX982876 KIT982650:KIT982876 KSP982650:KSP982876 LCL982650:LCL982876 LMH982650:LMH982876 LWD982650:LWD982876 MFZ982650:MFZ982876 MPV982650:MPV982876 MZR982650:MZR982876 NJN982650:NJN982876 NTJ982650:NTJ982876 ODF982650:ODF982876 ONB982650:ONB982876 OWX982650:OWX982876 PGT982650:PGT982876 PQP982650:PQP982876 QAL982650:QAL982876 QKH982650:QKH982876 QUD982650:QUD982876 RDZ982650:RDZ982876 RNV982650:RNV982876 RXR982650:RXR982876 SHN982650:SHN982876 SRJ982650:SRJ982876 TBF982650:TBF982876 TLB982650:TLB982876 TUX982650:TUX982876 UET982650:UET982876 UOP982650:UOP982876 UYL982650:UYL982876 VIH982650:VIH982876 VSD982650:VSD982876 WBZ982650:WBZ982876 WLV982650:WLV982876 WVR982650:WVR982876 J65146:J65372 JF65146:JF65372 TB65146:TB65372 ACX65146:ACX65372 AMT65146:AMT65372 AWP65146:AWP65372 BGL65146:BGL65372 BQH65146:BQH65372 CAD65146:CAD65372 CJZ65146:CJZ65372 CTV65146:CTV65372 DDR65146:DDR65372 DNN65146:DNN65372 DXJ65146:DXJ65372 EHF65146:EHF65372 ERB65146:ERB65372 FAX65146:FAX65372 FKT65146:FKT65372 FUP65146:FUP65372 GEL65146:GEL65372 GOH65146:GOH65372 GYD65146:GYD65372 HHZ65146:HHZ65372 HRV65146:HRV65372 IBR65146:IBR65372 ILN65146:ILN65372 IVJ65146:IVJ65372 JFF65146:JFF65372 JPB65146:JPB65372 JYX65146:JYX65372 KIT65146:KIT65372 KSP65146:KSP65372 LCL65146:LCL65372 LMH65146:LMH65372 LWD65146:LWD65372 MFZ65146:MFZ65372 MPV65146:MPV65372 MZR65146:MZR65372 NJN65146:NJN65372 NTJ65146:NTJ65372 ODF65146:ODF65372 ONB65146:ONB65372 OWX65146:OWX65372 PGT65146:PGT65372 PQP65146:PQP65372 QAL65146:QAL65372 QKH65146:QKH65372 QUD65146:QUD65372 RDZ65146:RDZ65372 RNV65146:RNV65372 RXR65146:RXR65372 SHN65146:SHN65372 SRJ65146:SRJ65372 TBF65146:TBF65372 TLB65146:TLB65372 TUX65146:TUX65372 UET65146:UET65372 UOP65146:UOP65372 UYL65146:UYL65372 VIH65146:VIH65372 VSD65146:VSD65372 WBZ65146:WBZ65372 WLV65146:WLV65372 WVR65146:WVR65372 J130682:J130908 JF130682:JF130908 TB130682:TB130908 ACX130682:ACX130908 AMT130682:AMT130908 AWP130682:AWP130908 BGL130682:BGL130908 BQH130682:BQH130908 CAD130682:CAD130908 CJZ130682:CJZ130908 CTV130682:CTV130908 DDR130682:DDR130908 DNN130682:DNN130908 DXJ130682:DXJ130908 EHF130682:EHF130908 ERB130682:ERB130908 FAX130682:FAX130908 FKT130682:FKT130908 FUP130682:FUP130908 GEL130682:GEL130908 GOH130682:GOH130908 GYD130682:GYD130908 HHZ130682:HHZ130908 HRV130682:HRV130908 IBR130682:IBR130908 ILN130682:ILN130908 IVJ130682:IVJ130908 JFF130682:JFF130908 JPB130682:JPB130908 JYX130682:JYX130908 KIT130682:KIT130908 KSP130682:KSP130908 LCL130682:LCL130908 LMH130682:LMH130908 LWD130682:LWD130908 MFZ130682:MFZ130908 MPV130682:MPV130908 MZR130682:MZR130908 NJN130682:NJN130908 NTJ130682:NTJ130908 ODF130682:ODF130908 ONB130682:ONB130908 OWX130682:OWX130908 PGT130682:PGT130908 PQP130682:PQP130908 QAL130682:QAL130908 QKH130682:QKH130908 QUD130682:QUD130908 RDZ130682:RDZ130908 RNV130682:RNV130908 RXR130682:RXR130908 SHN130682:SHN130908 SRJ130682:SRJ130908 TBF130682:TBF130908 TLB130682:TLB130908 TUX130682:TUX130908 UET130682:UET130908 UOP130682:UOP130908 UYL130682:UYL130908 VIH130682:VIH130908 VSD130682:VSD130908 WBZ130682:WBZ130908 WLV130682:WLV130908 WVR130682:WVR130908 J196218:J196444 JF196218:JF196444 TB196218:TB196444 ACX196218:ACX196444 AMT196218:AMT196444 AWP196218:AWP196444 BGL196218:BGL196444 BQH196218:BQH196444 CAD196218:CAD196444 CJZ196218:CJZ196444 CTV196218:CTV196444 DDR196218:DDR196444 DNN196218:DNN196444 DXJ196218:DXJ196444 EHF196218:EHF196444 ERB196218:ERB196444 FAX196218:FAX196444 FKT196218:FKT196444 FUP196218:FUP196444 GEL196218:GEL196444 GOH196218:GOH196444 GYD196218:GYD196444 HHZ196218:HHZ196444 HRV196218:HRV196444 IBR196218:IBR196444 ILN196218:ILN196444 IVJ196218:IVJ196444 JFF196218:JFF196444 JPB196218:JPB196444 JYX196218:JYX196444 KIT196218:KIT196444 KSP196218:KSP196444 LCL196218:LCL196444 LMH196218:LMH196444 LWD196218:LWD196444 MFZ196218:MFZ196444 MPV196218:MPV196444 MZR196218:MZR196444 NJN196218:NJN196444 NTJ196218:NTJ196444 ODF196218:ODF196444 ONB196218:ONB196444 OWX196218:OWX196444 PGT196218:PGT196444 PQP196218:PQP196444 QAL196218:QAL196444 QKH196218:QKH196444 QUD196218:QUD196444 RDZ196218:RDZ196444 RNV196218:RNV196444 RXR196218:RXR196444 SHN196218:SHN196444 SRJ196218:SRJ196444 TBF196218:TBF196444 TLB196218:TLB196444 TUX196218:TUX196444 UET196218:UET196444 UOP196218:UOP196444 UYL196218:UYL196444 VIH196218:VIH196444 VSD196218:VSD196444 WBZ196218:WBZ196444 WLV196218:WLV196444 WVR196218:WVR196444 J261754:J261980 JF261754:JF261980 TB261754:TB261980 ACX261754:ACX261980 AMT261754:AMT261980 AWP261754:AWP261980 BGL261754:BGL261980 BQH261754:BQH261980 CAD261754:CAD261980 CJZ261754:CJZ261980 CTV261754:CTV261980 DDR261754:DDR261980 DNN261754:DNN261980 DXJ261754:DXJ261980 EHF261754:EHF261980 ERB261754:ERB261980 FAX261754:FAX261980 FKT261754:FKT261980 FUP261754:FUP261980 GEL261754:GEL261980 GOH261754:GOH261980 GYD261754:GYD261980 HHZ261754:HHZ261980 HRV261754:HRV261980 IBR261754:IBR261980 ILN261754:ILN261980 IVJ261754:IVJ261980 JFF261754:JFF261980 JPB261754:JPB261980 JYX261754:JYX261980 KIT261754:KIT261980 KSP261754:KSP261980 LCL261754:LCL261980 LMH261754:LMH261980 LWD261754:LWD261980 MFZ261754:MFZ261980 MPV261754:MPV261980 MZR261754:MZR261980 NJN261754:NJN261980 NTJ261754:NTJ261980 ODF261754:ODF261980 ONB261754:ONB261980 OWX261754:OWX261980 PGT261754:PGT261980 PQP261754:PQP261980 QAL261754:QAL261980 QKH261754:QKH261980 QUD261754:QUD261980 RDZ261754:RDZ261980 RNV261754:RNV261980 RXR261754:RXR261980 SHN261754:SHN261980 SRJ261754:SRJ261980 TBF261754:TBF261980 TLB261754:TLB261980 TUX261754:TUX261980 UET261754:UET261980 UOP261754:UOP261980 UYL261754:UYL261980 VIH261754:VIH261980 VSD261754:VSD261980 WBZ261754:WBZ261980 WLV261754:WLV261980 WVR261754:WVR261980 J327290:J327516 JF327290:JF327516 TB327290:TB327516 ACX327290:ACX327516 AMT327290:AMT327516 AWP327290:AWP327516 BGL327290:BGL327516 BQH327290:BQH327516 CAD327290:CAD327516 CJZ327290:CJZ327516 CTV327290:CTV327516 DDR327290:DDR327516 DNN327290:DNN327516 DXJ327290:DXJ327516 EHF327290:EHF327516 ERB327290:ERB327516 FAX327290:FAX327516 FKT327290:FKT327516 FUP327290:FUP327516 GEL327290:GEL327516 GOH327290:GOH327516 GYD327290:GYD327516 HHZ327290:HHZ327516 HRV327290:HRV327516 IBR327290:IBR327516 ILN327290:ILN327516 IVJ327290:IVJ327516 JFF327290:JFF327516 JPB327290:JPB327516 JYX327290:JYX327516 KIT327290:KIT327516 KSP327290:KSP327516 LCL327290:LCL327516 LMH327290:LMH327516 LWD327290:LWD327516 MFZ327290:MFZ327516 MPV327290:MPV327516 MZR327290:MZR327516 NJN327290:NJN327516 NTJ327290:NTJ327516 ODF327290:ODF327516 ONB327290:ONB327516 OWX327290:OWX327516 PGT327290:PGT327516 PQP327290:PQP327516 QAL327290:QAL327516 QKH327290:QKH327516 QUD327290:QUD327516 RDZ327290:RDZ327516 RNV327290:RNV327516 RXR327290:RXR327516 SHN327290:SHN327516 SRJ327290:SRJ327516 TBF327290:TBF327516 TLB327290:TLB327516 TUX327290:TUX327516 UET327290:UET327516 UOP327290:UOP327516 UYL327290:UYL327516 VIH327290:VIH327516 VSD327290:VSD327516 WBZ327290:WBZ327516 WLV327290:WLV327516 WVR327290:WVR327516 J392826:J393052 JF392826:JF393052 TB392826:TB393052 ACX392826:ACX393052 AMT392826:AMT393052 AWP392826:AWP393052 BGL392826:BGL393052 BQH392826:BQH393052 CAD392826:CAD393052 CJZ392826:CJZ393052 CTV392826:CTV393052 DDR392826:DDR393052 DNN392826:DNN393052 DXJ392826:DXJ393052 EHF392826:EHF393052 ERB392826:ERB393052 FAX392826:FAX393052 FKT392826:FKT393052 FUP392826:FUP393052 GEL392826:GEL393052 GOH392826:GOH393052 GYD392826:GYD393052 HHZ392826:HHZ393052 HRV392826:HRV393052 IBR392826:IBR393052 ILN392826:ILN393052 IVJ392826:IVJ393052 JFF392826:JFF393052 JPB392826:JPB393052 JYX392826:JYX393052 KIT392826:KIT393052 KSP392826:KSP393052 LCL392826:LCL393052 LMH392826:LMH393052 LWD392826:LWD393052 MFZ392826:MFZ393052 MPV392826:MPV393052 MZR392826:MZR393052 NJN392826:NJN393052 NTJ392826:NTJ393052 ODF392826:ODF393052 ONB392826:ONB393052 OWX392826:OWX393052 PGT392826:PGT393052 PQP392826:PQP393052 QAL392826:QAL393052 QKH392826:QKH393052 QUD392826:QUD393052 RDZ392826:RDZ393052 RNV392826:RNV393052 RXR392826:RXR393052 SHN392826:SHN393052 SRJ392826:SRJ393052 TBF392826:TBF393052 TLB392826:TLB393052 TUX392826:TUX393052 UET392826:UET393052 UOP392826:UOP393052 UYL392826:UYL393052 VIH392826:VIH393052 VSD392826:VSD393052 WBZ392826:WBZ393052 WLV392826:WLV393052 WVR392826:WVR393052 J458362:J458588 JF458362:JF458588 TB458362:TB458588 ACX458362:ACX458588 AMT458362:AMT458588 AWP458362:AWP458588 BGL458362:BGL458588 BQH458362:BQH458588 CAD458362:CAD458588 CJZ458362:CJZ458588 CTV458362:CTV458588 DDR458362:DDR458588 DNN458362:DNN458588 DXJ458362:DXJ458588 EHF458362:EHF458588 ERB458362:ERB458588 FAX458362:FAX458588 FKT458362:FKT458588 FUP458362:FUP458588 GEL458362:GEL458588 GOH458362:GOH458588 GYD458362:GYD458588 HHZ458362:HHZ458588 HRV458362:HRV458588 IBR458362:IBR458588 ILN458362:ILN458588 IVJ458362:IVJ458588 JFF458362:JFF458588 JPB458362:JPB458588 JYX458362:JYX458588 KIT458362:KIT458588 KSP458362:KSP458588 LCL458362:LCL458588 LMH458362:LMH458588 LWD458362:LWD458588 MFZ458362:MFZ458588 MPV458362:MPV458588 MZR458362:MZR458588 NJN458362:NJN458588 NTJ458362:NTJ458588 ODF458362:ODF458588 ONB458362:ONB458588 OWX458362:OWX458588 PGT458362:PGT458588 PQP458362:PQP458588 QAL458362:QAL458588 QKH458362:QKH458588 QUD458362:QUD458588 RDZ458362:RDZ458588 RNV458362:RNV458588 RXR458362:RXR458588 SHN458362:SHN458588 SRJ458362:SRJ458588 TBF458362:TBF458588 TLB458362:TLB458588 TUX458362:TUX458588 UET458362:UET458588 UOP458362:UOP458588 UYL458362:UYL458588 VIH458362:VIH458588 VSD458362:VSD458588 WBZ458362:WBZ458588 WLV458362:WLV458588 WVR458362:WVR458588 J523898:J524124 JF523898:JF524124 TB523898:TB524124 ACX523898:ACX524124 AMT523898:AMT524124 AWP523898:AWP524124 BGL523898:BGL524124 BQH523898:BQH524124 CAD523898:CAD524124 CJZ523898:CJZ524124 CTV523898:CTV524124 DDR523898:DDR524124 DNN523898:DNN524124 DXJ523898:DXJ524124 EHF523898:EHF524124 ERB523898:ERB524124 FAX523898:FAX524124 FKT523898:FKT524124 FUP523898:FUP524124 GEL523898:GEL524124 GOH523898:GOH524124 GYD523898:GYD524124 HHZ523898:HHZ524124 HRV523898:HRV524124 IBR523898:IBR524124 ILN523898:ILN524124 IVJ523898:IVJ524124 JFF523898:JFF524124 JPB523898:JPB524124 JYX523898:JYX524124 KIT523898:KIT524124 KSP523898:KSP524124 LCL523898:LCL524124 LMH523898:LMH524124 LWD523898:LWD524124 MFZ523898:MFZ524124 MPV523898:MPV524124 MZR523898:MZR524124 NJN523898:NJN524124 NTJ523898:NTJ524124 ODF523898:ODF524124 ONB523898:ONB524124 OWX523898:OWX524124 PGT523898:PGT524124 PQP523898:PQP524124 QAL523898:QAL524124 QKH523898:QKH524124 QUD523898:QUD524124 RDZ523898:RDZ524124 RNV523898:RNV524124 RXR523898:RXR524124 SHN523898:SHN524124 SRJ523898:SRJ524124 TBF523898:TBF524124 TLB523898:TLB524124 TUX523898:TUX524124 UET523898:UET524124 UOP523898:UOP524124 UYL523898:UYL524124 VIH523898:VIH524124 VSD523898:VSD524124 WBZ523898:WBZ524124 WLV523898:WLV524124 WVR523898:WVR524124 J589434:J589660 JF589434:JF589660 TB589434:TB589660 ACX589434:ACX589660 AMT589434:AMT589660 AWP589434:AWP589660 BGL589434:BGL589660 BQH589434:BQH589660 CAD589434:CAD589660 CJZ589434:CJZ589660 CTV589434:CTV589660 DDR589434:DDR589660 DNN589434:DNN589660 DXJ589434:DXJ589660 EHF589434:EHF589660 ERB589434:ERB589660 FAX589434:FAX589660 FKT589434:FKT589660 FUP589434:FUP589660 GEL589434:GEL589660 GOH589434:GOH589660 GYD589434:GYD589660 HHZ589434:HHZ589660 HRV589434:HRV589660 IBR589434:IBR589660 ILN589434:ILN589660 IVJ589434:IVJ589660 JFF589434:JFF589660 JPB589434:JPB589660 JYX589434:JYX589660 KIT589434:KIT589660 KSP589434:KSP589660 LCL589434:LCL589660 LMH589434:LMH589660 LWD589434:LWD589660 MFZ589434:MFZ589660 MPV589434:MPV589660 MZR589434:MZR589660 NJN589434:NJN589660 NTJ589434:NTJ589660 ODF589434:ODF589660 ONB589434:ONB589660 OWX589434:OWX589660 PGT589434:PGT589660 PQP589434:PQP589660 QAL589434:QAL589660 QKH589434:QKH589660 QUD589434:QUD589660 RDZ589434:RDZ589660 RNV589434:RNV589660 RXR589434:RXR589660 SHN589434:SHN589660 SRJ589434:SRJ589660 TBF589434:TBF589660 TLB589434:TLB589660 TUX589434:TUX589660 UET589434:UET589660 UOP589434:UOP589660 UYL589434:UYL589660 VIH589434:VIH589660 VSD589434:VSD589660 WBZ589434:WBZ589660 WLV589434:WLV589660 WVR589434:WVR589660 J654970:J655196 JF654970:JF655196 TB654970:TB655196 ACX654970:ACX655196 AMT654970:AMT655196 AWP654970:AWP655196 BGL654970:BGL655196 BQH654970:BQH655196 CAD654970:CAD655196 CJZ654970:CJZ655196 CTV654970:CTV655196 DDR654970:DDR655196 DNN654970:DNN655196 DXJ654970:DXJ655196 EHF654970:EHF655196 ERB654970:ERB655196 FAX654970:FAX655196 FKT654970:FKT655196 FUP654970:FUP655196 GEL654970:GEL655196 GOH654970:GOH655196 GYD654970:GYD655196 HHZ654970:HHZ655196 HRV654970:HRV655196 IBR654970:IBR655196 ILN654970:ILN655196 IVJ654970:IVJ655196 JFF654970:JFF655196 JPB654970:JPB655196 JYX654970:JYX655196 KIT654970:KIT655196 KSP654970:KSP655196 LCL654970:LCL655196 LMH654970:LMH655196 LWD654970:LWD655196 MFZ654970:MFZ655196 MPV654970:MPV655196 MZR654970:MZR655196 NJN654970:NJN655196 NTJ654970:NTJ655196 ODF654970:ODF655196 ONB654970:ONB655196 OWX654970:OWX655196 PGT654970:PGT655196 PQP654970:PQP655196 QAL654970:QAL655196 QKH654970:QKH655196 QUD654970:QUD655196 RDZ654970:RDZ655196 RNV654970:RNV655196 RXR654970:RXR655196 SHN654970:SHN655196 SRJ654970:SRJ655196 TBF654970:TBF655196 TLB654970:TLB655196 TUX654970:TUX655196 UET654970:UET655196 UOP654970:UOP655196 UYL654970:UYL655196 VIH654970:VIH655196 VSD654970:VSD655196 WBZ654970:WBZ655196 WLV654970:WLV655196 WVR654970:WVR655196 J720506:J720732 JF720506:JF720732 TB720506:TB720732 ACX720506:ACX720732 AMT720506:AMT720732 AWP720506:AWP720732 BGL720506:BGL720732 BQH720506:BQH720732 CAD720506:CAD720732 CJZ720506:CJZ720732 CTV720506:CTV720732 DDR720506:DDR720732 DNN720506:DNN720732 DXJ720506:DXJ720732 EHF720506:EHF720732 ERB720506:ERB720732 FAX720506:FAX720732 FKT720506:FKT720732 FUP720506:FUP720732 GEL720506:GEL720732 GOH720506:GOH720732 GYD720506:GYD720732 HHZ720506:HHZ720732 HRV720506:HRV720732 IBR720506:IBR720732 ILN720506:ILN720732 IVJ720506:IVJ720732 JFF720506:JFF720732 JPB720506:JPB720732 JYX720506:JYX720732 KIT720506:KIT720732 KSP720506:KSP720732 LCL720506:LCL720732 LMH720506:LMH720732 LWD720506:LWD720732 MFZ720506:MFZ720732 MPV720506:MPV720732 MZR720506:MZR720732 NJN720506:NJN720732 NTJ720506:NTJ720732 ODF720506:ODF720732 ONB720506:ONB720732 OWX720506:OWX720732 PGT720506:PGT720732 PQP720506:PQP720732 QAL720506:QAL720732 QKH720506:QKH720732 QUD720506:QUD720732 RDZ720506:RDZ720732 RNV720506:RNV720732 RXR720506:RXR720732 SHN720506:SHN720732 SRJ720506:SRJ720732 TBF720506:TBF720732 TLB720506:TLB720732 TUX720506:TUX720732 UET720506:UET720732 UOP720506:UOP720732 UYL720506:UYL720732 VIH720506:VIH720732 VSD720506:VSD720732 WBZ720506:WBZ720732 WLV720506:WLV720732 WVR720506:WVR720732 J786042:J786268 JF786042:JF786268 TB786042:TB786268 ACX786042:ACX786268 AMT786042:AMT786268 AWP786042:AWP786268 BGL786042:BGL786268 BQH786042:BQH786268 CAD786042:CAD786268 CJZ786042:CJZ786268 CTV786042:CTV786268 DDR786042:DDR786268 DNN786042:DNN786268 DXJ786042:DXJ786268 EHF786042:EHF786268 ERB786042:ERB786268 FAX786042:FAX786268 FKT786042:FKT786268 FUP786042:FUP786268 GEL786042:GEL786268 GOH786042:GOH786268 GYD786042:GYD786268 HHZ786042:HHZ786268 HRV786042:HRV786268 IBR786042:IBR786268 ILN786042:ILN786268 IVJ786042:IVJ786268 JFF786042:JFF786268 JPB786042:JPB786268 JYX786042:JYX786268 KIT786042:KIT786268 KSP786042:KSP786268 LCL786042:LCL786268 LMH786042:LMH786268 LWD786042:LWD786268 MFZ786042:MFZ786268 MPV786042:MPV786268 MZR786042:MZR786268 NJN786042:NJN786268 NTJ786042:NTJ786268 ODF786042:ODF786268 ONB786042:ONB786268 OWX786042:OWX786268 PGT786042:PGT786268 PQP786042:PQP786268 QAL786042:QAL786268 QKH786042:QKH786268 QUD786042:QUD786268 RDZ786042:RDZ786268 RNV786042:RNV786268 RXR786042:RXR786268 SHN786042:SHN786268 SRJ786042:SRJ786268 TBF786042:TBF786268 TLB786042:TLB786268 TUX786042:TUX786268 UET786042:UET786268 UOP786042:UOP786268 UYL786042:UYL786268 VIH786042:VIH786268 VSD786042:VSD786268 WBZ786042:WBZ786268 WLV786042:WLV786268 WVR786042:WVR786268 J851578:J851804 JF851578:JF851804 TB851578:TB851804 ACX851578:ACX851804 AMT851578:AMT851804 AWP851578:AWP851804 BGL851578:BGL851804 BQH851578:BQH851804 CAD851578:CAD851804 CJZ851578:CJZ851804 CTV851578:CTV851804 DDR851578:DDR851804 DNN851578:DNN851804 DXJ851578:DXJ851804 EHF851578:EHF851804 ERB851578:ERB851804 FAX851578:FAX851804 FKT851578:FKT851804 FUP851578:FUP851804 GEL851578:GEL851804 GOH851578:GOH851804 GYD851578:GYD851804 HHZ851578:HHZ851804 HRV851578:HRV851804 IBR851578:IBR851804 ILN851578:ILN851804 IVJ851578:IVJ851804 JFF851578:JFF851804 JPB851578:JPB851804 JYX851578:JYX851804 KIT851578:KIT851804 KSP851578:KSP851804 LCL851578:LCL851804 LMH851578:LMH851804 LWD851578:LWD851804 MFZ851578:MFZ851804 MPV851578:MPV851804 MZR851578:MZR851804 NJN851578:NJN851804 NTJ851578:NTJ851804 ODF851578:ODF851804 ONB851578:ONB851804 OWX851578:OWX851804 PGT851578:PGT851804 PQP851578:PQP851804 QAL851578:QAL851804 QKH851578:QKH851804 QUD851578:QUD851804 RDZ851578:RDZ851804 RNV851578:RNV851804 RXR851578:RXR851804 SHN851578:SHN851804 SRJ851578:SRJ851804 TBF851578:TBF851804 TLB851578:TLB851804 TUX851578:TUX851804 UET851578:UET851804 UOP851578:UOP851804 UYL851578:UYL851804 VIH851578:VIH851804 VSD851578:VSD851804 WBZ851578:WBZ851804 WLV851578:WLV851804 WVR851578:WVR851804 J917114:J917340 JF917114:JF917340 TB917114:TB917340 ACX917114:ACX917340 AMT917114:AMT917340 AWP917114:AWP917340 BGL917114:BGL917340 BQH917114:BQH917340 CAD917114:CAD917340 CJZ917114:CJZ917340 CTV917114:CTV917340 DDR917114:DDR917340 DNN917114:DNN917340 DXJ917114:DXJ917340 EHF917114:EHF917340 ERB917114:ERB917340 FAX917114:FAX917340 FKT917114:FKT917340 FUP917114:FUP917340 GEL917114:GEL917340 GOH917114:GOH917340 GYD917114:GYD917340 HHZ917114:HHZ917340 HRV917114:HRV917340 IBR917114:IBR917340 ILN917114:ILN917340 IVJ917114:IVJ917340 JFF917114:JFF917340 JPB917114:JPB917340 JYX917114:JYX917340 KIT917114:KIT917340 KSP917114:KSP917340 LCL917114:LCL917340 LMH917114:LMH917340 LWD917114:LWD917340 MFZ917114:MFZ917340 MPV917114:MPV917340 MZR917114:MZR917340 NJN917114:NJN917340 NTJ917114:NTJ917340 ODF917114:ODF917340 ONB917114:ONB917340 OWX917114:OWX917340 PGT917114:PGT917340 PQP917114:PQP917340 QAL917114:QAL917340 QKH917114:QKH917340 QUD917114:QUD917340 RDZ917114:RDZ917340 RNV917114:RNV917340 RXR917114:RXR917340 SHN917114:SHN917340 SRJ917114:SRJ917340 TBF917114:TBF917340 TLB917114:TLB917340 TUX917114:TUX917340 UET917114:UET917340 UOP917114:UOP917340 UYL917114:UYL917340 VIH917114:VIH917340 VSD917114:VSD917340 WBZ917114:WBZ917340 WLV917114:WLV917340 WVR917114:WVR917340 J3:J229 JF3:JF229 TB3:TB229 ACX3:ACX229 AMT3:AMT229 AWP3:AWP229 BGL3:BGL229 BQH3:BQH229 CAD3:CAD229 CJZ3:CJZ229 CTV3:CTV229 DDR3:DDR229 DNN3:DNN229 DXJ3:DXJ229 EHF3:EHF229 ERB3:ERB229 FAX3:FAX229 FKT3:FKT229 FUP3:FUP229 GEL3:GEL229 GOH3:GOH229 GYD3:GYD229 HHZ3:HHZ229 HRV3:HRV229 IBR3:IBR229 ILN3:ILN229 IVJ3:IVJ229 JFF3:JFF229 JPB3:JPB229 JYX3:JYX229 KIT3:KIT229 KSP3:KSP229 LCL3:LCL229 LMH3:LMH229 LWD3:LWD229 MFZ3:MFZ229 MPV3:MPV229 MZR3:MZR229 NJN3:NJN229 NTJ3:NTJ229 ODF3:ODF229 ONB3:ONB229 OWX3:OWX229 PGT3:PGT229 PQP3:PQP229 QAL3:QAL229 QKH3:QKH229 QUD3:QUD229 RDZ3:RDZ229 RNV3:RNV229 RXR3:RXR229 SHN3:SHN229 SRJ3:SRJ229 TBF3:TBF229 TLB3:TLB229 TUX3:TUX229 UET3:UET229 UOP3:UOP229 UYL3:UYL229 VIH3:VIH229 VSD3:VSD229 WBZ3:WBZ229 WLV3:WLV229 WVR3:WVR229" xr:uid="{00000000-0002-0000-0900-00000A000000}"/>
    <dataValidation allowBlank="1" showInputMessage="1" showErrorMessage="1" promptTitle="Product Description" prompt="Enter your product description.  While not always required, it's generally considered best practice to include on all items." sqref="I982650:I982651 JE982650:JE982651 TA982650:TA982651 ACW982650:ACW982651 AMS982650:AMS982651 AWO982650:AWO982651 BGK982650:BGK982651 BQG982650:BQG982651 CAC982650:CAC982651 CJY982650:CJY982651 CTU982650:CTU982651 DDQ982650:DDQ982651 DNM982650:DNM982651 DXI982650:DXI982651 EHE982650:EHE982651 ERA982650:ERA982651 FAW982650:FAW982651 FKS982650:FKS982651 FUO982650:FUO982651 GEK982650:GEK982651 GOG982650:GOG982651 GYC982650:GYC982651 HHY982650:HHY982651 HRU982650:HRU982651 IBQ982650:IBQ982651 ILM982650:ILM982651 IVI982650:IVI982651 JFE982650:JFE982651 JPA982650:JPA982651 JYW982650:JYW982651 KIS982650:KIS982651 KSO982650:KSO982651 LCK982650:LCK982651 LMG982650:LMG982651 LWC982650:LWC982651 MFY982650:MFY982651 MPU982650:MPU982651 MZQ982650:MZQ982651 NJM982650:NJM982651 NTI982650:NTI982651 ODE982650:ODE982651 ONA982650:ONA982651 OWW982650:OWW982651 PGS982650:PGS982651 PQO982650:PQO982651 QAK982650:QAK982651 QKG982650:QKG982651 QUC982650:QUC982651 RDY982650:RDY982651 RNU982650:RNU982651 RXQ982650:RXQ982651 SHM982650:SHM982651 SRI982650:SRI982651 TBE982650:TBE982651 TLA982650:TLA982651 TUW982650:TUW982651 UES982650:UES982651 UOO982650:UOO982651 UYK982650:UYK982651 VIG982650:VIG982651 VSC982650:VSC982651 WBY982650:WBY982651 WLU982650:WLU982651 WVQ982650:WVQ982651 I65146:I65147 JE65146:JE65147 TA65146:TA65147 ACW65146:ACW65147 AMS65146:AMS65147 AWO65146:AWO65147 BGK65146:BGK65147 BQG65146:BQG65147 CAC65146:CAC65147 CJY65146:CJY65147 CTU65146:CTU65147 DDQ65146:DDQ65147 DNM65146:DNM65147 DXI65146:DXI65147 EHE65146:EHE65147 ERA65146:ERA65147 FAW65146:FAW65147 FKS65146:FKS65147 FUO65146:FUO65147 GEK65146:GEK65147 GOG65146:GOG65147 GYC65146:GYC65147 HHY65146:HHY65147 HRU65146:HRU65147 IBQ65146:IBQ65147 ILM65146:ILM65147 IVI65146:IVI65147 JFE65146:JFE65147 JPA65146:JPA65147 JYW65146:JYW65147 KIS65146:KIS65147 KSO65146:KSO65147 LCK65146:LCK65147 LMG65146:LMG65147 LWC65146:LWC65147 MFY65146:MFY65147 MPU65146:MPU65147 MZQ65146:MZQ65147 NJM65146:NJM65147 NTI65146:NTI65147 ODE65146:ODE65147 ONA65146:ONA65147 OWW65146:OWW65147 PGS65146:PGS65147 PQO65146:PQO65147 QAK65146:QAK65147 QKG65146:QKG65147 QUC65146:QUC65147 RDY65146:RDY65147 RNU65146:RNU65147 RXQ65146:RXQ65147 SHM65146:SHM65147 SRI65146:SRI65147 TBE65146:TBE65147 TLA65146:TLA65147 TUW65146:TUW65147 UES65146:UES65147 UOO65146:UOO65147 UYK65146:UYK65147 VIG65146:VIG65147 VSC65146:VSC65147 WBY65146:WBY65147 WLU65146:WLU65147 WVQ65146:WVQ65147 I130682:I130683 JE130682:JE130683 TA130682:TA130683 ACW130682:ACW130683 AMS130682:AMS130683 AWO130682:AWO130683 BGK130682:BGK130683 BQG130682:BQG130683 CAC130682:CAC130683 CJY130682:CJY130683 CTU130682:CTU130683 DDQ130682:DDQ130683 DNM130682:DNM130683 DXI130682:DXI130683 EHE130682:EHE130683 ERA130682:ERA130683 FAW130682:FAW130683 FKS130682:FKS130683 FUO130682:FUO130683 GEK130682:GEK130683 GOG130682:GOG130683 GYC130682:GYC130683 HHY130682:HHY130683 HRU130682:HRU130683 IBQ130682:IBQ130683 ILM130682:ILM130683 IVI130682:IVI130683 JFE130682:JFE130683 JPA130682:JPA130683 JYW130682:JYW130683 KIS130682:KIS130683 KSO130682:KSO130683 LCK130682:LCK130683 LMG130682:LMG130683 LWC130682:LWC130683 MFY130682:MFY130683 MPU130682:MPU130683 MZQ130682:MZQ130683 NJM130682:NJM130683 NTI130682:NTI130683 ODE130682:ODE130683 ONA130682:ONA130683 OWW130682:OWW130683 PGS130682:PGS130683 PQO130682:PQO130683 QAK130682:QAK130683 QKG130682:QKG130683 QUC130682:QUC130683 RDY130682:RDY130683 RNU130682:RNU130683 RXQ130682:RXQ130683 SHM130682:SHM130683 SRI130682:SRI130683 TBE130682:TBE130683 TLA130682:TLA130683 TUW130682:TUW130683 UES130682:UES130683 UOO130682:UOO130683 UYK130682:UYK130683 VIG130682:VIG130683 VSC130682:VSC130683 WBY130682:WBY130683 WLU130682:WLU130683 WVQ130682:WVQ130683 I196218:I196219 JE196218:JE196219 TA196218:TA196219 ACW196218:ACW196219 AMS196218:AMS196219 AWO196218:AWO196219 BGK196218:BGK196219 BQG196218:BQG196219 CAC196218:CAC196219 CJY196218:CJY196219 CTU196218:CTU196219 DDQ196218:DDQ196219 DNM196218:DNM196219 DXI196218:DXI196219 EHE196218:EHE196219 ERA196218:ERA196219 FAW196218:FAW196219 FKS196218:FKS196219 FUO196218:FUO196219 GEK196218:GEK196219 GOG196218:GOG196219 GYC196218:GYC196219 HHY196218:HHY196219 HRU196218:HRU196219 IBQ196218:IBQ196219 ILM196218:ILM196219 IVI196218:IVI196219 JFE196218:JFE196219 JPA196218:JPA196219 JYW196218:JYW196219 KIS196218:KIS196219 KSO196218:KSO196219 LCK196218:LCK196219 LMG196218:LMG196219 LWC196218:LWC196219 MFY196218:MFY196219 MPU196218:MPU196219 MZQ196218:MZQ196219 NJM196218:NJM196219 NTI196218:NTI196219 ODE196218:ODE196219 ONA196218:ONA196219 OWW196218:OWW196219 PGS196218:PGS196219 PQO196218:PQO196219 QAK196218:QAK196219 QKG196218:QKG196219 QUC196218:QUC196219 RDY196218:RDY196219 RNU196218:RNU196219 RXQ196218:RXQ196219 SHM196218:SHM196219 SRI196218:SRI196219 TBE196218:TBE196219 TLA196218:TLA196219 TUW196218:TUW196219 UES196218:UES196219 UOO196218:UOO196219 UYK196218:UYK196219 VIG196218:VIG196219 VSC196218:VSC196219 WBY196218:WBY196219 WLU196218:WLU196219 WVQ196218:WVQ196219 I261754:I261755 JE261754:JE261755 TA261754:TA261755 ACW261754:ACW261755 AMS261754:AMS261755 AWO261754:AWO261755 BGK261754:BGK261755 BQG261754:BQG261755 CAC261754:CAC261755 CJY261754:CJY261755 CTU261754:CTU261755 DDQ261754:DDQ261755 DNM261754:DNM261755 DXI261754:DXI261755 EHE261754:EHE261755 ERA261754:ERA261755 FAW261754:FAW261755 FKS261754:FKS261755 FUO261754:FUO261755 GEK261754:GEK261755 GOG261754:GOG261755 GYC261754:GYC261755 HHY261754:HHY261755 HRU261754:HRU261755 IBQ261754:IBQ261755 ILM261754:ILM261755 IVI261754:IVI261755 JFE261754:JFE261755 JPA261754:JPA261755 JYW261754:JYW261755 KIS261754:KIS261755 KSO261754:KSO261755 LCK261754:LCK261755 LMG261754:LMG261755 LWC261754:LWC261755 MFY261754:MFY261755 MPU261754:MPU261755 MZQ261754:MZQ261755 NJM261754:NJM261755 NTI261754:NTI261755 ODE261754:ODE261755 ONA261754:ONA261755 OWW261754:OWW261755 PGS261754:PGS261755 PQO261754:PQO261755 QAK261754:QAK261755 QKG261754:QKG261755 QUC261754:QUC261755 RDY261754:RDY261755 RNU261754:RNU261755 RXQ261754:RXQ261755 SHM261754:SHM261755 SRI261754:SRI261755 TBE261754:TBE261755 TLA261754:TLA261755 TUW261754:TUW261755 UES261754:UES261755 UOO261754:UOO261755 UYK261754:UYK261755 VIG261754:VIG261755 VSC261754:VSC261755 WBY261754:WBY261755 WLU261754:WLU261755 WVQ261754:WVQ261755 I327290:I327291 JE327290:JE327291 TA327290:TA327291 ACW327290:ACW327291 AMS327290:AMS327291 AWO327290:AWO327291 BGK327290:BGK327291 BQG327290:BQG327291 CAC327290:CAC327291 CJY327290:CJY327291 CTU327290:CTU327291 DDQ327290:DDQ327291 DNM327290:DNM327291 DXI327290:DXI327291 EHE327290:EHE327291 ERA327290:ERA327291 FAW327290:FAW327291 FKS327290:FKS327291 FUO327290:FUO327291 GEK327290:GEK327291 GOG327290:GOG327291 GYC327290:GYC327291 HHY327290:HHY327291 HRU327290:HRU327291 IBQ327290:IBQ327291 ILM327290:ILM327291 IVI327290:IVI327291 JFE327290:JFE327291 JPA327290:JPA327291 JYW327290:JYW327291 KIS327290:KIS327291 KSO327290:KSO327291 LCK327290:LCK327291 LMG327290:LMG327291 LWC327290:LWC327291 MFY327290:MFY327291 MPU327290:MPU327291 MZQ327290:MZQ327291 NJM327290:NJM327291 NTI327290:NTI327291 ODE327290:ODE327291 ONA327290:ONA327291 OWW327290:OWW327291 PGS327290:PGS327291 PQO327290:PQO327291 QAK327290:QAK327291 QKG327290:QKG327291 QUC327290:QUC327291 RDY327290:RDY327291 RNU327290:RNU327291 RXQ327290:RXQ327291 SHM327290:SHM327291 SRI327290:SRI327291 TBE327290:TBE327291 TLA327290:TLA327291 TUW327290:TUW327291 UES327290:UES327291 UOO327290:UOO327291 UYK327290:UYK327291 VIG327290:VIG327291 VSC327290:VSC327291 WBY327290:WBY327291 WLU327290:WLU327291 WVQ327290:WVQ327291 I392826:I392827 JE392826:JE392827 TA392826:TA392827 ACW392826:ACW392827 AMS392826:AMS392827 AWO392826:AWO392827 BGK392826:BGK392827 BQG392826:BQG392827 CAC392826:CAC392827 CJY392826:CJY392827 CTU392826:CTU392827 DDQ392826:DDQ392827 DNM392826:DNM392827 DXI392826:DXI392827 EHE392826:EHE392827 ERA392826:ERA392827 FAW392826:FAW392827 FKS392826:FKS392827 FUO392826:FUO392827 GEK392826:GEK392827 GOG392826:GOG392827 GYC392826:GYC392827 HHY392826:HHY392827 HRU392826:HRU392827 IBQ392826:IBQ392827 ILM392826:ILM392827 IVI392826:IVI392827 JFE392826:JFE392827 JPA392826:JPA392827 JYW392826:JYW392827 KIS392826:KIS392827 KSO392826:KSO392827 LCK392826:LCK392827 LMG392826:LMG392827 LWC392826:LWC392827 MFY392826:MFY392827 MPU392826:MPU392827 MZQ392826:MZQ392827 NJM392826:NJM392827 NTI392826:NTI392827 ODE392826:ODE392827 ONA392826:ONA392827 OWW392826:OWW392827 PGS392826:PGS392827 PQO392826:PQO392827 QAK392826:QAK392827 QKG392826:QKG392827 QUC392826:QUC392827 RDY392826:RDY392827 RNU392826:RNU392827 RXQ392826:RXQ392827 SHM392826:SHM392827 SRI392826:SRI392827 TBE392826:TBE392827 TLA392826:TLA392827 TUW392826:TUW392827 UES392826:UES392827 UOO392826:UOO392827 UYK392826:UYK392827 VIG392826:VIG392827 VSC392826:VSC392827 WBY392826:WBY392827 WLU392826:WLU392827 WVQ392826:WVQ392827 I458362:I458363 JE458362:JE458363 TA458362:TA458363 ACW458362:ACW458363 AMS458362:AMS458363 AWO458362:AWO458363 BGK458362:BGK458363 BQG458362:BQG458363 CAC458362:CAC458363 CJY458362:CJY458363 CTU458362:CTU458363 DDQ458362:DDQ458363 DNM458362:DNM458363 DXI458362:DXI458363 EHE458362:EHE458363 ERA458362:ERA458363 FAW458362:FAW458363 FKS458362:FKS458363 FUO458362:FUO458363 GEK458362:GEK458363 GOG458362:GOG458363 GYC458362:GYC458363 HHY458362:HHY458363 HRU458362:HRU458363 IBQ458362:IBQ458363 ILM458362:ILM458363 IVI458362:IVI458363 JFE458362:JFE458363 JPA458362:JPA458363 JYW458362:JYW458363 KIS458362:KIS458363 KSO458362:KSO458363 LCK458362:LCK458363 LMG458362:LMG458363 LWC458362:LWC458363 MFY458362:MFY458363 MPU458362:MPU458363 MZQ458362:MZQ458363 NJM458362:NJM458363 NTI458362:NTI458363 ODE458362:ODE458363 ONA458362:ONA458363 OWW458362:OWW458363 PGS458362:PGS458363 PQO458362:PQO458363 QAK458362:QAK458363 QKG458362:QKG458363 QUC458362:QUC458363 RDY458362:RDY458363 RNU458362:RNU458363 RXQ458362:RXQ458363 SHM458362:SHM458363 SRI458362:SRI458363 TBE458362:TBE458363 TLA458362:TLA458363 TUW458362:TUW458363 UES458362:UES458363 UOO458362:UOO458363 UYK458362:UYK458363 VIG458362:VIG458363 VSC458362:VSC458363 WBY458362:WBY458363 WLU458362:WLU458363 WVQ458362:WVQ458363 I523898:I523899 JE523898:JE523899 TA523898:TA523899 ACW523898:ACW523899 AMS523898:AMS523899 AWO523898:AWO523899 BGK523898:BGK523899 BQG523898:BQG523899 CAC523898:CAC523899 CJY523898:CJY523899 CTU523898:CTU523899 DDQ523898:DDQ523899 DNM523898:DNM523899 DXI523898:DXI523899 EHE523898:EHE523899 ERA523898:ERA523899 FAW523898:FAW523899 FKS523898:FKS523899 FUO523898:FUO523899 GEK523898:GEK523899 GOG523898:GOG523899 GYC523898:GYC523899 HHY523898:HHY523899 HRU523898:HRU523899 IBQ523898:IBQ523899 ILM523898:ILM523899 IVI523898:IVI523899 JFE523898:JFE523899 JPA523898:JPA523899 JYW523898:JYW523899 KIS523898:KIS523899 KSO523898:KSO523899 LCK523898:LCK523899 LMG523898:LMG523899 LWC523898:LWC523899 MFY523898:MFY523899 MPU523898:MPU523899 MZQ523898:MZQ523899 NJM523898:NJM523899 NTI523898:NTI523899 ODE523898:ODE523899 ONA523898:ONA523899 OWW523898:OWW523899 PGS523898:PGS523899 PQO523898:PQO523899 QAK523898:QAK523899 QKG523898:QKG523899 QUC523898:QUC523899 RDY523898:RDY523899 RNU523898:RNU523899 RXQ523898:RXQ523899 SHM523898:SHM523899 SRI523898:SRI523899 TBE523898:TBE523899 TLA523898:TLA523899 TUW523898:TUW523899 UES523898:UES523899 UOO523898:UOO523899 UYK523898:UYK523899 VIG523898:VIG523899 VSC523898:VSC523899 WBY523898:WBY523899 WLU523898:WLU523899 WVQ523898:WVQ523899 I589434:I589435 JE589434:JE589435 TA589434:TA589435 ACW589434:ACW589435 AMS589434:AMS589435 AWO589434:AWO589435 BGK589434:BGK589435 BQG589434:BQG589435 CAC589434:CAC589435 CJY589434:CJY589435 CTU589434:CTU589435 DDQ589434:DDQ589435 DNM589434:DNM589435 DXI589434:DXI589435 EHE589434:EHE589435 ERA589434:ERA589435 FAW589434:FAW589435 FKS589434:FKS589435 FUO589434:FUO589435 GEK589434:GEK589435 GOG589434:GOG589435 GYC589434:GYC589435 HHY589434:HHY589435 HRU589434:HRU589435 IBQ589434:IBQ589435 ILM589434:ILM589435 IVI589434:IVI589435 JFE589434:JFE589435 JPA589434:JPA589435 JYW589434:JYW589435 KIS589434:KIS589435 KSO589434:KSO589435 LCK589434:LCK589435 LMG589434:LMG589435 LWC589434:LWC589435 MFY589434:MFY589435 MPU589434:MPU589435 MZQ589434:MZQ589435 NJM589434:NJM589435 NTI589434:NTI589435 ODE589434:ODE589435 ONA589434:ONA589435 OWW589434:OWW589435 PGS589434:PGS589435 PQO589434:PQO589435 QAK589434:QAK589435 QKG589434:QKG589435 QUC589434:QUC589435 RDY589434:RDY589435 RNU589434:RNU589435 RXQ589434:RXQ589435 SHM589434:SHM589435 SRI589434:SRI589435 TBE589434:TBE589435 TLA589434:TLA589435 TUW589434:TUW589435 UES589434:UES589435 UOO589434:UOO589435 UYK589434:UYK589435 VIG589434:VIG589435 VSC589434:VSC589435 WBY589434:WBY589435 WLU589434:WLU589435 WVQ589434:WVQ589435 I654970:I654971 JE654970:JE654971 TA654970:TA654971 ACW654970:ACW654971 AMS654970:AMS654971 AWO654970:AWO654971 BGK654970:BGK654971 BQG654970:BQG654971 CAC654970:CAC654971 CJY654970:CJY654971 CTU654970:CTU654971 DDQ654970:DDQ654971 DNM654970:DNM654971 DXI654970:DXI654971 EHE654970:EHE654971 ERA654970:ERA654971 FAW654970:FAW654971 FKS654970:FKS654971 FUO654970:FUO654971 GEK654970:GEK654971 GOG654970:GOG654971 GYC654970:GYC654971 HHY654970:HHY654971 HRU654970:HRU654971 IBQ654970:IBQ654971 ILM654970:ILM654971 IVI654970:IVI654971 JFE654970:JFE654971 JPA654970:JPA654971 JYW654970:JYW654971 KIS654970:KIS654971 KSO654970:KSO654971 LCK654970:LCK654971 LMG654970:LMG654971 LWC654970:LWC654971 MFY654970:MFY654971 MPU654970:MPU654971 MZQ654970:MZQ654971 NJM654970:NJM654971 NTI654970:NTI654971 ODE654970:ODE654971 ONA654970:ONA654971 OWW654970:OWW654971 PGS654970:PGS654971 PQO654970:PQO654971 QAK654970:QAK654971 QKG654970:QKG654971 QUC654970:QUC654971 RDY654970:RDY654971 RNU654970:RNU654971 RXQ654970:RXQ654971 SHM654970:SHM654971 SRI654970:SRI654971 TBE654970:TBE654971 TLA654970:TLA654971 TUW654970:TUW654971 UES654970:UES654971 UOO654970:UOO654971 UYK654970:UYK654971 VIG654970:VIG654971 VSC654970:VSC654971 WBY654970:WBY654971 WLU654970:WLU654971 WVQ654970:WVQ654971 I720506:I720507 JE720506:JE720507 TA720506:TA720507 ACW720506:ACW720507 AMS720506:AMS720507 AWO720506:AWO720507 BGK720506:BGK720507 BQG720506:BQG720507 CAC720506:CAC720507 CJY720506:CJY720507 CTU720506:CTU720507 DDQ720506:DDQ720507 DNM720506:DNM720507 DXI720506:DXI720507 EHE720506:EHE720507 ERA720506:ERA720507 FAW720506:FAW720507 FKS720506:FKS720507 FUO720506:FUO720507 GEK720506:GEK720507 GOG720506:GOG720507 GYC720506:GYC720507 HHY720506:HHY720507 HRU720506:HRU720507 IBQ720506:IBQ720507 ILM720506:ILM720507 IVI720506:IVI720507 JFE720506:JFE720507 JPA720506:JPA720507 JYW720506:JYW720507 KIS720506:KIS720507 KSO720506:KSO720507 LCK720506:LCK720507 LMG720506:LMG720507 LWC720506:LWC720507 MFY720506:MFY720507 MPU720506:MPU720507 MZQ720506:MZQ720507 NJM720506:NJM720507 NTI720506:NTI720507 ODE720506:ODE720507 ONA720506:ONA720507 OWW720506:OWW720507 PGS720506:PGS720507 PQO720506:PQO720507 QAK720506:QAK720507 QKG720506:QKG720507 QUC720506:QUC720507 RDY720506:RDY720507 RNU720506:RNU720507 RXQ720506:RXQ720507 SHM720506:SHM720507 SRI720506:SRI720507 TBE720506:TBE720507 TLA720506:TLA720507 TUW720506:TUW720507 UES720506:UES720507 UOO720506:UOO720507 UYK720506:UYK720507 VIG720506:VIG720507 VSC720506:VSC720507 WBY720506:WBY720507 WLU720506:WLU720507 WVQ720506:WVQ720507 I786042:I786043 JE786042:JE786043 TA786042:TA786043 ACW786042:ACW786043 AMS786042:AMS786043 AWO786042:AWO786043 BGK786042:BGK786043 BQG786042:BQG786043 CAC786042:CAC786043 CJY786042:CJY786043 CTU786042:CTU786043 DDQ786042:DDQ786043 DNM786042:DNM786043 DXI786042:DXI786043 EHE786042:EHE786043 ERA786042:ERA786043 FAW786042:FAW786043 FKS786042:FKS786043 FUO786042:FUO786043 GEK786042:GEK786043 GOG786042:GOG786043 GYC786042:GYC786043 HHY786042:HHY786043 HRU786042:HRU786043 IBQ786042:IBQ786043 ILM786042:ILM786043 IVI786042:IVI786043 JFE786042:JFE786043 JPA786042:JPA786043 JYW786042:JYW786043 KIS786042:KIS786043 KSO786042:KSO786043 LCK786042:LCK786043 LMG786042:LMG786043 LWC786042:LWC786043 MFY786042:MFY786043 MPU786042:MPU786043 MZQ786042:MZQ786043 NJM786042:NJM786043 NTI786042:NTI786043 ODE786042:ODE786043 ONA786042:ONA786043 OWW786042:OWW786043 PGS786042:PGS786043 PQO786042:PQO786043 QAK786042:QAK786043 QKG786042:QKG786043 QUC786042:QUC786043 RDY786042:RDY786043 RNU786042:RNU786043 RXQ786042:RXQ786043 SHM786042:SHM786043 SRI786042:SRI786043 TBE786042:TBE786043 TLA786042:TLA786043 TUW786042:TUW786043 UES786042:UES786043 UOO786042:UOO786043 UYK786042:UYK786043 VIG786042:VIG786043 VSC786042:VSC786043 WBY786042:WBY786043 WLU786042:WLU786043 WVQ786042:WVQ786043 I851578:I851579 JE851578:JE851579 TA851578:TA851579 ACW851578:ACW851579 AMS851578:AMS851579 AWO851578:AWO851579 BGK851578:BGK851579 BQG851578:BQG851579 CAC851578:CAC851579 CJY851578:CJY851579 CTU851578:CTU851579 DDQ851578:DDQ851579 DNM851578:DNM851579 DXI851578:DXI851579 EHE851578:EHE851579 ERA851578:ERA851579 FAW851578:FAW851579 FKS851578:FKS851579 FUO851578:FUO851579 GEK851578:GEK851579 GOG851578:GOG851579 GYC851578:GYC851579 HHY851578:HHY851579 HRU851578:HRU851579 IBQ851578:IBQ851579 ILM851578:ILM851579 IVI851578:IVI851579 JFE851578:JFE851579 JPA851578:JPA851579 JYW851578:JYW851579 KIS851578:KIS851579 KSO851578:KSO851579 LCK851578:LCK851579 LMG851578:LMG851579 LWC851578:LWC851579 MFY851578:MFY851579 MPU851578:MPU851579 MZQ851578:MZQ851579 NJM851578:NJM851579 NTI851578:NTI851579 ODE851578:ODE851579 ONA851578:ONA851579 OWW851578:OWW851579 PGS851578:PGS851579 PQO851578:PQO851579 QAK851578:QAK851579 QKG851578:QKG851579 QUC851578:QUC851579 RDY851578:RDY851579 RNU851578:RNU851579 RXQ851578:RXQ851579 SHM851578:SHM851579 SRI851578:SRI851579 TBE851578:TBE851579 TLA851578:TLA851579 TUW851578:TUW851579 UES851578:UES851579 UOO851578:UOO851579 UYK851578:UYK851579 VIG851578:VIG851579 VSC851578:VSC851579 WBY851578:WBY851579 WLU851578:WLU851579 WVQ851578:WVQ851579 I917114:I917115 JE917114:JE917115 TA917114:TA917115 ACW917114:ACW917115 AMS917114:AMS917115 AWO917114:AWO917115 BGK917114:BGK917115 BQG917114:BQG917115 CAC917114:CAC917115 CJY917114:CJY917115 CTU917114:CTU917115 DDQ917114:DDQ917115 DNM917114:DNM917115 DXI917114:DXI917115 EHE917114:EHE917115 ERA917114:ERA917115 FAW917114:FAW917115 FKS917114:FKS917115 FUO917114:FUO917115 GEK917114:GEK917115 GOG917114:GOG917115 GYC917114:GYC917115 HHY917114:HHY917115 HRU917114:HRU917115 IBQ917114:IBQ917115 ILM917114:ILM917115 IVI917114:IVI917115 JFE917114:JFE917115 JPA917114:JPA917115 JYW917114:JYW917115 KIS917114:KIS917115 KSO917114:KSO917115 LCK917114:LCK917115 LMG917114:LMG917115 LWC917114:LWC917115 MFY917114:MFY917115 MPU917114:MPU917115 MZQ917114:MZQ917115 NJM917114:NJM917115 NTI917114:NTI917115 ODE917114:ODE917115 ONA917114:ONA917115 OWW917114:OWW917115 PGS917114:PGS917115 PQO917114:PQO917115 QAK917114:QAK917115 QKG917114:QKG917115 QUC917114:QUC917115 RDY917114:RDY917115 RNU917114:RNU917115 RXQ917114:RXQ917115 SHM917114:SHM917115 SRI917114:SRI917115 TBE917114:TBE917115 TLA917114:TLA917115 TUW917114:TUW917115 UES917114:UES917115 UOO917114:UOO917115 UYK917114:UYK917115 VIG917114:VIG917115 VSC917114:VSC917115 WBY917114:WBY917115 WLU917114:WLU917115 WVQ917114:WVQ917115" xr:uid="{00000000-0002-0000-0900-00000B000000}"/>
    <dataValidation allowBlank="1" showInputMessage="1" showErrorMessage="1" promptTitle="Future Stock Date" prompt="Optionally input a date if you have stock arriving soon and wish to report it to your Retailer" sqref="F982650:F982651 JB982650:JB982651 SX982650:SX982651 ACT982650:ACT982651 AMP982650:AMP982651 AWL982650:AWL982651 BGH982650:BGH982651 BQD982650:BQD982651 BZZ982650:BZZ982651 CJV982650:CJV982651 CTR982650:CTR982651 DDN982650:DDN982651 DNJ982650:DNJ982651 DXF982650:DXF982651 EHB982650:EHB982651 EQX982650:EQX982651 FAT982650:FAT982651 FKP982650:FKP982651 FUL982650:FUL982651 GEH982650:GEH982651 GOD982650:GOD982651 GXZ982650:GXZ982651 HHV982650:HHV982651 HRR982650:HRR982651 IBN982650:IBN982651 ILJ982650:ILJ982651 IVF982650:IVF982651 JFB982650:JFB982651 JOX982650:JOX982651 JYT982650:JYT982651 KIP982650:KIP982651 KSL982650:KSL982651 LCH982650:LCH982651 LMD982650:LMD982651 LVZ982650:LVZ982651 MFV982650:MFV982651 MPR982650:MPR982651 MZN982650:MZN982651 NJJ982650:NJJ982651 NTF982650:NTF982651 ODB982650:ODB982651 OMX982650:OMX982651 OWT982650:OWT982651 PGP982650:PGP982651 PQL982650:PQL982651 QAH982650:QAH982651 QKD982650:QKD982651 QTZ982650:QTZ982651 RDV982650:RDV982651 RNR982650:RNR982651 RXN982650:RXN982651 SHJ982650:SHJ982651 SRF982650:SRF982651 TBB982650:TBB982651 TKX982650:TKX982651 TUT982650:TUT982651 UEP982650:UEP982651 UOL982650:UOL982651 UYH982650:UYH982651 VID982650:VID982651 VRZ982650:VRZ982651 WBV982650:WBV982651 WLR982650:WLR982651 WVN982650:WVN982651 F65146:F65147 JB65146:JB65147 SX65146:SX65147 ACT65146:ACT65147 AMP65146:AMP65147 AWL65146:AWL65147 BGH65146:BGH65147 BQD65146:BQD65147 BZZ65146:BZZ65147 CJV65146:CJV65147 CTR65146:CTR65147 DDN65146:DDN65147 DNJ65146:DNJ65147 DXF65146:DXF65147 EHB65146:EHB65147 EQX65146:EQX65147 FAT65146:FAT65147 FKP65146:FKP65147 FUL65146:FUL65147 GEH65146:GEH65147 GOD65146:GOD65147 GXZ65146:GXZ65147 HHV65146:HHV65147 HRR65146:HRR65147 IBN65146:IBN65147 ILJ65146:ILJ65147 IVF65146:IVF65147 JFB65146:JFB65147 JOX65146:JOX65147 JYT65146:JYT65147 KIP65146:KIP65147 KSL65146:KSL65147 LCH65146:LCH65147 LMD65146:LMD65147 LVZ65146:LVZ65147 MFV65146:MFV65147 MPR65146:MPR65147 MZN65146:MZN65147 NJJ65146:NJJ65147 NTF65146:NTF65147 ODB65146:ODB65147 OMX65146:OMX65147 OWT65146:OWT65147 PGP65146:PGP65147 PQL65146:PQL65147 QAH65146:QAH65147 QKD65146:QKD65147 QTZ65146:QTZ65147 RDV65146:RDV65147 RNR65146:RNR65147 RXN65146:RXN65147 SHJ65146:SHJ65147 SRF65146:SRF65147 TBB65146:TBB65147 TKX65146:TKX65147 TUT65146:TUT65147 UEP65146:UEP65147 UOL65146:UOL65147 UYH65146:UYH65147 VID65146:VID65147 VRZ65146:VRZ65147 WBV65146:WBV65147 WLR65146:WLR65147 WVN65146:WVN65147 F130682:F130683 JB130682:JB130683 SX130682:SX130683 ACT130682:ACT130683 AMP130682:AMP130683 AWL130682:AWL130683 BGH130682:BGH130683 BQD130682:BQD130683 BZZ130682:BZZ130683 CJV130682:CJV130683 CTR130682:CTR130683 DDN130682:DDN130683 DNJ130682:DNJ130683 DXF130682:DXF130683 EHB130682:EHB130683 EQX130682:EQX130683 FAT130682:FAT130683 FKP130682:FKP130683 FUL130682:FUL130683 GEH130682:GEH130683 GOD130682:GOD130683 GXZ130682:GXZ130683 HHV130682:HHV130683 HRR130682:HRR130683 IBN130682:IBN130683 ILJ130682:ILJ130683 IVF130682:IVF130683 JFB130682:JFB130683 JOX130682:JOX130683 JYT130682:JYT130683 KIP130682:KIP130683 KSL130682:KSL130683 LCH130682:LCH130683 LMD130682:LMD130683 LVZ130682:LVZ130683 MFV130682:MFV130683 MPR130682:MPR130683 MZN130682:MZN130683 NJJ130682:NJJ130683 NTF130682:NTF130683 ODB130682:ODB130683 OMX130682:OMX130683 OWT130682:OWT130683 PGP130682:PGP130683 PQL130682:PQL130683 QAH130682:QAH130683 QKD130682:QKD130683 QTZ130682:QTZ130683 RDV130682:RDV130683 RNR130682:RNR130683 RXN130682:RXN130683 SHJ130682:SHJ130683 SRF130682:SRF130683 TBB130682:TBB130683 TKX130682:TKX130683 TUT130682:TUT130683 UEP130682:UEP130683 UOL130682:UOL130683 UYH130682:UYH130683 VID130682:VID130683 VRZ130682:VRZ130683 WBV130682:WBV130683 WLR130682:WLR130683 WVN130682:WVN130683 F196218:F196219 JB196218:JB196219 SX196218:SX196219 ACT196218:ACT196219 AMP196218:AMP196219 AWL196218:AWL196219 BGH196218:BGH196219 BQD196218:BQD196219 BZZ196218:BZZ196219 CJV196218:CJV196219 CTR196218:CTR196219 DDN196218:DDN196219 DNJ196218:DNJ196219 DXF196218:DXF196219 EHB196218:EHB196219 EQX196218:EQX196219 FAT196218:FAT196219 FKP196218:FKP196219 FUL196218:FUL196219 GEH196218:GEH196219 GOD196218:GOD196219 GXZ196218:GXZ196219 HHV196218:HHV196219 HRR196218:HRR196219 IBN196218:IBN196219 ILJ196218:ILJ196219 IVF196218:IVF196219 JFB196218:JFB196219 JOX196218:JOX196219 JYT196218:JYT196219 KIP196218:KIP196219 KSL196218:KSL196219 LCH196218:LCH196219 LMD196218:LMD196219 LVZ196218:LVZ196219 MFV196218:MFV196219 MPR196218:MPR196219 MZN196218:MZN196219 NJJ196218:NJJ196219 NTF196218:NTF196219 ODB196218:ODB196219 OMX196218:OMX196219 OWT196218:OWT196219 PGP196218:PGP196219 PQL196218:PQL196219 QAH196218:QAH196219 QKD196218:QKD196219 QTZ196218:QTZ196219 RDV196218:RDV196219 RNR196218:RNR196219 RXN196218:RXN196219 SHJ196218:SHJ196219 SRF196218:SRF196219 TBB196218:TBB196219 TKX196218:TKX196219 TUT196218:TUT196219 UEP196218:UEP196219 UOL196218:UOL196219 UYH196218:UYH196219 VID196218:VID196219 VRZ196218:VRZ196219 WBV196218:WBV196219 WLR196218:WLR196219 WVN196218:WVN196219 F261754:F261755 JB261754:JB261755 SX261754:SX261755 ACT261754:ACT261755 AMP261754:AMP261755 AWL261754:AWL261755 BGH261754:BGH261755 BQD261754:BQD261755 BZZ261754:BZZ261755 CJV261754:CJV261755 CTR261754:CTR261755 DDN261754:DDN261755 DNJ261754:DNJ261755 DXF261754:DXF261755 EHB261754:EHB261755 EQX261754:EQX261755 FAT261754:FAT261755 FKP261754:FKP261755 FUL261754:FUL261755 GEH261754:GEH261755 GOD261754:GOD261755 GXZ261754:GXZ261755 HHV261754:HHV261755 HRR261754:HRR261755 IBN261754:IBN261755 ILJ261754:ILJ261755 IVF261754:IVF261755 JFB261754:JFB261755 JOX261754:JOX261755 JYT261754:JYT261755 KIP261754:KIP261755 KSL261754:KSL261755 LCH261754:LCH261755 LMD261754:LMD261755 LVZ261754:LVZ261755 MFV261754:MFV261755 MPR261754:MPR261755 MZN261754:MZN261755 NJJ261754:NJJ261755 NTF261754:NTF261755 ODB261754:ODB261755 OMX261754:OMX261755 OWT261754:OWT261755 PGP261754:PGP261755 PQL261754:PQL261755 QAH261754:QAH261755 QKD261754:QKD261755 QTZ261754:QTZ261755 RDV261754:RDV261755 RNR261754:RNR261755 RXN261754:RXN261755 SHJ261754:SHJ261755 SRF261754:SRF261755 TBB261754:TBB261755 TKX261754:TKX261755 TUT261754:TUT261755 UEP261754:UEP261755 UOL261754:UOL261755 UYH261754:UYH261755 VID261754:VID261755 VRZ261754:VRZ261755 WBV261754:WBV261755 WLR261754:WLR261755 WVN261754:WVN261755 F327290:F327291 JB327290:JB327291 SX327290:SX327291 ACT327290:ACT327291 AMP327290:AMP327291 AWL327290:AWL327291 BGH327290:BGH327291 BQD327290:BQD327291 BZZ327290:BZZ327291 CJV327290:CJV327291 CTR327290:CTR327291 DDN327290:DDN327291 DNJ327290:DNJ327291 DXF327290:DXF327291 EHB327290:EHB327291 EQX327290:EQX327291 FAT327290:FAT327291 FKP327290:FKP327291 FUL327290:FUL327291 GEH327290:GEH327291 GOD327290:GOD327291 GXZ327290:GXZ327291 HHV327290:HHV327291 HRR327290:HRR327291 IBN327290:IBN327291 ILJ327290:ILJ327291 IVF327290:IVF327291 JFB327290:JFB327291 JOX327290:JOX327291 JYT327290:JYT327291 KIP327290:KIP327291 KSL327290:KSL327291 LCH327290:LCH327291 LMD327290:LMD327291 LVZ327290:LVZ327291 MFV327290:MFV327291 MPR327290:MPR327291 MZN327290:MZN327291 NJJ327290:NJJ327291 NTF327290:NTF327291 ODB327290:ODB327291 OMX327290:OMX327291 OWT327290:OWT327291 PGP327290:PGP327291 PQL327290:PQL327291 QAH327290:QAH327291 QKD327290:QKD327291 QTZ327290:QTZ327291 RDV327290:RDV327291 RNR327290:RNR327291 RXN327290:RXN327291 SHJ327290:SHJ327291 SRF327290:SRF327291 TBB327290:TBB327291 TKX327290:TKX327291 TUT327290:TUT327291 UEP327290:UEP327291 UOL327290:UOL327291 UYH327290:UYH327291 VID327290:VID327291 VRZ327290:VRZ327291 WBV327290:WBV327291 WLR327290:WLR327291 WVN327290:WVN327291 F392826:F392827 JB392826:JB392827 SX392826:SX392827 ACT392826:ACT392827 AMP392826:AMP392827 AWL392826:AWL392827 BGH392826:BGH392827 BQD392826:BQD392827 BZZ392826:BZZ392827 CJV392826:CJV392827 CTR392826:CTR392827 DDN392826:DDN392827 DNJ392826:DNJ392827 DXF392826:DXF392827 EHB392826:EHB392827 EQX392826:EQX392827 FAT392826:FAT392827 FKP392826:FKP392827 FUL392826:FUL392827 GEH392826:GEH392827 GOD392826:GOD392827 GXZ392826:GXZ392827 HHV392826:HHV392827 HRR392826:HRR392827 IBN392826:IBN392827 ILJ392826:ILJ392827 IVF392826:IVF392827 JFB392826:JFB392827 JOX392826:JOX392827 JYT392826:JYT392827 KIP392826:KIP392827 KSL392826:KSL392827 LCH392826:LCH392827 LMD392826:LMD392827 LVZ392826:LVZ392827 MFV392826:MFV392827 MPR392826:MPR392827 MZN392826:MZN392827 NJJ392826:NJJ392827 NTF392826:NTF392827 ODB392826:ODB392827 OMX392826:OMX392827 OWT392826:OWT392827 PGP392826:PGP392827 PQL392826:PQL392827 QAH392826:QAH392827 QKD392826:QKD392827 QTZ392826:QTZ392827 RDV392826:RDV392827 RNR392826:RNR392827 RXN392826:RXN392827 SHJ392826:SHJ392827 SRF392826:SRF392827 TBB392826:TBB392827 TKX392826:TKX392827 TUT392826:TUT392827 UEP392826:UEP392827 UOL392826:UOL392827 UYH392826:UYH392827 VID392826:VID392827 VRZ392826:VRZ392827 WBV392826:WBV392827 WLR392826:WLR392827 WVN392826:WVN392827 F458362:F458363 JB458362:JB458363 SX458362:SX458363 ACT458362:ACT458363 AMP458362:AMP458363 AWL458362:AWL458363 BGH458362:BGH458363 BQD458362:BQD458363 BZZ458362:BZZ458363 CJV458362:CJV458363 CTR458362:CTR458363 DDN458362:DDN458363 DNJ458362:DNJ458363 DXF458362:DXF458363 EHB458362:EHB458363 EQX458362:EQX458363 FAT458362:FAT458363 FKP458362:FKP458363 FUL458362:FUL458363 GEH458362:GEH458363 GOD458362:GOD458363 GXZ458362:GXZ458363 HHV458362:HHV458363 HRR458362:HRR458363 IBN458362:IBN458363 ILJ458362:ILJ458363 IVF458362:IVF458363 JFB458362:JFB458363 JOX458362:JOX458363 JYT458362:JYT458363 KIP458362:KIP458363 KSL458362:KSL458363 LCH458362:LCH458363 LMD458362:LMD458363 LVZ458362:LVZ458363 MFV458362:MFV458363 MPR458362:MPR458363 MZN458362:MZN458363 NJJ458362:NJJ458363 NTF458362:NTF458363 ODB458362:ODB458363 OMX458362:OMX458363 OWT458362:OWT458363 PGP458362:PGP458363 PQL458362:PQL458363 QAH458362:QAH458363 QKD458362:QKD458363 QTZ458362:QTZ458363 RDV458362:RDV458363 RNR458362:RNR458363 RXN458362:RXN458363 SHJ458362:SHJ458363 SRF458362:SRF458363 TBB458362:TBB458363 TKX458362:TKX458363 TUT458362:TUT458363 UEP458362:UEP458363 UOL458362:UOL458363 UYH458362:UYH458363 VID458362:VID458363 VRZ458362:VRZ458363 WBV458362:WBV458363 WLR458362:WLR458363 WVN458362:WVN458363 F523898:F523899 JB523898:JB523899 SX523898:SX523899 ACT523898:ACT523899 AMP523898:AMP523899 AWL523898:AWL523899 BGH523898:BGH523899 BQD523898:BQD523899 BZZ523898:BZZ523899 CJV523898:CJV523899 CTR523898:CTR523899 DDN523898:DDN523899 DNJ523898:DNJ523899 DXF523898:DXF523899 EHB523898:EHB523899 EQX523898:EQX523899 FAT523898:FAT523899 FKP523898:FKP523899 FUL523898:FUL523899 GEH523898:GEH523899 GOD523898:GOD523899 GXZ523898:GXZ523899 HHV523898:HHV523899 HRR523898:HRR523899 IBN523898:IBN523899 ILJ523898:ILJ523899 IVF523898:IVF523899 JFB523898:JFB523899 JOX523898:JOX523899 JYT523898:JYT523899 KIP523898:KIP523899 KSL523898:KSL523899 LCH523898:LCH523899 LMD523898:LMD523899 LVZ523898:LVZ523899 MFV523898:MFV523899 MPR523898:MPR523899 MZN523898:MZN523899 NJJ523898:NJJ523899 NTF523898:NTF523899 ODB523898:ODB523899 OMX523898:OMX523899 OWT523898:OWT523899 PGP523898:PGP523899 PQL523898:PQL523899 QAH523898:QAH523899 QKD523898:QKD523899 QTZ523898:QTZ523899 RDV523898:RDV523899 RNR523898:RNR523899 RXN523898:RXN523899 SHJ523898:SHJ523899 SRF523898:SRF523899 TBB523898:TBB523899 TKX523898:TKX523899 TUT523898:TUT523899 UEP523898:UEP523899 UOL523898:UOL523899 UYH523898:UYH523899 VID523898:VID523899 VRZ523898:VRZ523899 WBV523898:WBV523899 WLR523898:WLR523899 WVN523898:WVN523899 F589434:F589435 JB589434:JB589435 SX589434:SX589435 ACT589434:ACT589435 AMP589434:AMP589435 AWL589434:AWL589435 BGH589434:BGH589435 BQD589434:BQD589435 BZZ589434:BZZ589435 CJV589434:CJV589435 CTR589434:CTR589435 DDN589434:DDN589435 DNJ589434:DNJ589435 DXF589434:DXF589435 EHB589434:EHB589435 EQX589434:EQX589435 FAT589434:FAT589435 FKP589434:FKP589435 FUL589434:FUL589435 GEH589434:GEH589435 GOD589434:GOD589435 GXZ589434:GXZ589435 HHV589434:HHV589435 HRR589434:HRR589435 IBN589434:IBN589435 ILJ589434:ILJ589435 IVF589434:IVF589435 JFB589434:JFB589435 JOX589434:JOX589435 JYT589434:JYT589435 KIP589434:KIP589435 KSL589434:KSL589435 LCH589434:LCH589435 LMD589434:LMD589435 LVZ589434:LVZ589435 MFV589434:MFV589435 MPR589434:MPR589435 MZN589434:MZN589435 NJJ589434:NJJ589435 NTF589434:NTF589435 ODB589434:ODB589435 OMX589434:OMX589435 OWT589434:OWT589435 PGP589434:PGP589435 PQL589434:PQL589435 QAH589434:QAH589435 QKD589434:QKD589435 QTZ589434:QTZ589435 RDV589434:RDV589435 RNR589434:RNR589435 RXN589434:RXN589435 SHJ589434:SHJ589435 SRF589434:SRF589435 TBB589434:TBB589435 TKX589434:TKX589435 TUT589434:TUT589435 UEP589434:UEP589435 UOL589434:UOL589435 UYH589434:UYH589435 VID589434:VID589435 VRZ589434:VRZ589435 WBV589434:WBV589435 WLR589434:WLR589435 WVN589434:WVN589435 F654970:F654971 JB654970:JB654971 SX654970:SX654971 ACT654970:ACT654971 AMP654970:AMP654971 AWL654970:AWL654971 BGH654970:BGH654971 BQD654970:BQD654971 BZZ654970:BZZ654971 CJV654970:CJV654971 CTR654970:CTR654971 DDN654970:DDN654971 DNJ654970:DNJ654971 DXF654970:DXF654971 EHB654970:EHB654971 EQX654970:EQX654971 FAT654970:FAT654971 FKP654970:FKP654971 FUL654970:FUL654971 GEH654970:GEH654971 GOD654970:GOD654971 GXZ654970:GXZ654971 HHV654970:HHV654971 HRR654970:HRR654971 IBN654970:IBN654971 ILJ654970:ILJ654971 IVF654970:IVF654971 JFB654970:JFB654971 JOX654970:JOX654971 JYT654970:JYT654971 KIP654970:KIP654971 KSL654970:KSL654971 LCH654970:LCH654971 LMD654970:LMD654971 LVZ654970:LVZ654971 MFV654970:MFV654971 MPR654970:MPR654971 MZN654970:MZN654971 NJJ654970:NJJ654971 NTF654970:NTF654971 ODB654970:ODB654971 OMX654970:OMX654971 OWT654970:OWT654971 PGP654970:PGP654971 PQL654970:PQL654971 QAH654970:QAH654971 QKD654970:QKD654971 QTZ654970:QTZ654971 RDV654970:RDV654971 RNR654970:RNR654971 RXN654970:RXN654971 SHJ654970:SHJ654971 SRF654970:SRF654971 TBB654970:TBB654971 TKX654970:TKX654971 TUT654970:TUT654971 UEP654970:UEP654971 UOL654970:UOL654971 UYH654970:UYH654971 VID654970:VID654971 VRZ654970:VRZ654971 WBV654970:WBV654971 WLR654970:WLR654971 WVN654970:WVN654971 F720506:F720507 JB720506:JB720507 SX720506:SX720507 ACT720506:ACT720507 AMP720506:AMP720507 AWL720506:AWL720507 BGH720506:BGH720507 BQD720506:BQD720507 BZZ720506:BZZ720507 CJV720506:CJV720507 CTR720506:CTR720507 DDN720506:DDN720507 DNJ720506:DNJ720507 DXF720506:DXF720507 EHB720506:EHB720507 EQX720506:EQX720507 FAT720506:FAT720507 FKP720506:FKP720507 FUL720506:FUL720507 GEH720506:GEH720507 GOD720506:GOD720507 GXZ720506:GXZ720507 HHV720506:HHV720507 HRR720506:HRR720507 IBN720506:IBN720507 ILJ720506:ILJ720507 IVF720506:IVF720507 JFB720506:JFB720507 JOX720506:JOX720507 JYT720506:JYT720507 KIP720506:KIP720507 KSL720506:KSL720507 LCH720506:LCH720507 LMD720506:LMD720507 LVZ720506:LVZ720507 MFV720506:MFV720507 MPR720506:MPR720507 MZN720506:MZN720507 NJJ720506:NJJ720507 NTF720506:NTF720507 ODB720506:ODB720507 OMX720506:OMX720507 OWT720506:OWT720507 PGP720506:PGP720507 PQL720506:PQL720507 QAH720506:QAH720507 QKD720506:QKD720507 QTZ720506:QTZ720507 RDV720506:RDV720507 RNR720506:RNR720507 RXN720506:RXN720507 SHJ720506:SHJ720507 SRF720506:SRF720507 TBB720506:TBB720507 TKX720506:TKX720507 TUT720506:TUT720507 UEP720506:UEP720507 UOL720506:UOL720507 UYH720506:UYH720507 VID720506:VID720507 VRZ720506:VRZ720507 WBV720506:WBV720507 WLR720506:WLR720507 WVN720506:WVN720507 F786042:F786043 JB786042:JB786043 SX786042:SX786043 ACT786042:ACT786043 AMP786042:AMP786043 AWL786042:AWL786043 BGH786042:BGH786043 BQD786042:BQD786043 BZZ786042:BZZ786043 CJV786042:CJV786043 CTR786042:CTR786043 DDN786042:DDN786043 DNJ786042:DNJ786043 DXF786042:DXF786043 EHB786042:EHB786043 EQX786042:EQX786043 FAT786042:FAT786043 FKP786042:FKP786043 FUL786042:FUL786043 GEH786042:GEH786043 GOD786042:GOD786043 GXZ786042:GXZ786043 HHV786042:HHV786043 HRR786042:HRR786043 IBN786042:IBN786043 ILJ786042:ILJ786043 IVF786042:IVF786043 JFB786042:JFB786043 JOX786042:JOX786043 JYT786042:JYT786043 KIP786042:KIP786043 KSL786042:KSL786043 LCH786042:LCH786043 LMD786042:LMD786043 LVZ786042:LVZ786043 MFV786042:MFV786043 MPR786042:MPR786043 MZN786042:MZN786043 NJJ786042:NJJ786043 NTF786042:NTF786043 ODB786042:ODB786043 OMX786042:OMX786043 OWT786042:OWT786043 PGP786042:PGP786043 PQL786042:PQL786043 QAH786042:QAH786043 QKD786042:QKD786043 QTZ786042:QTZ786043 RDV786042:RDV786043 RNR786042:RNR786043 RXN786042:RXN786043 SHJ786042:SHJ786043 SRF786042:SRF786043 TBB786042:TBB786043 TKX786042:TKX786043 TUT786042:TUT786043 UEP786042:UEP786043 UOL786042:UOL786043 UYH786042:UYH786043 VID786042:VID786043 VRZ786042:VRZ786043 WBV786042:WBV786043 WLR786042:WLR786043 WVN786042:WVN786043 F851578:F851579 JB851578:JB851579 SX851578:SX851579 ACT851578:ACT851579 AMP851578:AMP851579 AWL851578:AWL851579 BGH851578:BGH851579 BQD851578:BQD851579 BZZ851578:BZZ851579 CJV851578:CJV851579 CTR851578:CTR851579 DDN851578:DDN851579 DNJ851578:DNJ851579 DXF851578:DXF851579 EHB851578:EHB851579 EQX851578:EQX851579 FAT851578:FAT851579 FKP851578:FKP851579 FUL851578:FUL851579 GEH851578:GEH851579 GOD851578:GOD851579 GXZ851578:GXZ851579 HHV851578:HHV851579 HRR851578:HRR851579 IBN851578:IBN851579 ILJ851578:ILJ851579 IVF851578:IVF851579 JFB851578:JFB851579 JOX851578:JOX851579 JYT851578:JYT851579 KIP851578:KIP851579 KSL851578:KSL851579 LCH851578:LCH851579 LMD851578:LMD851579 LVZ851578:LVZ851579 MFV851578:MFV851579 MPR851578:MPR851579 MZN851578:MZN851579 NJJ851578:NJJ851579 NTF851578:NTF851579 ODB851578:ODB851579 OMX851578:OMX851579 OWT851578:OWT851579 PGP851578:PGP851579 PQL851578:PQL851579 QAH851578:QAH851579 QKD851578:QKD851579 QTZ851578:QTZ851579 RDV851578:RDV851579 RNR851578:RNR851579 RXN851578:RXN851579 SHJ851578:SHJ851579 SRF851578:SRF851579 TBB851578:TBB851579 TKX851578:TKX851579 TUT851578:TUT851579 UEP851578:UEP851579 UOL851578:UOL851579 UYH851578:UYH851579 VID851578:VID851579 VRZ851578:VRZ851579 WBV851578:WBV851579 WLR851578:WLR851579 WVN851578:WVN851579 F917114:F917115 JB917114:JB917115 SX917114:SX917115 ACT917114:ACT917115 AMP917114:AMP917115 AWL917114:AWL917115 BGH917114:BGH917115 BQD917114:BQD917115 BZZ917114:BZZ917115 CJV917114:CJV917115 CTR917114:CTR917115 DDN917114:DDN917115 DNJ917114:DNJ917115 DXF917114:DXF917115 EHB917114:EHB917115 EQX917114:EQX917115 FAT917114:FAT917115 FKP917114:FKP917115 FUL917114:FUL917115 GEH917114:GEH917115 GOD917114:GOD917115 GXZ917114:GXZ917115 HHV917114:HHV917115 HRR917114:HRR917115 IBN917114:IBN917115 ILJ917114:ILJ917115 IVF917114:IVF917115 JFB917114:JFB917115 JOX917114:JOX917115 JYT917114:JYT917115 KIP917114:KIP917115 KSL917114:KSL917115 LCH917114:LCH917115 LMD917114:LMD917115 LVZ917114:LVZ917115 MFV917114:MFV917115 MPR917114:MPR917115 MZN917114:MZN917115 NJJ917114:NJJ917115 NTF917114:NTF917115 ODB917114:ODB917115 OMX917114:OMX917115 OWT917114:OWT917115 PGP917114:PGP917115 PQL917114:PQL917115 QAH917114:QAH917115 QKD917114:QKD917115 QTZ917114:QTZ917115 RDV917114:RDV917115 RNR917114:RNR917115 RXN917114:RXN917115 SHJ917114:SHJ917115 SRF917114:SRF917115 TBB917114:TBB917115 TKX917114:TKX917115 TUT917114:TUT917115 UEP917114:UEP917115 UOL917114:UOL917115 UYH917114:UYH917115 VID917114:VID917115 VRZ917114:VRZ917115 WBV917114:WBV917115 WLR917114:WLR917115 WVN917114:WVN917115 F3:F4 JB3:JB4 SX3:SX4 ACT3:ACT4 AMP3:AMP4 AWL3:AWL4 BGH3:BGH4 BQD3:BQD4 BZZ3:BZZ4 CJV3:CJV4 CTR3:CTR4 DDN3:DDN4 DNJ3:DNJ4 DXF3:DXF4 EHB3:EHB4 EQX3:EQX4 FAT3:FAT4 FKP3:FKP4 FUL3:FUL4 GEH3:GEH4 GOD3:GOD4 GXZ3:GXZ4 HHV3:HHV4 HRR3:HRR4 IBN3:IBN4 ILJ3:ILJ4 IVF3:IVF4 JFB3:JFB4 JOX3:JOX4 JYT3:JYT4 KIP3:KIP4 KSL3:KSL4 LCH3:LCH4 LMD3:LMD4 LVZ3:LVZ4 MFV3:MFV4 MPR3:MPR4 MZN3:MZN4 NJJ3:NJJ4 NTF3:NTF4 ODB3:ODB4 OMX3:OMX4 OWT3:OWT4 PGP3:PGP4 PQL3:PQL4 QAH3:QAH4 QKD3:QKD4 QTZ3:QTZ4 RDV3:RDV4 RNR3:RNR4 RXN3:RXN4 SHJ3:SHJ4 SRF3:SRF4 TBB3:TBB4 TKX3:TKX4 TUT3:TUT4 UEP3:UEP4 UOL3:UOL4 UYH3:UYH4 VID3:VID4 VRZ3:VRZ4 WBV3:WBV4 WLR3:WLR4 WVN3:WVN4" xr:uid="{00000000-0002-0000-0900-00000C000000}"/>
    <dataValidation allowBlank="1" showInputMessage="1" showErrorMessage="1" promptTitle="Future Stock Quantity" prompt="Optionally input a Quantity of stock that you wish to report as arriving soon." sqref="E982650:E982651 JA982650:JA982651 SW982650:SW982651 ACS982650:ACS982651 AMO982650:AMO982651 AWK982650:AWK982651 BGG982650:BGG982651 BQC982650:BQC982651 BZY982650:BZY982651 CJU982650:CJU982651 CTQ982650:CTQ982651 DDM982650:DDM982651 DNI982650:DNI982651 DXE982650:DXE982651 EHA982650:EHA982651 EQW982650:EQW982651 FAS982650:FAS982651 FKO982650:FKO982651 FUK982650:FUK982651 GEG982650:GEG982651 GOC982650:GOC982651 GXY982650:GXY982651 HHU982650:HHU982651 HRQ982650:HRQ982651 IBM982650:IBM982651 ILI982650:ILI982651 IVE982650:IVE982651 JFA982650:JFA982651 JOW982650:JOW982651 JYS982650:JYS982651 KIO982650:KIO982651 KSK982650:KSK982651 LCG982650:LCG982651 LMC982650:LMC982651 LVY982650:LVY982651 MFU982650:MFU982651 MPQ982650:MPQ982651 MZM982650:MZM982651 NJI982650:NJI982651 NTE982650:NTE982651 ODA982650:ODA982651 OMW982650:OMW982651 OWS982650:OWS982651 PGO982650:PGO982651 PQK982650:PQK982651 QAG982650:QAG982651 QKC982650:QKC982651 QTY982650:QTY982651 RDU982650:RDU982651 RNQ982650:RNQ982651 RXM982650:RXM982651 SHI982650:SHI982651 SRE982650:SRE982651 TBA982650:TBA982651 TKW982650:TKW982651 TUS982650:TUS982651 UEO982650:UEO982651 UOK982650:UOK982651 UYG982650:UYG982651 VIC982650:VIC982651 VRY982650:VRY982651 WBU982650:WBU982651 WLQ982650:WLQ982651 WVM982650:WVM982651 E65146:E65147 JA65146:JA65147 SW65146:SW65147 ACS65146:ACS65147 AMO65146:AMO65147 AWK65146:AWK65147 BGG65146:BGG65147 BQC65146:BQC65147 BZY65146:BZY65147 CJU65146:CJU65147 CTQ65146:CTQ65147 DDM65146:DDM65147 DNI65146:DNI65147 DXE65146:DXE65147 EHA65146:EHA65147 EQW65146:EQW65147 FAS65146:FAS65147 FKO65146:FKO65147 FUK65146:FUK65147 GEG65146:GEG65147 GOC65146:GOC65147 GXY65146:GXY65147 HHU65146:HHU65147 HRQ65146:HRQ65147 IBM65146:IBM65147 ILI65146:ILI65147 IVE65146:IVE65147 JFA65146:JFA65147 JOW65146:JOW65147 JYS65146:JYS65147 KIO65146:KIO65147 KSK65146:KSK65147 LCG65146:LCG65147 LMC65146:LMC65147 LVY65146:LVY65147 MFU65146:MFU65147 MPQ65146:MPQ65147 MZM65146:MZM65147 NJI65146:NJI65147 NTE65146:NTE65147 ODA65146:ODA65147 OMW65146:OMW65147 OWS65146:OWS65147 PGO65146:PGO65147 PQK65146:PQK65147 QAG65146:QAG65147 QKC65146:QKC65147 QTY65146:QTY65147 RDU65146:RDU65147 RNQ65146:RNQ65147 RXM65146:RXM65147 SHI65146:SHI65147 SRE65146:SRE65147 TBA65146:TBA65147 TKW65146:TKW65147 TUS65146:TUS65147 UEO65146:UEO65147 UOK65146:UOK65147 UYG65146:UYG65147 VIC65146:VIC65147 VRY65146:VRY65147 WBU65146:WBU65147 WLQ65146:WLQ65147 WVM65146:WVM65147 E130682:E130683 JA130682:JA130683 SW130682:SW130683 ACS130682:ACS130683 AMO130682:AMO130683 AWK130682:AWK130683 BGG130682:BGG130683 BQC130682:BQC130683 BZY130682:BZY130683 CJU130682:CJU130683 CTQ130682:CTQ130683 DDM130682:DDM130683 DNI130682:DNI130683 DXE130682:DXE130683 EHA130682:EHA130683 EQW130682:EQW130683 FAS130682:FAS130683 FKO130682:FKO130683 FUK130682:FUK130683 GEG130682:GEG130683 GOC130682:GOC130683 GXY130682:GXY130683 HHU130682:HHU130683 HRQ130682:HRQ130683 IBM130682:IBM130683 ILI130682:ILI130683 IVE130682:IVE130683 JFA130682:JFA130683 JOW130682:JOW130683 JYS130682:JYS130683 KIO130682:KIO130683 KSK130682:KSK130683 LCG130682:LCG130683 LMC130682:LMC130683 LVY130682:LVY130683 MFU130682:MFU130683 MPQ130682:MPQ130683 MZM130682:MZM130683 NJI130682:NJI130683 NTE130682:NTE130683 ODA130682:ODA130683 OMW130682:OMW130683 OWS130682:OWS130683 PGO130682:PGO130683 PQK130682:PQK130683 QAG130682:QAG130683 QKC130682:QKC130683 QTY130682:QTY130683 RDU130682:RDU130683 RNQ130682:RNQ130683 RXM130682:RXM130683 SHI130682:SHI130683 SRE130682:SRE130683 TBA130682:TBA130683 TKW130682:TKW130683 TUS130682:TUS130683 UEO130682:UEO130683 UOK130682:UOK130683 UYG130682:UYG130683 VIC130682:VIC130683 VRY130682:VRY130683 WBU130682:WBU130683 WLQ130682:WLQ130683 WVM130682:WVM130683 E196218:E196219 JA196218:JA196219 SW196218:SW196219 ACS196218:ACS196219 AMO196218:AMO196219 AWK196218:AWK196219 BGG196218:BGG196219 BQC196218:BQC196219 BZY196218:BZY196219 CJU196218:CJU196219 CTQ196218:CTQ196219 DDM196218:DDM196219 DNI196218:DNI196219 DXE196218:DXE196219 EHA196218:EHA196219 EQW196218:EQW196219 FAS196218:FAS196219 FKO196218:FKO196219 FUK196218:FUK196219 GEG196218:GEG196219 GOC196218:GOC196219 GXY196218:GXY196219 HHU196218:HHU196219 HRQ196218:HRQ196219 IBM196218:IBM196219 ILI196218:ILI196219 IVE196218:IVE196219 JFA196218:JFA196219 JOW196218:JOW196219 JYS196218:JYS196219 KIO196218:KIO196219 KSK196218:KSK196219 LCG196218:LCG196219 LMC196218:LMC196219 LVY196218:LVY196219 MFU196218:MFU196219 MPQ196218:MPQ196219 MZM196218:MZM196219 NJI196218:NJI196219 NTE196218:NTE196219 ODA196218:ODA196219 OMW196218:OMW196219 OWS196218:OWS196219 PGO196218:PGO196219 PQK196218:PQK196219 QAG196218:QAG196219 QKC196218:QKC196219 QTY196218:QTY196219 RDU196218:RDU196219 RNQ196218:RNQ196219 RXM196218:RXM196219 SHI196218:SHI196219 SRE196218:SRE196219 TBA196218:TBA196219 TKW196218:TKW196219 TUS196218:TUS196219 UEO196218:UEO196219 UOK196218:UOK196219 UYG196218:UYG196219 VIC196218:VIC196219 VRY196218:VRY196219 WBU196218:WBU196219 WLQ196218:WLQ196219 WVM196218:WVM196219 E261754:E261755 JA261754:JA261755 SW261754:SW261755 ACS261754:ACS261755 AMO261754:AMO261755 AWK261754:AWK261755 BGG261754:BGG261755 BQC261754:BQC261755 BZY261754:BZY261755 CJU261754:CJU261755 CTQ261754:CTQ261755 DDM261754:DDM261755 DNI261754:DNI261755 DXE261754:DXE261755 EHA261754:EHA261755 EQW261754:EQW261755 FAS261754:FAS261755 FKO261754:FKO261755 FUK261754:FUK261755 GEG261754:GEG261755 GOC261754:GOC261755 GXY261754:GXY261755 HHU261754:HHU261755 HRQ261754:HRQ261755 IBM261754:IBM261755 ILI261754:ILI261755 IVE261754:IVE261755 JFA261754:JFA261755 JOW261754:JOW261755 JYS261754:JYS261755 KIO261754:KIO261755 KSK261754:KSK261755 LCG261754:LCG261755 LMC261754:LMC261755 LVY261754:LVY261755 MFU261754:MFU261755 MPQ261754:MPQ261755 MZM261754:MZM261755 NJI261754:NJI261755 NTE261754:NTE261755 ODA261754:ODA261755 OMW261754:OMW261755 OWS261754:OWS261755 PGO261754:PGO261755 PQK261754:PQK261755 QAG261754:QAG261755 QKC261754:QKC261755 QTY261754:QTY261755 RDU261754:RDU261755 RNQ261754:RNQ261755 RXM261754:RXM261755 SHI261754:SHI261755 SRE261754:SRE261755 TBA261754:TBA261755 TKW261754:TKW261755 TUS261754:TUS261755 UEO261754:UEO261755 UOK261754:UOK261755 UYG261754:UYG261755 VIC261754:VIC261755 VRY261754:VRY261755 WBU261754:WBU261755 WLQ261754:WLQ261755 WVM261754:WVM261755 E327290:E327291 JA327290:JA327291 SW327290:SW327291 ACS327290:ACS327291 AMO327290:AMO327291 AWK327290:AWK327291 BGG327290:BGG327291 BQC327290:BQC327291 BZY327290:BZY327291 CJU327290:CJU327291 CTQ327290:CTQ327291 DDM327290:DDM327291 DNI327290:DNI327291 DXE327290:DXE327291 EHA327290:EHA327291 EQW327290:EQW327291 FAS327290:FAS327291 FKO327290:FKO327291 FUK327290:FUK327291 GEG327290:GEG327291 GOC327290:GOC327291 GXY327290:GXY327291 HHU327290:HHU327291 HRQ327290:HRQ327291 IBM327290:IBM327291 ILI327290:ILI327291 IVE327290:IVE327291 JFA327290:JFA327291 JOW327290:JOW327291 JYS327290:JYS327291 KIO327290:KIO327291 KSK327290:KSK327291 LCG327290:LCG327291 LMC327290:LMC327291 LVY327290:LVY327291 MFU327290:MFU327291 MPQ327290:MPQ327291 MZM327290:MZM327291 NJI327290:NJI327291 NTE327290:NTE327291 ODA327290:ODA327291 OMW327290:OMW327291 OWS327290:OWS327291 PGO327290:PGO327291 PQK327290:PQK327291 QAG327290:QAG327291 QKC327290:QKC327291 QTY327290:QTY327291 RDU327290:RDU327291 RNQ327290:RNQ327291 RXM327290:RXM327291 SHI327290:SHI327291 SRE327290:SRE327291 TBA327290:TBA327291 TKW327290:TKW327291 TUS327290:TUS327291 UEO327290:UEO327291 UOK327290:UOK327291 UYG327290:UYG327291 VIC327290:VIC327291 VRY327290:VRY327291 WBU327290:WBU327291 WLQ327290:WLQ327291 WVM327290:WVM327291 E392826:E392827 JA392826:JA392827 SW392826:SW392827 ACS392826:ACS392827 AMO392826:AMO392827 AWK392826:AWK392827 BGG392826:BGG392827 BQC392826:BQC392827 BZY392826:BZY392827 CJU392826:CJU392827 CTQ392826:CTQ392827 DDM392826:DDM392827 DNI392826:DNI392827 DXE392826:DXE392827 EHA392826:EHA392827 EQW392826:EQW392827 FAS392826:FAS392827 FKO392826:FKO392827 FUK392826:FUK392827 GEG392826:GEG392827 GOC392826:GOC392827 GXY392826:GXY392827 HHU392826:HHU392827 HRQ392826:HRQ392827 IBM392826:IBM392827 ILI392826:ILI392827 IVE392826:IVE392827 JFA392826:JFA392827 JOW392826:JOW392827 JYS392826:JYS392827 KIO392826:KIO392827 KSK392826:KSK392827 LCG392826:LCG392827 LMC392826:LMC392827 LVY392826:LVY392827 MFU392826:MFU392827 MPQ392826:MPQ392827 MZM392826:MZM392827 NJI392826:NJI392827 NTE392826:NTE392827 ODA392826:ODA392827 OMW392826:OMW392827 OWS392826:OWS392827 PGO392826:PGO392827 PQK392826:PQK392827 QAG392826:QAG392827 QKC392826:QKC392827 QTY392826:QTY392827 RDU392826:RDU392827 RNQ392826:RNQ392827 RXM392826:RXM392827 SHI392826:SHI392827 SRE392826:SRE392827 TBA392826:TBA392827 TKW392826:TKW392827 TUS392826:TUS392827 UEO392826:UEO392827 UOK392826:UOK392827 UYG392826:UYG392827 VIC392826:VIC392827 VRY392826:VRY392827 WBU392826:WBU392827 WLQ392826:WLQ392827 WVM392826:WVM392827 E458362:E458363 JA458362:JA458363 SW458362:SW458363 ACS458362:ACS458363 AMO458362:AMO458363 AWK458362:AWK458363 BGG458362:BGG458363 BQC458362:BQC458363 BZY458362:BZY458363 CJU458362:CJU458363 CTQ458362:CTQ458363 DDM458362:DDM458363 DNI458362:DNI458363 DXE458362:DXE458363 EHA458362:EHA458363 EQW458362:EQW458363 FAS458362:FAS458363 FKO458362:FKO458363 FUK458362:FUK458363 GEG458362:GEG458363 GOC458362:GOC458363 GXY458362:GXY458363 HHU458362:HHU458363 HRQ458362:HRQ458363 IBM458362:IBM458363 ILI458362:ILI458363 IVE458362:IVE458363 JFA458362:JFA458363 JOW458362:JOW458363 JYS458362:JYS458363 KIO458362:KIO458363 KSK458362:KSK458363 LCG458362:LCG458363 LMC458362:LMC458363 LVY458362:LVY458363 MFU458362:MFU458363 MPQ458362:MPQ458363 MZM458362:MZM458363 NJI458362:NJI458363 NTE458362:NTE458363 ODA458362:ODA458363 OMW458362:OMW458363 OWS458362:OWS458363 PGO458362:PGO458363 PQK458362:PQK458363 QAG458362:QAG458363 QKC458362:QKC458363 QTY458362:QTY458363 RDU458362:RDU458363 RNQ458362:RNQ458363 RXM458362:RXM458363 SHI458362:SHI458363 SRE458362:SRE458363 TBA458362:TBA458363 TKW458362:TKW458363 TUS458362:TUS458363 UEO458362:UEO458363 UOK458362:UOK458363 UYG458362:UYG458363 VIC458362:VIC458363 VRY458362:VRY458363 WBU458362:WBU458363 WLQ458362:WLQ458363 WVM458362:WVM458363 E523898:E523899 JA523898:JA523899 SW523898:SW523899 ACS523898:ACS523899 AMO523898:AMO523899 AWK523898:AWK523899 BGG523898:BGG523899 BQC523898:BQC523899 BZY523898:BZY523899 CJU523898:CJU523899 CTQ523898:CTQ523899 DDM523898:DDM523899 DNI523898:DNI523899 DXE523898:DXE523899 EHA523898:EHA523899 EQW523898:EQW523899 FAS523898:FAS523899 FKO523898:FKO523899 FUK523898:FUK523899 GEG523898:GEG523899 GOC523898:GOC523899 GXY523898:GXY523899 HHU523898:HHU523899 HRQ523898:HRQ523899 IBM523898:IBM523899 ILI523898:ILI523899 IVE523898:IVE523899 JFA523898:JFA523899 JOW523898:JOW523899 JYS523898:JYS523899 KIO523898:KIO523899 KSK523898:KSK523899 LCG523898:LCG523899 LMC523898:LMC523899 LVY523898:LVY523899 MFU523898:MFU523899 MPQ523898:MPQ523899 MZM523898:MZM523899 NJI523898:NJI523899 NTE523898:NTE523899 ODA523898:ODA523899 OMW523898:OMW523899 OWS523898:OWS523899 PGO523898:PGO523899 PQK523898:PQK523899 QAG523898:QAG523899 QKC523898:QKC523899 QTY523898:QTY523899 RDU523898:RDU523899 RNQ523898:RNQ523899 RXM523898:RXM523899 SHI523898:SHI523899 SRE523898:SRE523899 TBA523898:TBA523899 TKW523898:TKW523899 TUS523898:TUS523899 UEO523898:UEO523899 UOK523898:UOK523899 UYG523898:UYG523899 VIC523898:VIC523899 VRY523898:VRY523899 WBU523898:WBU523899 WLQ523898:WLQ523899 WVM523898:WVM523899 E589434:E589435 JA589434:JA589435 SW589434:SW589435 ACS589434:ACS589435 AMO589434:AMO589435 AWK589434:AWK589435 BGG589434:BGG589435 BQC589434:BQC589435 BZY589434:BZY589435 CJU589434:CJU589435 CTQ589434:CTQ589435 DDM589434:DDM589435 DNI589434:DNI589435 DXE589434:DXE589435 EHA589434:EHA589435 EQW589434:EQW589435 FAS589434:FAS589435 FKO589434:FKO589435 FUK589434:FUK589435 GEG589434:GEG589435 GOC589434:GOC589435 GXY589434:GXY589435 HHU589434:HHU589435 HRQ589434:HRQ589435 IBM589434:IBM589435 ILI589434:ILI589435 IVE589434:IVE589435 JFA589434:JFA589435 JOW589434:JOW589435 JYS589434:JYS589435 KIO589434:KIO589435 KSK589434:KSK589435 LCG589434:LCG589435 LMC589434:LMC589435 LVY589434:LVY589435 MFU589434:MFU589435 MPQ589434:MPQ589435 MZM589434:MZM589435 NJI589434:NJI589435 NTE589434:NTE589435 ODA589434:ODA589435 OMW589434:OMW589435 OWS589434:OWS589435 PGO589434:PGO589435 PQK589434:PQK589435 QAG589434:QAG589435 QKC589434:QKC589435 QTY589434:QTY589435 RDU589434:RDU589435 RNQ589434:RNQ589435 RXM589434:RXM589435 SHI589434:SHI589435 SRE589434:SRE589435 TBA589434:TBA589435 TKW589434:TKW589435 TUS589434:TUS589435 UEO589434:UEO589435 UOK589434:UOK589435 UYG589434:UYG589435 VIC589434:VIC589435 VRY589434:VRY589435 WBU589434:WBU589435 WLQ589434:WLQ589435 WVM589434:WVM589435 E654970:E654971 JA654970:JA654971 SW654970:SW654971 ACS654970:ACS654971 AMO654970:AMO654971 AWK654970:AWK654971 BGG654970:BGG654971 BQC654970:BQC654971 BZY654970:BZY654971 CJU654970:CJU654971 CTQ654970:CTQ654971 DDM654970:DDM654971 DNI654970:DNI654971 DXE654970:DXE654971 EHA654970:EHA654971 EQW654970:EQW654971 FAS654970:FAS654971 FKO654970:FKO654971 FUK654970:FUK654971 GEG654970:GEG654971 GOC654970:GOC654971 GXY654970:GXY654971 HHU654970:HHU654971 HRQ654970:HRQ654971 IBM654970:IBM654971 ILI654970:ILI654971 IVE654970:IVE654971 JFA654970:JFA654971 JOW654970:JOW654971 JYS654970:JYS654971 KIO654970:KIO654971 KSK654970:KSK654971 LCG654970:LCG654971 LMC654970:LMC654971 LVY654970:LVY654971 MFU654970:MFU654971 MPQ654970:MPQ654971 MZM654970:MZM654971 NJI654970:NJI654971 NTE654970:NTE654971 ODA654970:ODA654971 OMW654970:OMW654971 OWS654970:OWS654971 PGO654970:PGO654971 PQK654970:PQK654971 QAG654970:QAG654971 QKC654970:QKC654971 QTY654970:QTY654971 RDU654970:RDU654971 RNQ654970:RNQ654971 RXM654970:RXM654971 SHI654970:SHI654971 SRE654970:SRE654971 TBA654970:TBA654971 TKW654970:TKW654971 TUS654970:TUS654971 UEO654970:UEO654971 UOK654970:UOK654971 UYG654970:UYG654971 VIC654970:VIC654971 VRY654970:VRY654971 WBU654970:WBU654971 WLQ654970:WLQ654971 WVM654970:WVM654971 E720506:E720507 JA720506:JA720507 SW720506:SW720507 ACS720506:ACS720507 AMO720506:AMO720507 AWK720506:AWK720507 BGG720506:BGG720507 BQC720506:BQC720507 BZY720506:BZY720507 CJU720506:CJU720507 CTQ720506:CTQ720507 DDM720506:DDM720507 DNI720506:DNI720507 DXE720506:DXE720507 EHA720506:EHA720507 EQW720506:EQW720507 FAS720506:FAS720507 FKO720506:FKO720507 FUK720506:FUK720507 GEG720506:GEG720507 GOC720506:GOC720507 GXY720506:GXY720507 HHU720506:HHU720507 HRQ720506:HRQ720507 IBM720506:IBM720507 ILI720506:ILI720507 IVE720506:IVE720507 JFA720506:JFA720507 JOW720506:JOW720507 JYS720506:JYS720507 KIO720506:KIO720507 KSK720506:KSK720507 LCG720506:LCG720507 LMC720506:LMC720507 LVY720506:LVY720507 MFU720506:MFU720507 MPQ720506:MPQ720507 MZM720506:MZM720507 NJI720506:NJI720507 NTE720506:NTE720507 ODA720506:ODA720507 OMW720506:OMW720507 OWS720506:OWS720507 PGO720506:PGO720507 PQK720506:PQK720507 QAG720506:QAG720507 QKC720506:QKC720507 QTY720506:QTY720507 RDU720506:RDU720507 RNQ720506:RNQ720507 RXM720506:RXM720507 SHI720506:SHI720507 SRE720506:SRE720507 TBA720506:TBA720507 TKW720506:TKW720507 TUS720506:TUS720507 UEO720506:UEO720507 UOK720506:UOK720507 UYG720506:UYG720507 VIC720506:VIC720507 VRY720506:VRY720507 WBU720506:WBU720507 WLQ720506:WLQ720507 WVM720506:WVM720507 E786042:E786043 JA786042:JA786043 SW786042:SW786043 ACS786042:ACS786043 AMO786042:AMO786043 AWK786042:AWK786043 BGG786042:BGG786043 BQC786042:BQC786043 BZY786042:BZY786043 CJU786042:CJU786043 CTQ786042:CTQ786043 DDM786042:DDM786043 DNI786042:DNI786043 DXE786042:DXE786043 EHA786042:EHA786043 EQW786042:EQW786043 FAS786042:FAS786043 FKO786042:FKO786043 FUK786042:FUK786043 GEG786042:GEG786043 GOC786042:GOC786043 GXY786042:GXY786043 HHU786042:HHU786043 HRQ786042:HRQ786043 IBM786042:IBM786043 ILI786042:ILI786043 IVE786042:IVE786043 JFA786042:JFA786043 JOW786042:JOW786043 JYS786042:JYS786043 KIO786042:KIO786043 KSK786042:KSK786043 LCG786042:LCG786043 LMC786042:LMC786043 LVY786042:LVY786043 MFU786042:MFU786043 MPQ786042:MPQ786043 MZM786042:MZM786043 NJI786042:NJI786043 NTE786042:NTE786043 ODA786042:ODA786043 OMW786042:OMW786043 OWS786042:OWS786043 PGO786042:PGO786043 PQK786042:PQK786043 QAG786042:QAG786043 QKC786042:QKC786043 QTY786042:QTY786043 RDU786042:RDU786043 RNQ786042:RNQ786043 RXM786042:RXM786043 SHI786042:SHI786043 SRE786042:SRE786043 TBA786042:TBA786043 TKW786042:TKW786043 TUS786042:TUS786043 UEO786042:UEO786043 UOK786042:UOK786043 UYG786042:UYG786043 VIC786042:VIC786043 VRY786042:VRY786043 WBU786042:WBU786043 WLQ786042:WLQ786043 WVM786042:WVM786043 E851578:E851579 JA851578:JA851579 SW851578:SW851579 ACS851578:ACS851579 AMO851578:AMO851579 AWK851578:AWK851579 BGG851578:BGG851579 BQC851578:BQC851579 BZY851578:BZY851579 CJU851578:CJU851579 CTQ851578:CTQ851579 DDM851578:DDM851579 DNI851578:DNI851579 DXE851578:DXE851579 EHA851578:EHA851579 EQW851578:EQW851579 FAS851578:FAS851579 FKO851578:FKO851579 FUK851578:FUK851579 GEG851578:GEG851579 GOC851578:GOC851579 GXY851578:GXY851579 HHU851578:HHU851579 HRQ851578:HRQ851579 IBM851578:IBM851579 ILI851578:ILI851579 IVE851578:IVE851579 JFA851578:JFA851579 JOW851578:JOW851579 JYS851578:JYS851579 KIO851578:KIO851579 KSK851578:KSK851579 LCG851578:LCG851579 LMC851578:LMC851579 LVY851578:LVY851579 MFU851578:MFU851579 MPQ851578:MPQ851579 MZM851578:MZM851579 NJI851578:NJI851579 NTE851578:NTE851579 ODA851578:ODA851579 OMW851578:OMW851579 OWS851578:OWS851579 PGO851578:PGO851579 PQK851578:PQK851579 QAG851578:QAG851579 QKC851578:QKC851579 QTY851578:QTY851579 RDU851578:RDU851579 RNQ851578:RNQ851579 RXM851578:RXM851579 SHI851578:SHI851579 SRE851578:SRE851579 TBA851578:TBA851579 TKW851578:TKW851579 TUS851578:TUS851579 UEO851578:UEO851579 UOK851578:UOK851579 UYG851578:UYG851579 VIC851578:VIC851579 VRY851578:VRY851579 WBU851578:WBU851579 WLQ851578:WLQ851579 WVM851578:WVM851579 E917114:E917115 JA917114:JA917115 SW917114:SW917115 ACS917114:ACS917115 AMO917114:AMO917115 AWK917114:AWK917115 BGG917114:BGG917115 BQC917114:BQC917115 BZY917114:BZY917115 CJU917114:CJU917115 CTQ917114:CTQ917115 DDM917114:DDM917115 DNI917114:DNI917115 DXE917114:DXE917115 EHA917114:EHA917115 EQW917114:EQW917115 FAS917114:FAS917115 FKO917114:FKO917115 FUK917114:FUK917115 GEG917114:GEG917115 GOC917114:GOC917115 GXY917114:GXY917115 HHU917114:HHU917115 HRQ917114:HRQ917115 IBM917114:IBM917115 ILI917114:ILI917115 IVE917114:IVE917115 JFA917114:JFA917115 JOW917114:JOW917115 JYS917114:JYS917115 KIO917114:KIO917115 KSK917114:KSK917115 LCG917114:LCG917115 LMC917114:LMC917115 LVY917114:LVY917115 MFU917114:MFU917115 MPQ917114:MPQ917115 MZM917114:MZM917115 NJI917114:NJI917115 NTE917114:NTE917115 ODA917114:ODA917115 OMW917114:OMW917115 OWS917114:OWS917115 PGO917114:PGO917115 PQK917114:PQK917115 QAG917114:QAG917115 QKC917114:QKC917115 QTY917114:QTY917115 RDU917114:RDU917115 RNQ917114:RNQ917115 RXM917114:RXM917115 SHI917114:SHI917115 SRE917114:SRE917115 TBA917114:TBA917115 TKW917114:TKW917115 TUS917114:TUS917115 UEO917114:UEO917115 UOK917114:UOK917115 UYG917114:UYG917115 VIC917114:VIC917115 VRY917114:VRY917115 WBU917114:WBU917115 WLQ917114:WLQ917115 WVM917114:WVM917115 E3:E4 JA3:JA4 SW3:SW4 ACS3:ACS4 AMO3:AMO4 AWK3:AWK4 BGG3:BGG4 BQC3:BQC4 BZY3:BZY4 CJU3:CJU4 CTQ3:CTQ4 DDM3:DDM4 DNI3:DNI4 DXE3:DXE4 EHA3:EHA4 EQW3:EQW4 FAS3:FAS4 FKO3:FKO4 FUK3:FUK4 GEG3:GEG4 GOC3:GOC4 GXY3:GXY4 HHU3:HHU4 HRQ3:HRQ4 IBM3:IBM4 ILI3:ILI4 IVE3:IVE4 JFA3:JFA4 JOW3:JOW4 JYS3:JYS4 KIO3:KIO4 KSK3:KSK4 LCG3:LCG4 LMC3:LMC4 LVY3:LVY4 MFU3:MFU4 MPQ3:MPQ4 MZM3:MZM4 NJI3:NJI4 NTE3:NTE4 ODA3:ODA4 OMW3:OMW4 OWS3:OWS4 PGO3:PGO4 PQK3:PQK4 QAG3:QAG4 QKC3:QKC4 QTY3:QTY4 RDU3:RDU4 RNQ3:RNQ4 RXM3:RXM4 SHI3:SHI4 SRE3:SRE4 TBA3:TBA4 TKW3:TKW4 TUS3:TUS4 UEO3:UEO4 UOK3:UOK4 UYG3:UYG4 VIC3:VIC4 VRY3:VRY4 WBU3:WBU4 WLQ3:WLQ4 WVM3:WVM4" xr:uid="{00000000-0002-0000-0900-00000D000000}"/>
    <dataValidation allowBlank="1" showInputMessage="1" showErrorMessage="1" promptTitle="Quantity Available" prompt="Input your available quantity for this item.  Cannot be a negative number." sqref="D982650:D982651 IZ982650:IZ982651 SV982650:SV982651 ACR982650:ACR982651 AMN982650:AMN982651 AWJ982650:AWJ982651 BGF982650:BGF982651 BQB982650:BQB982651 BZX982650:BZX982651 CJT982650:CJT982651 CTP982650:CTP982651 DDL982650:DDL982651 DNH982650:DNH982651 DXD982650:DXD982651 EGZ982650:EGZ982651 EQV982650:EQV982651 FAR982650:FAR982651 FKN982650:FKN982651 FUJ982650:FUJ982651 GEF982650:GEF982651 GOB982650:GOB982651 GXX982650:GXX982651 HHT982650:HHT982651 HRP982650:HRP982651 IBL982650:IBL982651 ILH982650:ILH982651 IVD982650:IVD982651 JEZ982650:JEZ982651 JOV982650:JOV982651 JYR982650:JYR982651 KIN982650:KIN982651 KSJ982650:KSJ982651 LCF982650:LCF982651 LMB982650:LMB982651 LVX982650:LVX982651 MFT982650:MFT982651 MPP982650:MPP982651 MZL982650:MZL982651 NJH982650:NJH982651 NTD982650:NTD982651 OCZ982650:OCZ982651 OMV982650:OMV982651 OWR982650:OWR982651 PGN982650:PGN982651 PQJ982650:PQJ982651 QAF982650:QAF982651 QKB982650:QKB982651 QTX982650:QTX982651 RDT982650:RDT982651 RNP982650:RNP982651 RXL982650:RXL982651 SHH982650:SHH982651 SRD982650:SRD982651 TAZ982650:TAZ982651 TKV982650:TKV982651 TUR982650:TUR982651 UEN982650:UEN982651 UOJ982650:UOJ982651 UYF982650:UYF982651 VIB982650:VIB982651 VRX982650:VRX982651 WBT982650:WBT982651 WLP982650:WLP982651 WVL982650:WVL982651 D65146:D65147 IZ65146:IZ65147 SV65146:SV65147 ACR65146:ACR65147 AMN65146:AMN65147 AWJ65146:AWJ65147 BGF65146:BGF65147 BQB65146:BQB65147 BZX65146:BZX65147 CJT65146:CJT65147 CTP65146:CTP65147 DDL65146:DDL65147 DNH65146:DNH65147 DXD65146:DXD65147 EGZ65146:EGZ65147 EQV65146:EQV65147 FAR65146:FAR65147 FKN65146:FKN65147 FUJ65146:FUJ65147 GEF65146:GEF65147 GOB65146:GOB65147 GXX65146:GXX65147 HHT65146:HHT65147 HRP65146:HRP65147 IBL65146:IBL65147 ILH65146:ILH65147 IVD65146:IVD65147 JEZ65146:JEZ65147 JOV65146:JOV65147 JYR65146:JYR65147 KIN65146:KIN65147 KSJ65146:KSJ65147 LCF65146:LCF65147 LMB65146:LMB65147 LVX65146:LVX65147 MFT65146:MFT65147 MPP65146:MPP65147 MZL65146:MZL65147 NJH65146:NJH65147 NTD65146:NTD65147 OCZ65146:OCZ65147 OMV65146:OMV65147 OWR65146:OWR65147 PGN65146:PGN65147 PQJ65146:PQJ65147 QAF65146:QAF65147 QKB65146:QKB65147 QTX65146:QTX65147 RDT65146:RDT65147 RNP65146:RNP65147 RXL65146:RXL65147 SHH65146:SHH65147 SRD65146:SRD65147 TAZ65146:TAZ65147 TKV65146:TKV65147 TUR65146:TUR65147 UEN65146:UEN65147 UOJ65146:UOJ65147 UYF65146:UYF65147 VIB65146:VIB65147 VRX65146:VRX65147 WBT65146:WBT65147 WLP65146:WLP65147 WVL65146:WVL65147 D130682:D130683 IZ130682:IZ130683 SV130682:SV130683 ACR130682:ACR130683 AMN130682:AMN130683 AWJ130682:AWJ130683 BGF130682:BGF130683 BQB130682:BQB130683 BZX130682:BZX130683 CJT130682:CJT130683 CTP130682:CTP130683 DDL130682:DDL130683 DNH130682:DNH130683 DXD130682:DXD130683 EGZ130682:EGZ130683 EQV130682:EQV130683 FAR130682:FAR130683 FKN130682:FKN130683 FUJ130682:FUJ130683 GEF130682:GEF130683 GOB130682:GOB130683 GXX130682:GXX130683 HHT130682:HHT130683 HRP130682:HRP130683 IBL130682:IBL130683 ILH130682:ILH130683 IVD130682:IVD130683 JEZ130682:JEZ130683 JOV130682:JOV130683 JYR130682:JYR130683 KIN130682:KIN130683 KSJ130682:KSJ130683 LCF130682:LCF130683 LMB130682:LMB130683 LVX130682:LVX130683 MFT130682:MFT130683 MPP130682:MPP130683 MZL130682:MZL130683 NJH130682:NJH130683 NTD130682:NTD130683 OCZ130682:OCZ130683 OMV130682:OMV130683 OWR130682:OWR130683 PGN130682:PGN130683 PQJ130682:PQJ130683 QAF130682:QAF130683 QKB130682:QKB130683 QTX130682:QTX130683 RDT130682:RDT130683 RNP130682:RNP130683 RXL130682:RXL130683 SHH130682:SHH130683 SRD130682:SRD130683 TAZ130682:TAZ130683 TKV130682:TKV130683 TUR130682:TUR130683 UEN130682:UEN130683 UOJ130682:UOJ130683 UYF130682:UYF130683 VIB130682:VIB130683 VRX130682:VRX130683 WBT130682:WBT130683 WLP130682:WLP130683 WVL130682:WVL130683 D196218:D196219 IZ196218:IZ196219 SV196218:SV196219 ACR196218:ACR196219 AMN196218:AMN196219 AWJ196218:AWJ196219 BGF196218:BGF196219 BQB196218:BQB196219 BZX196218:BZX196219 CJT196218:CJT196219 CTP196218:CTP196219 DDL196218:DDL196219 DNH196218:DNH196219 DXD196218:DXD196219 EGZ196218:EGZ196219 EQV196218:EQV196219 FAR196218:FAR196219 FKN196218:FKN196219 FUJ196218:FUJ196219 GEF196218:GEF196219 GOB196218:GOB196219 GXX196218:GXX196219 HHT196218:HHT196219 HRP196218:HRP196219 IBL196218:IBL196219 ILH196218:ILH196219 IVD196218:IVD196219 JEZ196218:JEZ196219 JOV196218:JOV196219 JYR196218:JYR196219 KIN196218:KIN196219 KSJ196218:KSJ196219 LCF196218:LCF196219 LMB196218:LMB196219 LVX196218:LVX196219 MFT196218:MFT196219 MPP196218:MPP196219 MZL196218:MZL196219 NJH196218:NJH196219 NTD196218:NTD196219 OCZ196218:OCZ196219 OMV196218:OMV196219 OWR196218:OWR196219 PGN196218:PGN196219 PQJ196218:PQJ196219 QAF196218:QAF196219 QKB196218:QKB196219 QTX196218:QTX196219 RDT196218:RDT196219 RNP196218:RNP196219 RXL196218:RXL196219 SHH196218:SHH196219 SRD196218:SRD196219 TAZ196218:TAZ196219 TKV196218:TKV196219 TUR196218:TUR196219 UEN196218:UEN196219 UOJ196218:UOJ196219 UYF196218:UYF196219 VIB196218:VIB196219 VRX196218:VRX196219 WBT196218:WBT196219 WLP196218:WLP196219 WVL196218:WVL196219 D261754:D261755 IZ261754:IZ261755 SV261754:SV261755 ACR261754:ACR261755 AMN261754:AMN261755 AWJ261754:AWJ261755 BGF261754:BGF261755 BQB261754:BQB261755 BZX261754:BZX261755 CJT261754:CJT261755 CTP261754:CTP261755 DDL261754:DDL261755 DNH261754:DNH261755 DXD261754:DXD261755 EGZ261754:EGZ261755 EQV261754:EQV261755 FAR261754:FAR261755 FKN261754:FKN261755 FUJ261754:FUJ261755 GEF261754:GEF261755 GOB261754:GOB261755 GXX261754:GXX261755 HHT261754:HHT261755 HRP261754:HRP261755 IBL261754:IBL261755 ILH261754:ILH261755 IVD261754:IVD261755 JEZ261754:JEZ261755 JOV261754:JOV261755 JYR261754:JYR261755 KIN261754:KIN261755 KSJ261754:KSJ261755 LCF261754:LCF261755 LMB261754:LMB261755 LVX261754:LVX261755 MFT261754:MFT261755 MPP261754:MPP261755 MZL261754:MZL261755 NJH261754:NJH261755 NTD261754:NTD261755 OCZ261754:OCZ261755 OMV261754:OMV261755 OWR261754:OWR261755 PGN261754:PGN261755 PQJ261754:PQJ261755 QAF261754:QAF261755 QKB261754:QKB261755 QTX261754:QTX261755 RDT261754:RDT261755 RNP261754:RNP261755 RXL261754:RXL261755 SHH261754:SHH261755 SRD261754:SRD261755 TAZ261754:TAZ261755 TKV261754:TKV261755 TUR261754:TUR261755 UEN261754:UEN261755 UOJ261754:UOJ261755 UYF261754:UYF261755 VIB261754:VIB261755 VRX261754:VRX261755 WBT261754:WBT261755 WLP261754:WLP261755 WVL261754:WVL261755 D327290:D327291 IZ327290:IZ327291 SV327290:SV327291 ACR327290:ACR327291 AMN327290:AMN327291 AWJ327290:AWJ327291 BGF327290:BGF327291 BQB327290:BQB327291 BZX327290:BZX327291 CJT327290:CJT327291 CTP327290:CTP327291 DDL327290:DDL327291 DNH327290:DNH327291 DXD327290:DXD327291 EGZ327290:EGZ327291 EQV327290:EQV327291 FAR327290:FAR327291 FKN327290:FKN327291 FUJ327290:FUJ327291 GEF327290:GEF327291 GOB327290:GOB327291 GXX327290:GXX327291 HHT327290:HHT327291 HRP327290:HRP327291 IBL327290:IBL327291 ILH327290:ILH327291 IVD327290:IVD327291 JEZ327290:JEZ327291 JOV327290:JOV327291 JYR327290:JYR327291 KIN327290:KIN327291 KSJ327290:KSJ327291 LCF327290:LCF327291 LMB327290:LMB327291 LVX327290:LVX327291 MFT327290:MFT327291 MPP327290:MPP327291 MZL327290:MZL327291 NJH327290:NJH327291 NTD327290:NTD327291 OCZ327290:OCZ327291 OMV327290:OMV327291 OWR327290:OWR327291 PGN327290:PGN327291 PQJ327290:PQJ327291 QAF327290:QAF327291 QKB327290:QKB327291 QTX327290:QTX327291 RDT327290:RDT327291 RNP327290:RNP327291 RXL327290:RXL327291 SHH327290:SHH327291 SRD327290:SRD327291 TAZ327290:TAZ327291 TKV327290:TKV327291 TUR327290:TUR327291 UEN327290:UEN327291 UOJ327290:UOJ327291 UYF327290:UYF327291 VIB327290:VIB327291 VRX327290:VRX327291 WBT327290:WBT327291 WLP327290:WLP327291 WVL327290:WVL327291 D392826:D392827 IZ392826:IZ392827 SV392826:SV392827 ACR392826:ACR392827 AMN392826:AMN392827 AWJ392826:AWJ392827 BGF392826:BGF392827 BQB392826:BQB392827 BZX392826:BZX392827 CJT392826:CJT392827 CTP392826:CTP392827 DDL392826:DDL392827 DNH392826:DNH392827 DXD392826:DXD392827 EGZ392826:EGZ392827 EQV392826:EQV392827 FAR392826:FAR392827 FKN392826:FKN392827 FUJ392826:FUJ392827 GEF392826:GEF392827 GOB392826:GOB392827 GXX392826:GXX392827 HHT392826:HHT392827 HRP392826:HRP392827 IBL392826:IBL392827 ILH392826:ILH392827 IVD392826:IVD392827 JEZ392826:JEZ392827 JOV392826:JOV392827 JYR392826:JYR392827 KIN392826:KIN392827 KSJ392826:KSJ392827 LCF392826:LCF392827 LMB392826:LMB392827 LVX392826:LVX392827 MFT392826:MFT392827 MPP392826:MPP392827 MZL392826:MZL392827 NJH392826:NJH392827 NTD392826:NTD392827 OCZ392826:OCZ392827 OMV392826:OMV392827 OWR392826:OWR392827 PGN392826:PGN392827 PQJ392826:PQJ392827 QAF392826:QAF392827 QKB392826:QKB392827 QTX392826:QTX392827 RDT392826:RDT392827 RNP392826:RNP392827 RXL392826:RXL392827 SHH392826:SHH392827 SRD392826:SRD392827 TAZ392826:TAZ392827 TKV392826:TKV392827 TUR392826:TUR392827 UEN392826:UEN392827 UOJ392826:UOJ392827 UYF392826:UYF392827 VIB392826:VIB392827 VRX392826:VRX392827 WBT392826:WBT392827 WLP392826:WLP392827 WVL392826:WVL392827 D458362:D458363 IZ458362:IZ458363 SV458362:SV458363 ACR458362:ACR458363 AMN458362:AMN458363 AWJ458362:AWJ458363 BGF458362:BGF458363 BQB458362:BQB458363 BZX458362:BZX458363 CJT458362:CJT458363 CTP458362:CTP458363 DDL458362:DDL458363 DNH458362:DNH458363 DXD458362:DXD458363 EGZ458362:EGZ458363 EQV458362:EQV458363 FAR458362:FAR458363 FKN458362:FKN458363 FUJ458362:FUJ458363 GEF458362:GEF458363 GOB458362:GOB458363 GXX458362:GXX458363 HHT458362:HHT458363 HRP458362:HRP458363 IBL458362:IBL458363 ILH458362:ILH458363 IVD458362:IVD458363 JEZ458362:JEZ458363 JOV458362:JOV458363 JYR458362:JYR458363 KIN458362:KIN458363 KSJ458362:KSJ458363 LCF458362:LCF458363 LMB458362:LMB458363 LVX458362:LVX458363 MFT458362:MFT458363 MPP458362:MPP458363 MZL458362:MZL458363 NJH458362:NJH458363 NTD458362:NTD458363 OCZ458362:OCZ458363 OMV458362:OMV458363 OWR458362:OWR458363 PGN458362:PGN458363 PQJ458362:PQJ458363 QAF458362:QAF458363 QKB458362:QKB458363 QTX458362:QTX458363 RDT458362:RDT458363 RNP458362:RNP458363 RXL458362:RXL458363 SHH458362:SHH458363 SRD458362:SRD458363 TAZ458362:TAZ458363 TKV458362:TKV458363 TUR458362:TUR458363 UEN458362:UEN458363 UOJ458362:UOJ458363 UYF458362:UYF458363 VIB458362:VIB458363 VRX458362:VRX458363 WBT458362:WBT458363 WLP458362:WLP458363 WVL458362:WVL458363 D523898:D523899 IZ523898:IZ523899 SV523898:SV523899 ACR523898:ACR523899 AMN523898:AMN523899 AWJ523898:AWJ523899 BGF523898:BGF523899 BQB523898:BQB523899 BZX523898:BZX523899 CJT523898:CJT523899 CTP523898:CTP523899 DDL523898:DDL523899 DNH523898:DNH523899 DXD523898:DXD523899 EGZ523898:EGZ523899 EQV523898:EQV523899 FAR523898:FAR523899 FKN523898:FKN523899 FUJ523898:FUJ523899 GEF523898:GEF523899 GOB523898:GOB523899 GXX523898:GXX523899 HHT523898:HHT523899 HRP523898:HRP523899 IBL523898:IBL523899 ILH523898:ILH523899 IVD523898:IVD523899 JEZ523898:JEZ523899 JOV523898:JOV523899 JYR523898:JYR523899 KIN523898:KIN523899 KSJ523898:KSJ523899 LCF523898:LCF523899 LMB523898:LMB523899 LVX523898:LVX523899 MFT523898:MFT523899 MPP523898:MPP523899 MZL523898:MZL523899 NJH523898:NJH523899 NTD523898:NTD523899 OCZ523898:OCZ523899 OMV523898:OMV523899 OWR523898:OWR523899 PGN523898:PGN523899 PQJ523898:PQJ523899 QAF523898:QAF523899 QKB523898:QKB523899 QTX523898:QTX523899 RDT523898:RDT523899 RNP523898:RNP523899 RXL523898:RXL523899 SHH523898:SHH523899 SRD523898:SRD523899 TAZ523898:TAZ523899 TKV523898:TKV523899 TUR523898:TUR523899 UEN523898:UEN523899 UOJ523898:UOJ523899 UYF523898:UYF523899 VIB523898:VIB523899 VRX523898:VRX523899 WBT523898:WBT523899 WLP523898:WLP523899 WVL523898:WVL523899 D589434:D589435 IZ589434:IZ589435 SV589434:SV589435 ACR589434:ACR589435 AMN589434:AMN589435 AWJ589434:AWJ589435 BGF589434:BGF589435 BQB589434:BQB589435 BZX589434:BZX589435 CJT589434:CJT589435 CTP589434:CTP589435 DDL589434:DDL589435 DNH589434:DNH589435 DXD589434:DXD589435 EGZ589434:EGZ589435 EQV589434:EQV589435 FAR589434:FAR589435 FKN589434:FKN589435 FUJ589434:FUJ589435 GEF589434:GEF589435 GOB589434:GOB589435 GXX589434:GXX589435 HHT589434:HHT589435 HRP589434:HRP589435 IBL589434:IBL589435 ILH589434:ILH589435 IVD589434:IVD589435 JEZ589434:JEZ589435 JOV589434:JOV589435 JYR589434:JYR589435 KIN589434:KIN589435 KSJ589434:KSJ589435 LCF589434:LCF589435 LMB589434:LMB589435 LVX589434:LVX589435 MFT589434:MFT589435 MPP589434:MPP589435 MZL589434:MZL589435 NJH589434:NJH589435 NTD589434:NTD589435 OCZ589434:OCZ589435 OMV589434:OMV589435 OWR589434:OWR589435 PGN589434:PGN589435 PQJ589434:PQJ589435 QAF589434:QAF589435 QKB589434:QKB589435 QTX589434:QTX589435 RDT589434:RDT589435 RNP589434:RNP589435 RXL589434:RXL589435 SHH589434:SHH589435 SRD589434:SRD589435 TAZ589434:TAZ589435 TKV589434:TKV589435 TUR589434:TUR589435 UEN589434:UEN589435 UOJ589434:UOJ589435 UYF589434:UYF589435 VIB589434:VIB589435 VRX589434:VRX589435 WBT589434:WBT589435 WLP589434:WLP589435 WVL589434:WVL589435 D654970:D654971 IZ654970:IZ654971 SV654970:SV654971 ACR654970:ACR654971 AMN654970:AMN654971 AWJ654970:AWJ654971 BGF654970:BGF654971 BQB654970:BQB654971 BZX654970:BZX654971 CJT654970:CJT654971 CTP654970:CTP654971 DDL654970:DDL654971 DNH654970:DNH654971 DXD654970:DXD654971 EGZ654970:EGZ654971 EQV654970:EQV654971 FAR654970:FAR654971 FKN654970:FKN654971 FUJ654970:FUJ654971 GEF654970:GEF654971 GOB654970:GOB654971 GXX654970:GXX654971 HHT654970:HHT654971 HRP654970:HRP654971 IBL654970:IBL654971 ILH654970:ILH654971 IVD654970:IVD654971 JEZ654970:JEZ654971 JOV654970:JOV654971 JYR654970:JYR654971 KIN654970:KIN654971 KSJ654970:KSJ654971 LCF654970:LCF654971 LMB654970:LMB654971 LVX654970:LVX654971 MFT654970:MFT654971 MPP654970:MPP654971 MZL654970:MZL654971 NJH654970:NJH654971 NTD654970:NTD654971 OCZ654970:OCZ654971 OMV654970:OMV654971 OWR654970:OWR654971 PGN654970:PGN654971 PQJ654970:PQJ654971 QAF654970:QAF654971 QKB654970:QKB654971 QTX654970:QTX654971 RDT654970:RDT654971 RNP654970:RNP654971 RXL654970:RXL654971 SHH654970:SHH654971 SRD654970:SRD654971 TAZ654970:TAZ654971 TKV654970:TKV654971 TUR654970:TUR654971 UEN654970:UEN654971 UOJ654970:UOJ654971 UYF654970:UYF654971 VIB654970:VIB654971 VRX654970:VRX654971 WBT654970:WBT654971 WLP654970:WLP654971 WVL654970:WVL654971 D720506:D720507 IZ720506:IZ720507 SV720506:SV720507 ACR720506:ACR720507 AMN720506:AMN720507 AWJ720506:AWJ720507 BGF720506:BGF720507 BQB720506:BQB720507 BZX720506:BZX720507 CJT720506:CJT720507 CTP720506:CTP720507 DDL720506:DDL720507 DNH720506:DNH720507 DXD720506:DXD720507 EGZ720506:EGZ720507 EQV720506:EQV720507 FAR720506:FAR720507 FKN720506:FKN720507 FUJ720506:FUJ720507 GEF720506:GEF720507 GOB720506:GOB720507 GXX720506:GXX720507 HHT720506:HHT720507 HRP720506:HRP720507 IBL720506:IBL720507 ILH720506:ILH720507 IVD720506:IVD720507 JEZ720506:JEZ720507 JOV720506:JOV720507 JYR720506:JYR720507 KIN720506:KIN720507 KSJ720506:KSJ720507 LCF720506:LCF720507 LMB720506:LMB720507 LVX720506:LVX720507 MFT720506:MFT720507 MPP720506:MPP720507 MZL720506:MZL720507 NJH720506:NJH720507 NTD720506:NTD720507 OCZ720506:OCZ720507 OMV720506:OMV720507 OWR720506:OWR720507 PGN720506:PGN720507 PQJ720506:PQJ720507 QAF720506:QAF720507 QKB720506:QKB720507 QTX720506:QTX720507 RDT720506:RDT720507 RNP720506:RNP720507 RXL720506:RXL720507 SHH720506:SHH720507 SRD720506:SRD720507 TAZ720506:TAZ720507 TKV720506:TKV720507 TUR720506:TUR720507 UEN720506:UEN720507 UOJ720506:UOJ720507 UYF720506:UYF720507 VIB720506:VIB720507 VRX720506:VRX720507 WBT720506:WBT720507 WLP720506:WLP720507 WVL720506:WVL720507 D786042:D786043 IZ786042:IZ786043 SV786042:SV786043 ACR786042:ACR786043 AMN786042:AMN786043 AWJ786042:AWJ786043 BGF786042:BGF786043 BQB786042:BQB786043 BZX786042:BZX786043 CJT786042:CJT786043 CTP786042:CTP786043 DDL786042:DDL786043 DNH786042:DNH786043 DXD786042:DXD786043 EGZ786042:EGZ786043 EQV786042:EQV786043 FAR786042:FAR786043 FKN786042:FKN786043 FUJ786042:FUJ786043 GEF786042:GEF786043 GOB786042:GOB786043 GXX786042:GXX786043 HHT786042:HHT786043 HRP786042:HRP786043 IBL786042:IBL786043 ILH786042:ILH786043 IVD786042:IVD786043 JEZ786042:JEZ786043 JOV786042:JOV786043 JYR786042:JYR786043 KIN786042:KIN786043 KSJ786042:KSJ786043 LCF786042:LCF786043 LMB786042:LMB786043 LVX786042:LVX786043 MFT786042:MFT786043 MPP786042:MPP786043 MZL786042:MZL786043 NJH786042:NJH786043 NTD786042:NTD786043 OCZ786042:OCZ786043 OMV786042:OMV786043 OWR786042:OWR786043 PGN786042:PGN786043 PQJ786042:PQJ786043 QAF786042:QAF786043 QKB786042:QKB786043 QTX786042:QTX786043 RDT786042:RDT786043 RNP786042:RNP786043 RXL786042:RXL786043 SHH786042:SHH786043 SRD786042:SRD786043 TAZ786042:TAZ786043 TKV786042:TKV786043 TUR786042:TUR786043 UEN786042:UEN786043 UOJ786042:UOJ786043 UYF786042:UYF786043 VIB786042:VIB786043 VRX786042:VRX786043 WBT786042:WBT786043 WLP786042:WLP786043 WVL786042:WVL786043 D851578:D851579 IZ851578:IZ851579 SV851578:SV851579 ACR851578:ACR851579 AMN851578:AMN851579 AWJ851578:AWJ851579 BGF851578:BGF851579 BQB851578:BQB851579 BZX851578:BZX851579 CJT851578:CJT851579 CTP851578:CTP851579 DDL851578:DDL851579 DNH851578:DNH851579 DXD851578:DXD851579 EGZ851578:EGZ851579 EQV851578:EQV851579 FAR851578:FAR851579 FKN851578:FKN851579 FUJ851578:FUJ851579 GEF851578:GEF851579 GOB851578:GOB851579 GXX851578:GXX851579 HHT851578:HHT851579 HRP851578:HRP851579 IBL851578:IBL851579 ILH851578:ILH851579 IVD851578:IVD851579 JEZ851578:JEZ851579 JOV851578:JOV851579 JYR851578:JYR851579 KIN851578:KIN851579 KSJ851578:KSJ851579 LCF851578:LCF851579 LMB851578:LMB851579 LVX851578:LVX851579 MFT851578:MFT851579 MPP851578:MPP851579 MZL851578:MZL851579 NJH851578:NJH851579 NTD851578:NTD851579 OCZ851578:OCZ851579 OMV851578:OMV851579 OWR851578:OWR851579 PGN851578:PGN851579 PQJ851578:PQJ851579 QAF851578:QAF851579 QKB851578:QKB851579 QTX851578:QTX851579 RDT851578:RDT851579 RNP851578:RNP851579 RXL851578:RXL851579 SHH851578:SHH851579 SRD851578:SRD851579 TAZ851578:TAZ851579 TKV851578:TKV851579 TUR851578:TUR851579 UEN851578:UEN851579 UOJ851578:UOJ851579 UYF851578:UYF851579 VIB851578:VIB851579 VRX851578:VRX851579 WBT851578:WBT851579 WLP851578:WLP851579 WVL851578:WVL851579 D917114:D917115 IZ917114:IZ917115 SV917114:SV917115 ACR917114:ACR917115 AMN917114:AMN917115 AWJ917114:AWJ917115 BGF917114:BGF917115 BQB917114:BQB917115 BZX917114:BZX917115 CJT917114:CJT917115 CTP917114:CTP917115 DDL917114:DDL917115 DNH917114:DNH917115 DXD917114:DXD917115 EGZ917114:EGZ917115 EQV917114:EQV917115 FAR917114:FAR917115 FKN917114:FKN917115 FUJ917114:FUJ917115 GEF917114:GEF917115 GOB917114:GOB917115 GXX917114:GXX917115 HHT917114:HHT917115 HRP917114:HRP917115 IBL917114:IBL917115 ILH917114:ILH917115 IVD917114:IVD917115 JEZ917114:JEZ917115 JOV917114:JOV917115 JYR917114:JYR917115 KIN917114:KIN917115 KSJ917114:KSJ917115 LCF917114:LCF917115 LMB917114:LMB917115 LVX917114:LVX917115 MFT917114:MFT917115 MPP917114:MPP917115 MZL917114:MZL917115 NJH917114:NJH917115 NTD917114:NTD917115 OCZ917114:OCZ917115 OMV917114:OMV917115 OWR917114:OWR917115 PGN917114:PGN917115 PQJ917114:PQJ917115 QAF917114:QAF917115 QKB917114:QKB917115 QTX917114:QTX917115 RDT917114:RDT917115 RNP917114:RNP917115 RXL917114:RXL917115 SHH917114:SHH917115 SRD917114:SRD917115 TAZ917114:TAZ917115 TKV917114:TKV917115 TUR917114:TUR917115 UEN917114:UEN917115 UOJ917114:UOJ917115 UYF917114:UYF917115 VIB917114:VIB917115 VRX917114:VRX917115 WBT917114:WBT917115 WLP917114:WLP917115 WVL917114:WVL917115 D3" xr:uid="{00000000-0002-0000-0900-00000E000000}"/>
    <dataValidation allowBlank="1" showInputMessage="1" showErrorMessage="1" promptTitle="Available Flag" prompt="Input Yes if available, No if temporarily out of stock, or Guaranteed if unlimited stock." sqref="C982650:C982651 IY982650:IY982651 SU982650:SU982651 ACQ982650:ACQ982651 AMM982650:AMM982651 AWI982650:AWI982651 BGE982650:BGE982651 BQA982650:BQA982651 BZW982650:BZW982651 CJS982650:CJS982651 CTO982650:CTO982651 DDK982650:DDK982651 DNG982650:DNG982651 DXC982650:DXC982651 EGY982650:EGY982651 EQU982650:EQU982651 FAQ982650:FAQ982651 FKM982650:FKM982651 FUI982650:FUI982651 GEE982650:GEE982651 GOA982650:GOA982651 GXW982650:GXW982651 HHS982650:HHS982651 HRO982650:HRO982651 IBK982650:IBK982651 ILG982650:ILG982651 IVC982650:IVC982651 JEY982650:JEY982651 JOU982650:JOU982651 JYQ982650:JYQ982651 KIM982650:KIM982651 KSI982650:KSI982651 LCE982650:LCE982651 LMA982650:LMA982651 LVW982650:LVW982651 MFS982650:MFS982651 MPO982650:MPO982651 MZK982650:MZK982651 NJG982650:NJG982651 NTC982650:NTC982651 OCY982650:OCY982651 OMU982650:OMU982651 OWQ982650:OWQ982651 PGM982650:PGM982651 PQI982650:PQI982651 QAE982650:QAE982651 QKA982650:QKA982651 QTW982650:QTW982651 RDS982650:RDS982651 RNO982650:RNO982651 RXK982650:RXK982651 SHG982650:SHG982651 SRC982650:SRC982651 TAY982650:TAY982651 TKU982650:TKU982651 TUQ982650:TUQ982651 UEM982650:UEM982651 UOI982650:UOI982651 UYE982650:UYE982651 VIA982650:VIA982651 VRW982650:VRW982651 WBS982650:WBS982651 WLO982650:WLO982651 WVK982650:WVK982651 C65146:C65147 IY65146:IY65147 SU65146:SU65147 ACQ65146:ACQ65147 AMM65146:AMM65147 AWI65146:AWI65147 BGE65146:BGE65147 BQA65146:BQA65147 BZW65146:BZW65147 CJS65146:CJS65147 CTO65146:CTO65147 DDK65146:DDK65147 DNG65146:DNG65147 DXC65146:DXC65147 EGY65146:EGY65147 EQU65146:EQU65147 FAQ65146:FAQ65147 FKM65146:FKM65147 FUI65146:FUI65147 GEE65146:GEE65147 GOA65146:GOA65147 GXW65146:GXW65147 HHS65146:HHS65147 HRO65146:HRO65147 IBK65146:IBK65147 ILG65146:ILG65147 IVC65146:IVC65147 JEY65146:JEY65147 JOU65146:JOU65147 JYQ65146:JYQ65147 KIM65146:KIM65147 KSI65146:KSI65147 LCE65146:LCE65147 LMA65146:LMA65147 LVW65146:LVW65147 MFS65146:MFS65147 MPO65146:MPO65147 MZK65146:MZK65147 NJG65146:NJG65147 NTC65146:NTC65147 OCY65146:OCY65147 OMU65146:OMU65147 OWQ65146:OWQ65147 PGM65146:PGM65147 PQI65146:PQI65147 QAE65146:QAE65147 QKA65146:QKA65147 QTW65146:QTW65147 RDS65146:RDS65147 RNO65146:RNO65147 RXK65146:RXK65147 SHG65146:SHG65147 SRC65146:SRC65147 TAY65146:TAY65147 TKU65146:TKU65147 TUQ65146:TUQ65147 UEM65146:UEM65147 UOI65146:UOI65147 UYE65146:UYE65147 VIA65146:VIA65147 VRW65146:VRW65147 WBS65146:WBS65147 WLO65146:WLO65147 WVK65146:WVK65147 C130682:C130683 IY130682:IY130683 SU130682:SU130683 ACQ130682:ACQ130683 AMM130682:AMM130683 AWI130682:AWI130683 BGE130682:BGE130683 BQA130682:BQA130683 BZW130682:BZW130683 CJS130682:CJS130683 CTO130682:CTO130683 DDK130682:DDK130683 DNG130682:DNG130683 DXC130682:DXC130683 EGY130682:EGY130683 EQU130682:EQU130683 FAQ130682:FAQ130683 FKM130682:FKM130683 FUI130682:FUI130683 GEE130682:GEE130683 GOA130682:GOA130683 GXW130682:GXW130683 HHS130682:HHS130683 HRO130682:HRO130683 IBK130682:IBK130683 ILG130682:ILG130683 IVC130682:IVC130683 JEY130682:JEY130683 JOU130682:JOU130683 JYQ130682:JYQ130683 KIM130682:KIM130683 KSI130682:KSI130683 LCE130682:LCE130683 LMA130682:LMA130683 LVW130682:LVW130683 MFS130682:MFS130683 MPO130682:MPO130683 MZK130682:MZK130683 NJG130682:NJG130683 NTC130682:NTC130683 OCY130682:OCY130683 OMU130682:OMU130683 OWQ130682:OWQ130683 PGM130682:PGM130683 PQI130682:PQI130683 QAE130682:QAE130683 QKA130682:QKA130683 QTW130682:QTW130683 RDS130682:RDS130683 RNO130682:RNO130683 RXK130682:RXK130683 SHG130682:SHG130683 SRC130682:SRC130683 TAY130682:TAY130683 TKU130682:TKU130683 TUQ130682:TUQ130683 UEM130682:UEM130683 UOI130682:UOI130683 UYE130682:UYE130683 VIA130682:VIA130683 VRW130682:VRW130683 WBS130682:WBS130683 WLO130682:WLO130683 WVK130682:WVK130683 C196218:C196219 IY196218:IY196219 SU196218:SU196219 ACQ196218:ACQ196219 AMM196218:AMM196219 AWI196218:AWI196219 BGE196218:BGE196219 BQA196218:BQA196219 BZW196218:BZW196219 CJS196218:CJS196219 CTO196218:CTO196219 DDK196218:DDK196219 DNG196218:DNG196219 DXC196218:DXC196219 EGY196218:EGY196219 EQU196218:EQU196219 FAQ196218:FAQ196219 FKM196218:FKM196219 FUI196218:FUI196219 GEE196218:GEE196219 GOA196218:GOA196219 GXW196218:GXW196219 HHS196218:HHS196219 HRO196218:HRO196219 IBK196218:IBK196219 ILG196218:ILG196219 IVC196218:IVC196219 JEY196218:JEY196219 JOU196218:JOU196219 JYQ196218:JYQ196219 KIM196218:KIM196219 KSI196218:KSI196219 LCE196218:LCE196219 LMA196218:LMA196219 LVW196218:LVW196219 MFS196218:MFS196219 MPO196218:MPO196219 MZK196218:MZK196219 NJG196218:NJG196219 NTC196218:NTC196219 OCY196218:OCY196219 OMU196218:OMU196219 OWQ196218:OWQ196219 PGM196218:PGM196219 PQI196218:PQI196219 QAE196218:QAE196219 QKA196218:QKA196219 QTW196218:QTW196219 RDS196218:RDS196219 RNO196218:RNO196219 RXK196218:RXK196219 SHG196218:SHG196219 SRC196218:SRC196219 TAY196218:TAY196219 TKU196218:TKU196219 TUQ196218:TUQ196219 UEM196218:UEM196219 UOI196218:UOI196219 UYE196218:UYE196219 VIA196218:VIA196219 VRW196218:VRW196219 WBS196218:WBS196219 WLO196218:WLO196219 WVK196218:WVK196219 C261754:C261755 IY261754:IY261755 SU261754:SU261755 ACQ261754:ACQ261755 AMM261754:AMM261755 AWI261754:AWI261755 BGE261754:BGE261755 BQA261754:BQA261755 BZW261754:BZW261755 CJS261754:CJS261755 CTO261754:CTO261755 DDK261754:DDK261755 DNG261754:DNG261755 DXC261754:DXC261755 EGY261754:EGY261755 EQU261754:EQU261755 FAQ261754:FAQ261755 FKM261754:FKM261755 FUI261754:FUI261755 GEE261754:GEE261755 GOA261754:GOA261755 GXW261754:GXW261755 HHS261754:HHS261755 HRO261754:HRO261755 IBK261754:IBK261755 ILG261754:ILG261755 IVC261754:IVC261755 JEY261754:JEY261755 JOU261754:JOU261755 JYQ261754:JYQ261755 KIM261754:KIM261755 KSI261754:KSI261755 LCE261754:LCE261755 LMA261754:LMA261755 LVW261754:LVW261755 MFS261754:MFS261755 MPO261754:MPO261755 MZK261754:MZK261755 NJG261754:NJG261755 NTC261754:NTC261755 OCY261754:OCY261755 OMU261754:OMU261755 OWQ261754:OWQ261755 PGM261754:PGM261755 PQI261754:PQI261755 QAE261754:QAE261755 QKA261754:QKA261755 QTW261754:QTW261755 RDS261754:RDS261755 RNO261754:RNO261755 RXK261754:RXK261755 SHG261754:SHG261755 SRC261754:SRC261755 TAY261754:TAY261755 TKU261754:TKU261755 TUQ261754:TUQ261755 UEM261754:UEM261755 UOI261754:UOI261755 UYE261754:UYE261755 VIA261754:VIA261755 VRW261754:VRW261755 WBS261754:WBS261755 WLO261754:WLO261755 WVK261754:WVK261755 C327290:C327291 IY327290:IY327291 SU327290:SU327291 ACQ327290:ACQ327291 AMM327290:AMM327291 AWI327290:AWI327291 BGE327290:BGE327291 BQA327290:BQA327291 BZW327290:BZW327291 CJS327290:CJS327291 CTO327290:CTO327291 DDK327290:DDK327291 DNG327290:DNG327291 DXC327290:DXC327291 EGY327290:EGY327291 EQU327290:EQU327291 FAQ327290:FAQ327291 FKM327290:FKM327291 FUI327290:FUI327291 GEE327290:GEE327291 GOA327290:GOA327291 GXW327290:GXW327291 HHS327290:HHS327291 HRO327290:HRO327291 IBK327290:IBK327291 ILG327290:ILG327291 IVC327290:IVC327291 JEY327290:JEY327291 JOU327290:JOU327291 JYQ327290:JYQ327291 KIM327290:KIM327291 KSI327290:KSI327291 LCE327290:LCE327291 LMA327290:LMA327291 LVW327290:LVW327291 MFS327290:MFS327291 MPO327290:MPO327291 MZK327290:MZK327291 NJG327290:NJG327291 NTC327290:NTC327291 OCY327290:OCY327291 OMU327290:OMU327291 OWQ327290:OWQ327291 PGM327290:PGM327291 PQI327290:PQI327291 QAE327290:QAE327291 QKA327290:QKA327291 QTW327290:QTW327291 RDS327290:RDS327291 RNO327290:RNO327291 RXK327290:RXK327291 SHG327290:SHG327291 SRC327290:SRC327291 TAY327290:TAY327291 TKU327290:TKU327291 TUQ327290:TUQ327291 UEM327290:UEM327291 UOI327290:UOI327291 UYE327290:UYE327291 VIA327290:VIA327291 VRW327290:VRW327291 WBS327290:WBS327291 WLO327290:WLO327291 WVK327290:WVK327291 C392826:C392827 IY392826:IY392827 SU392826:SU392827 ACQ392826:ACQ392827 AMM392826:AMM392827 AWI392826:AWI392827 BGE392826:BGE392827 BQA392826:BQA392827 BZW392826:BZW392827 CJS392826:CJS392827 CTO392826:CTO392827 DDK392826:DDK392827 DNG392826:DNG392827 DXC392826:DXC392827 EGY392826:EGY392827 EQU392826:EQU392827 FAQ392826:FAQ392827 FKM392826:FKM392827 FUI392826:FUI392827 GEE392826:GEE392827 GOA392826:GOA392827 GXW392826:GXW392827 HHS392826:HHS392827 HRO392826:HRO392827 IBK392826:IBK392827 ILG392826:ILG392827 IVC392826:IVC392827 JEY392826:JEY392827 JOU392826:JOU392827 JYQ392826:JYQ392827 KIM392826:KIM392827 KSI392826:KSI392827 LCE392826:LCE392827 LMA392826:LMA392827 LVW392826:LVW392827 MFS392826:MFS392827 MPO392826:MPO392827 MZK392826:MZK392827 NJG392826:NJG392827 NTC392826:NTC392827 OCY392826:OCY392827 OMU392826:OMU392827 OWQ392826:OWQ392827 PGM392826:PGM392827 PQI392826:PQI392827 QAE392826:QAE392827 QKA392826:QKA392827 QTW392826:QTW392827 RDS392826:RDS392827 RNO392826:RNO392827 RXK392826:RXK392827 SHG392826:SHG392827 SRC392826:SRC392827 TAY392826:TAY392827 TKU392826:TKU392827 TUQ392826:TUQ392827 UEM392826:UEM392827 UOI392826:UOI392827 UYE392826:UYE392827 VIA392826:VIA392827 VRW392826:VRW392827 WBS392826:WBS392827 WLO392826:WLO392827 WVK392826:WVK392827 C458362:C458363 IY458362:IY458363 SU458362:SU458363 ACQ458362:ACQ458363 AMM458362:AMM458363 AWI458362:AWI458363 BGE458362:BGE458363 BQA458362:BQA458363 BZW458362:BZW458363 CJS458362:CJS458363 CTO458362:CTO458363 DDK458362:DDK458363 DNG458362:DNG458363 DXC458362:DXC458363 EGY458362:EGY458363 EQU458362:EQU458363 FAQ458362:FAQ458363 FKM458362:FKM458363 FUI458362:FUI458363 GEE458362:GEE458363 GOA458362:GOA458363 GXW458362:GXW458363 HHS458362:HHS458363 HRO458362:HRO458363 IBK458362:IBK458363 ILG458362:ILG458363 IVC458362:IVC458363 JEY458362:JEY458363 JOU458362:JOU458363 JYQ458362:JYQ458363 KIM458362:KIM458363 KSI458362:KSI458363 LCE458362:LCE458363 LMA458362:LMA458363 LVW458362:LVW458363 MFS458362:MFS458363 MPO458362:MPO458363 MZK458362:MZK458363 NJG458362:NJG458363 NTC458362:NTC458363 OCY458362:OCY458363 OMU458362:OMU458363 OWQ458362:OWQ458363 PGM458362:PGM458363 PQI458362:PQI458363 QAE458362:QAE458363 QKA458362:QKA458363 QTW458362:QTW458363 RDS458362:RDS458363 RNO458362:RNO458363 RXK458362:RXK458363 SHG458362:SHG458363 SRC458362:SRC458363 TAY458362:TAY458363 TKU458362:TKU458363 TUQ458362:TUQ458363 UEM458362:UEM458363 UOI458362:UOI458363 UYE458362:UYE458363 VIA458362:VIA458363 VRW458362:VRW458363 WBS458362:WBS458363 WLO458362:WLO458363 WVK458362:WVK458363 C523898:C523899 IY523898:IY523899 SU523898:SU523899 ACQ523898:ACQ523899 AMM523898:AMM523899 AWI523898:AWI523899 BGE523898:BGE523899 BQA523898:BQA523899 BZW523898:BZW523899 CJS523898:CJS523899 CTO523898:CTO523899 DDK523898:DDK523899 DNG523898:DNG523899 DXC523898:DXC523899 EGY523898:EGY523899 EQU523898:EQU523899 FAQ523898:FAQ523899 FKM523898:FKM523899 FUI523898:FUI523899 GEE523898:GEE523899 GOA523898:GOA523899 GXW523898:GXW523899 HHS523898:HHS523899 HRO523898:HRO523899 IBK523898:IBK523899 ILG523898:ILG523899 IVC523898:IVC523899 JEY523898:JEY523899 JOU523898:JOU523899 JYQ523898:JYQ523899 KIM523898:KIM523899 KSI523898:KSI523899 LCE523898:LCE523899 LMA523898:LMA523899 LVW523898:LVW523899 MFS523898:MFS523899 MPO523898:MPO523899 MZK523898:MZK523899 NJG523898:NJG523899 NTC523898:NTC523899 OCY523898:OCY523899 OMU523898:OMU523899 OWQ523898:OWQ523899 PGM523898:PGM523899 PQI523898:PQI523899 QAE523898:QAE523899 QKA523898:QKA523899 QTW523898:QTW523899 RDS523898:RDS523899 RNO523898:RNO523899 RXK523898:RXK523899 SHG523898:SHG523899 SRC523898:SRC523899 TAY523898:TAY523899 TKU523898:TKU523899 TUQ523898:TUQ523899 UEM523898:UEM523899 UOI523898:UOI523899 UYE523898:UYE523899 VIA523898:VIA523899 VRW523898:VRW523899 WBS523898:WBS523899 WLO523898:WLO523899 WVK523898:WVK523899 C589434:C589435 IY589434:IY589435 SU589434:SU589435 ACQ589434:ACQ589435 AMM589434:AMM589435 AWI589434:AWI589435 BGE589434:BGE589435 BQA589434:BQA589435 BZW589434:BZW589435 CJS589434:CJS589435 CTO589434:CTO589435 DDK589434:DDK589435 DNG589434:DNG589435 DXC589434:DXC589435 EGY589434:EGY589435 EQU589434:EQU589435 FAQ589434:FAQ589435 FKM589434:FKM589435 FUI589434:FUI589435 GEE589434:GEE589435 GOA589434:GOA589435 GXW589434:GXW589435 HHS589434:HHS589435 HRO589434:HRO589435 IBK589434:IBK589435 ILG589434:ILG589435 IVC589434:IVC589435 JEY589434:JEY589435 JOU589434:JOU589435 JYQ589434:JYQ589435 KIM589434:KIM589435 KSI589434:KSI589435 LCE589434:LCE589435 LMA589434:LMA589435 LVW589434:LVW589435 MFS589434:MFS589435 MPO589434:MPO589435 MZK589434:MZK589435 NJG589434:NJG589435 NTC589434:NTC589435 OCY589434:OCY589435 OMU589434:OMU589435 OWQ589434:OWQ589435 PGM589434:PGM589435 PQI589434:PQI589435 QAE589434:QAE589435 QKA589434:QKA589435 QTW589434:QTW589435 RDS589434:RDS589435 RNO589434:RNO589435 RXK589434:RXK589435 SHG589434:SHG589435 SRC589434:SRC589435 TAY589434:TAY589435 TKU589434:TKU589435 TUQ589434:TUQ589435 UEM589434:UEM589435 UOI589434:UOI589435 UYE589434:UYE589435 VIA589434:VIA589435 VRW589434:VRW589435 WBS589434:WBS589435 WLO589434:WLO589435 WVK589434:WVK589435 C654970:C654971 IY654970:IY654971 SU654970:SU654971 ACQ654970:ACQ654971 AMM654970:AMM654971 AWI654970:AWI654971 BGE654970:BGE654971 BQA654970:BQA654971 BZW654970:BZW654971 CJS654970:CJS654971 CTO654970:CTO654971 DDK654970:DDK654971 DNG654970:DNG654971 DXC654970:DXC654971 EGY654970:EGY654971 EQU654970:EQU654971 FAQ654970:FAQ654971 FKM654970:FKM654971 FUI654970:FUI654971 GEE654970:GEE654971 GOA654970:GOA654971 GXW654970:GXW654971 HHS654970:HHS654971 HRO654970:HRO654971 IBK654970:IBK654971 ILG654970:ILG654971 IVC654970:IVC654971 JEY654970:JEY654971 JOU654970:JOU654971 JYQ654970:JYQ654971 KIM654970:KIM654971 KSI654970:KSI654971 LCE654970:LCE654971 LMA654970:LMA654971 LVW654970:LVW654971 MFS654970:MFS654971 MPO654970:MPO654971 MZK654970:MZK654971 NJG654970:NJG654971 NTC654970:NTC654971 OCY654970:OCY654971 OMU654970:OMU654971 OWQ654970:OWQ654971 PGM654970:PGM654971 PQI654970:PQI654971 QAE654970:QAE654971 QKA654970:QKA654971 QTW654970:QTW654971 RDS654970:RDS654971 RNO654970:RNO654971 RXK654970:RXK654971 SHG654970:SHG654971 SRC654970:SRC654971 TAY654970:TAY654971 TKU654970:TKU654971 TUQ654970:TUQ654971 UEM654970:UEM654971 UOI654970:UOI654971 UYE654970:UYE654971 VIA654970:VIA654971 VRW654970:VRW654971 WBS654970:WBS654971 WLO654970:WLO654971 WVK654970:WVK654971 C720506:C720507 IY720506:IY720507 SU720506:SU720507 ACQ720506:ACQ720507 AMM720506:AMM720507 AWI720506:AWI720507 BGE720506:BGE720507 BQA720506:BQA720507 BZW720506:BZW720507 CJS720506:CJS720507 CTO720506:CTO720507 DDK720506:DDK720507 DNG720506:DNG720507 DXC720506:DXC720507 EGY720506:EGY720507 EQU720506:EQU720507 FAQ720506:FAQ720507 FKM720506:FKM720507 FUI720506:FUI720507 GEE720506:GEE720507 GOA720506:GOA720507 GXW720506:GXW720507 HHS720506:HHS720507 HRO720506:HRO720507 IBK720506:IBK720507 ILG720506:ILG720507 IVC720506:IVC720507 JEY720506:JEY720507 JOU720506:JOU720507 JYQ720506:JYQ720507 KIM720506:KIM720507 KSI720506:KSI720507 LCE720506:LCE720507 LMA720506:LMA720507 LVW720506:LVW720507 MFS720506:MFS720507 MPO720506:MPO720507 MZK720506:MZK720507 NJG720506:NJG720507 NTC720506:NTC720507 OCY720506:OCY720507 OMU720506:OMU720507 OWQ720506:OWQ720507 PGM720506:PGM720507 PQI720506:PQI720507 QAE720506:QAE720507 QKA720506:QKA720507 QTW720506:QTW720507 RDS720506:RDS720507 RNO720506:RNO720507 RXK720506:RXK720507 SHG720506:SHG720507 SRC720506:SRC720507 TAY720506:TAY720507 TKU720506:TKU720507 TUQ720506:TUQ720507 UEM720506:UEM720507 UOI720506:UOI720507 UYE720506:UYE720507 VIA720506:VIA720507 VRW720506:VRW720507 WBS720506:WBS720507 WLO720506:WLO720507 WVK720506:WVK720507 C786042:C786043 IY786042:IY786043 SU786042:SU786043 ACQ786042:ACQ786043 AMM786042:AMM786043 AWI786042:AWI786043 BGE786042:BGE786043 BQA786042:BQA786043 BZW786042:BZW786043 CJS786042:CJS786043 CTO786042:CTO786043 DDK786042:DDK786043 DNG786042:DNG786043 DXC786042:DXC786043 EGY786042:EGY786043 EQU786042:EQU786043 FAQ786042:FAQ786043 FKM786042:FKM786043 FUI786042:FUI786043 GEE786042:GEE786043 GOA786042:GOA786043 GXW786042:GXW786043 HHS786042:HHS786043 HRO786042:HRO786043 IBK786042:IBK786043 ILG786042:ILG786043 IVC786042:IVC786043 JEY786042:JEY786043 JOU786042:JOU786043 JYQ786042:JYQ786043 KIM786042:KIM786043 KSI786042:KSI786043 LCE786042:LCE786043 LMA786042:LMA786043 LVW786042:LVW786043 MFS786042:MFS786043 MPO786042:MPO786043 MZK786042:MZK786043 NJG786042:NJG786043 NTC786042:NTC786043 OCY786042:OCY786043 OMU786042:OMU786043 OWQ786042:OWQ786043 PGM786042:PGM786043 PQI786042:PQI786043 QAE786042:QAE786043 QKA786042:QKA786043 QTW786042:QTW786043 RDS786042:RDS786043 RNO786042:RNO786043 RXK786042:RXK786043 SHG786042:SHG786043 SRC786042:SRC786043 TAY786042:TAY786043 TKU786042:TKU786043 TUQ786042:TUQ786043 UEM786042:UEM786043 UOI786042:UOI786043 UYE786042:UYE786043 VIA786042:VIA786043 VRW786042:VRW786043 WBS786042:WBS786043 WLO786042:WLO786043 WVK786042:WVK786043 C851578:C851579 IY851578:IY851579 SU851578:SU851579 ACQ851578:ACQ851579 AMM851578:AMM851579 AWI851578:AWI851579 BGE851578:BGE851579 BQA851578:BQA851579 BZW851578:BZW851579 CJS851578:CJS851579 CTO851578:CTO851579 DDK851578:DDK851579 DNG851578:DNG851579 DXC851578:DXC851579 EGY851578:EGY851579 EQU851578:EQU851579 FAQ851578:FAQ851579 FKM851578:FKM851579 FUI851578:FUI851579 GEE851578:GEE851579 GOA851578:GOA851579 GXW851578:GXW851579 HHS851578:HHS851579 HRO851578:HRO851579 IBK851578:IBK851579 ILG851578:ILG851579 IVC851578:IVC851579 JEY851578:JEY851579 JOU851578:JOU851579 JYQ851578:JYQ851579 KIM851578:KIM851579 KSI851578:KSI851579 LCE851578:LCE851579 LMA851578:LMA851579 LVW851578:LVW851579 MFS851578:MFS851579 MPO851578:MPO851579 MZK851578:MZK851579 NJG851578:NJG851579 NTC851578:NTC851579 OCY851578:OCY851579 OMU851578:OMU851579 OWQ851578:OWQ851579 PGM851578:PGM851579 PQI851578:PQI851579 QAE851578:QAE851579 QKA851578:QKA851579 QTW851578:QTW851579 RDS851578:RDS851579 RNO851578:RNO851579 RXK851578:RXK851579 SHG851578:SHG851579 SRC851578:SRC851579 TAY851578:TAY851579 TKU851578:TKU851579 TUQ851578:TUQ851579 UEM851578:UEM851579 UOI851578:UOI851579 UYE851578:UYE851579 VIA851578:VIA851579 VRW851578:VRW851579 WBS851578:WBS851579 WLO851578:WLO851579 WVK851578:WVK851579 C917114:C917115 IY917114:IY917115 SU917114:SU917115 ACQ917114:ACQ917115 AMM917114:AMM917115 AWI917114:AWI917115 BGE917114:BGE917115 BQA917114:BQA917115 BZW917114:BZW917115 CJS917114:CJS917115 CTO917114:CTO917115 DDK917114:DDK917115 DNG917114:DNG917115 DXC917114:DXC917115 EGY917114:EGY917115 EQU917114:EQU917115 FAQ917114:FAQ917115 FKM917114:FKM917115 FUI917114:FUI917115 GEE917114:GEE917115 GOA917114:GOA917115 GXW917114:GXW917115 HHS917114:HHS917115 HRO917114:HRO917115 IBK917114:IBK917115 ILG917114:ILG917115 IVC917114:IVC917115 JEY917114:JEY917115 JOU917114:JOU917115 JYQ917114:JYQ917115 KIM917114:KIM917115 KSI917114:KSI917115 LCE917114:LCE917115 LMA917114:LMA917115 LVW917114:LVW917115 MFS917114:MFS917115 MPO917114:MPO917115 MZK917114:MZK917115 NJG917114:NJG917115 NTC917114:NTC917115 OCY917114:OCY917115 OMU917114:OMU917115 OWQ917114:OWQ917115 PGM917114:PGM917115 PQI917114:PQI917115 QAE917114:QAE917115 QKA917114:QKA917115 QTW917114:QTW917115 RDS917114:RDS917115 RNO917114:RNO917115 RXK917114:RXK917115 SHG917114:SHG917115 SRC917114:SRC917115 TAY917114:TAY917115 TKU917114:TKU917115 TUQ917114:TUQ917115 UEM917114:UEM917115 UOI917114:UOI917115 UYE917114:UYE917115 VIA917114:VIA917115 VRW917114:VRW917115 WBS917114:WBS917115 WLO917114:WLO917115 WVK917114:WVK917115 WVK3:WVK290 IY3:IY290 SU3:SU290 ACQ3:ACQ290 AMM3:AMM290 AWI3:AWI290 BGE3:BGE290 BQA3:BQA290 BZW3:BZW290 CJS3:CJS290 CTO3:CTO290 DDK3:DDK290 DNG3:DNG290 DXC3:DXC290 EGY3:EGY290 EQU3:EQU290 FAQ3:FAQ290 FKM3:FKM290 FUI3:FUI290 GEE3:GEE290 GOA3:GOA290 GXW3:GXW290 HHS3:HHS290 HRO3:HRO290 IBK3:IBK290 ILG3:ILG290 IVC3:IVC290 JEY3:JEY290 JOU3:JOU290 JYQ3:JYQ290 KIM3:KIM290 KSI3:KSI290 LCE3:LCE290 LMA3:LMA290 LVW3:LVW290 MFS3:MFS290 MPO3:MPO290 MZK3:MZK290 NJG3:NJG290 NTC3:NTC290 OCY3:OCY290 OMU3:OMU290 OWQ3:OWQ290 PGM3:PGM290 PQI3:PQI290 QAE3:QAE290 QKA3:QKA290 QTW3:QTW290 RDS3:RDS290 RNO3:RNO290 RXK3:RXK290 SHG3:SHG290 SRC3:SRC290 TAY3:TAY290 TKU3:TKU290 TUQ3:TUQ290 UEM3:UEM290 UOI3:UOI290 UYE3:UYE290 VIA3:VIA290 VRW3:VRW290 WBS3:WBS290 WLO3:WLO290 C3:C289" xr:uid="{00000000-0002-0000-0900-00000F000000}"/>
    <dataValidation allowBlank="1" showInputMessage="1" showErrorMessage="1" promptTitle="Vendor SKU" prompt="This is a unique identifier defined by you the supplier for your product." sqref="B982650:B982651 IX982650:IX982651 ST982650:ST982651 ACP982650:ACP982651 AML982650:AML982651 AWH982650:AWH982651 BGD982650:BGD982651 BPZ982650:BPZ982651 BZV982650:BZV982651 CJR982650:CJR982651 CTN982650:CTN982651 DDJ982650:DDJ982651 DNF982650:DNF982651 DXB982650:DXB982651 EGX982650:EGX982651 EQT982650:EQT982651 FAP982650:FAP982651 FKL982650:FKL982651 FUH982650:FUH982651 GED982650:GED982651 GNZ982650:GNZ982651 GXV982650:GXV982651 HHR982650:HHR982651 HRN982650:HRN982651 IBJ982650:IBJ982651 ILF982650:ILF982651 IVB982650:IVB982651 JEX982650:JEX982651 JOT982650:JOT982651 JYP982650:JYP982651 KIL982650:KIL982651 KSH982650:KSH982651 LCD982650:LCD982651 LLZ982650:LLZ982651 LVV982650:LVV982651 MFR982650:MFR982651 MPN982650:MPN982651 MZJ982650:MZJ982651 NJF982650:NJF982651 NTB982650:NTB982651 OCX982650:OCX982651 OMT982650:OMT982651 OWP982650:OWP982651 PGL982650:PGL982651 PQH982650:PQH982651 QAD982650:QAD982651 QJZ982650:QJZ982651 QTV982650:QTV982651 RDR982650:RDR982651 RNN982650:RNN982651 RXJ982650:RXJ982651 SHF982650:SHF982651 SRB982650:SRB982651 TAX982650:TAX982651 TKT982650:TKT982651 TUP982650:TUP982651 UEL982650:UEL982651 UOH982650:UOH982651 UYD982650:UYD982651 VHZ982650:VHZ982651 VRV982650:VRV982651 WBR982650:WBR982651 WLN982650:WLN982651 WVJ982650:WVJ982651 B65146:B65147 IX65146:IX65147 ST65146:ST65147 ACP65146:ACP65147 AML65146:AML65147 AWH65146:AWH65147 BGD65146:BGD65147 BPZ65146:BPZ65147 BZV65146:BZV65147 CJR65146:CJR65147 CTN65146:CTN65147 DDJ65146:DDJ65147 DNF65146:DNF65147 DXB65146:DXB65147 EGX65146:EGX65147 EQT65146:EQT65147 FAP65146:FAP65147 FKL65146:FKL65147 FUH65146:FUH65147 GED65146:GED65147 GNZ65146:GNZ65147 GXV65146:GXV65147 HHR65146:HHR65147 HRN65146:HRN65147 IBJ65146:IBJ65147 ILF65146:ILF65147 IVB65146:IVB65147 JEX65146:JEX65147 JOT65146:JOT65147 JYP65146:JYP65147 KIL65146:KIL65147 KSH65146:KSH65147 LCD65146:LCD65147 LLZ65146:LLZ65147 LVV65146:LVV65147 MFR65146:MFR65147 MPN65146:MPN65147 MZJ65146:MZJ65147 NJF65146:NJF65147 NTB65146:NTB65147 OCX65146:OCX65147 OMT65146:OMT65147 OWP65146:OWP65147 PGL65146:PGL65147 PQH65146:PQH65147 QAD65146:QAD65147 QJZ65146:QJZ65147 QTV65146:QTV65147 RDR65146:RDR65147 RNN65146:RNN65147 RXJ65146:RXJ65147 SHF65146:SHF65147 SRB65146:SRB65147 TAX65146:TAX65147 TKT65146:TKT65147 TUP65146:TUP65147 UEL65146:UEL65147 UOH65146:UOH65147 UYD65146:UYD65147 VHZ65146:VHZ65147 VRV65146:VRV65147 WBR65146:WBR65147 WLN65146:WLN65147 WVJ65146:WVJ65147 B130682:B130683 IX130682:IX130683 ST130682:ST130683 ACP130682:ACP130683 AML130682:AML130683 AWH130682:AWH130683 BGD130682:BGD130683 BPZ130682:BPZ130683 BZV130682:BZV130683 CJR130682:CJR130683 CTN130682:CTN130683 DDJ130682:DDJ130683 DNF130682:DNF130683 DXB130682:DXB130683 EGX130682:EGX130683 EQT130682:EQT130683 FAP130682:FAP130683 FKL130682:FKL130683 FUH130682:FUH130683 GED130682:GED130683 GNZ130682:GNZ130683 GXV130682:GXV130683 HHR130682:HHR130683 HRN130682:HRN130683 IBJ130682:IBJ130683 ILF130682:ILF130683 IVB130682:IVB130683 JEX130682:JEX130683 JOT130682:JOT130683 JYP130682:JYP130683 KIL130682:KIL130683 KSH130682:KSH130683 LCD130682:LCD130683 LLZ130682:LLZ130683 LVV130682:LVV130683 MFR130682:MFR130683 MPN130682:MPN130683 MZJ130682:MZJ130683 NJF130682:NJF130683 NTB130682:NTB130683 OCX130682:OCX130683 OMT130682:OMT130683 OWP130682:OWP130683 PGL130682:PGL130683 PQH130682:PQH130683 QAD130682:QAD130683 QJZ130682:QJZ130683 QTV130682:QTV130683 RDR130682:RDR130683 RNN130682:RNN130683 RXJ130682:RXJ130683 SHF130682:SHF130683 SRB130682:SRB130683 TAX130682:TAX130683 TKT130682:TKT130683 TUP130682:TUP130683 UEL130682:UEL130683 UOH130682:UOH130683 UYD130682:UYD130683 VHZ130682:VHZ130683 VRV130682:VRV130683 WBR130682:WBR130683 WLN130682:WLN130683 WVJ130682:WVJ130683 B196218:B196219 IX196218:IX196219 ST196218:ST196219 ACP196218:ACP196219 AML196218:AML196219 AWH196218:AWH196219 BGD196218:BGD196219 BPZ196218:BPZ196219 BZV196218:BZV196219 CJR196218:CJR196219 CTN196218:CTN196219 DDJ196218:DDJ196219 DNF196218:DNF196219 DXB196218:DXB196219 EGX196218:EGX196219 EQT196218:EQT196219 FAP196218:FAP196219 FKL196218:FKL196219 FUH196218:FUH196219 GED196218:GED196219 GNZ196218:GNZ196219 GXV196218:GXV196219 HHR196218:HHR196219 HRN196218:HRN196219 IBJ196218:IBJ196219 ILF196218:ILF196219 IVB196218:IVB196219 JEX196218:JEX196219 JOT196218:JOT196219 JYP196218:JYP196219 KIL196218:KIL196219 KSH196218:KSH196219 LCD196218:LCD196219 LLZ196218:LLZ196219 LVV196218:LVV196219 MFR196218:MFR196219 MPN196218:MPN196219 MZJ196218:MZJ196219 NJF196218:NJF196219 NTB196218:NTB196219 OCX196218:OCX196219 OMT196218:OMT196219 OWP196218:OWP196219 PGL196218:PGL196219 PQH196218:PQH196219 QAD196218:QAD196219 QJZ196218:QJZ196219 QTV196218:QTV196219 RDR196218:RDR196219 RNN196218:RNN196219 RXJ196218:RXJ196219 SHF196218:SHF196219 SRB196218:SRB196219 TAX196218:TAX196219 TKT196218:TKT196219 TUP196218:TUP196219 UEL196218:UEL196219 UOH196218:UOH196219 UYD196218:UYD196219 VHZ196218:VHZ196219 VRV196218:VRV196219 WBR196218:WBR196219 WLN196218:WLN196219 WVJ196218:WVJ196219 B261754:B261755 IX261754:IX261755 ST261754:ST261755 ACP261754:ACP261755 AML261754:AML261755 AWH261754:AWH261755 BGD261754:BGD261755 BPZ261754:BPZ261755 BZV261754:BZV261755 CJR261754:CJR261755 CTN261754:CTN261755 DDJ261754:DDJ261755 DNF261754:DNF261755 DXB261754:DXB261755 EGX261754:EGX261755 EQT261754:EQT261755 FAP261754:FAP261755 FKL261754:FKL261755 FUH261754:FUH261755 GED261754:GED261755 GNZ261754:GNZ261755 GXV261754:GXV261755 HHR261754:HHR261755 HRN261754:HRN261755 IBJ261754:IBJ261755 ILF261754:ILF261755 IVB261754:IVB261755 JEX261754:JEX261755 JOT261754:JOT261755 JYP261754:JYP261755 KIL261754:KIL261755 KSH261754:KSH261755 LCD261754:LCD261755 LLZ261754:LLZ261755 LVV261754:LVV261755 MFR261754:MFR261755 MPN261754:MPN261755 MZJ261754:MZJ261755 NJF261754:NJF261755 NTB261754:NTB261755 OCX261754:OCX261755 OMT261754:OMT261755 OWP261754:OWP261755 PGL261754:PGL261755 PQH261754:PQH261755 QAD261754:QAD261755 QJZ261754:QJZ261755 QTV261754:QTV261755 RDR261754:RDR261755 RNN261754:RNN261755 RXJ261754:RXJ261755 SHF261754:SHF261755 SRB261754:SRB261755 TAX261754:TAX261755 TKT261754:TKT261755 TUP261754:TUP261755 UEL261754:UEL261755 UOH261754:UOH261755 UYD261754:UYD261755 VHZ261754:VHZ261755 VRV261754:VRV261755 WBR261754:WBR261755 WLN261754:WLN261755 WVJ261754:WVJ261755 B327290:B327291 IX327290:IX327291 ST327290:ST327291 ACP327290:ACP327291 AML327290:AML327291 AWH327290:AWH327291 BGD327290:BGD327291 BPZ327290:BPZ327291 BZV327290:BZV327291 CJR327290:CJR327291 CTN327290:CTN327291 DDJ327290:DDJ327291 DNF327290:DNF327291 DXB327290:DXB327291 EGX327290:EGX327291 EQT327290:EQT327291 FAP327290:FAP327291 FKL327290:FKL327291 FUH327290:FUH327291 GED327290:GED327291 GNZ327290:GNZ327291 GXV327290:GXV327291 HHR327290:HHR327291 HRN327290:HRN327291 IBJ327290:IBJ327291 ILF327290:ILF327291 IVB327290:IVB327291 JEX327290:JEX327291 JOT327290:JOT327291 JYP327290:JYP327291 KIL327290:KIL327291 KSH327290:KSH327291 LCD327290:LCD327291 LLZ327290:LLZ327291 LVV327290:LVV327291 MFR327290:MFR327291 MPN327290:MPN327291 MZJ327290:MZJ327291 NJF327290:NJF327291 NTB327290:NTB327291 OCX327290:OCX327291 OMT327290:OMT327291 OWP327290:OWP327291 PGL327290:PGL327291 PQH327290:PQH327291 QAD327290:QAD327291 QJZ327290:QJZ327291 QTV327290:QTV327291 RDR327290:RDR327291 RNN327290:RNN327291 RXJ327290:RXJ327291 SHF327290:SHF327291 SRB327290:SRB327291 TAX327290:TAX327291 TKT327290:TKT327291 TUP327290:TUP327291 UEL327290:UEL327291 UOH327290:UOH327291 UYD327290:UYD327291 VHZ327290:VHZ327291 VRV327290:VRV327291 WBR327290:WBR327291 WLN327290:WLN327291 WVJ327290:WVJ327291 B392826:B392827 IX392826:IX392827 ST392826:ST392827 ACP392826:ACP392827 AML392826:AML392827 AWH392826:AWH392827 BGD392826:BGD392827 BPZ392826:BPZ392827 BZV392826:BZV392827 CJR392826:CJR392827 CTN392826:CTN392827 DDJ392826:DDJ392827 DNF392826:DNF392827 DXB392826:DXB392827 EGX392826:EGX392827 EQT392826:EQT392827 FAP392826:FAP392827 FKL392826:FKL392827 FUH392826:FUH392827 GED392826:GED392827 GNZ392826:GNZ392827 GXV392826:GXV392827 HHR392826:HHR392827 HRN392826:HRN392827 IBJ392826:IBJ392827 ILF392826:ILF392827 IVB392826:IVB392827 JEX392826:JEX392827 JOT392826:JOT392827 JYP392826:JYP392827 KIL392826:KIL392827 KSH392826:KSH392827 LCD392826:LCD392827 LLZ392826:LLZ392827 LVV392826:LVV392827 MFR392826:MFR392827 MPN392826:MPN392827 MZJ392826:MZJ392827 NJF392826:NJF392827 NTB392826:NTB392827 OCX392826:OCX392827 OMT392826:OMT392827 OWP392826:OWP392827 PGL392826:PGL392827 PQH392826:PQH392827 QAD392826:QAD392827 QJZ392826:QJZ392827 QTV392826:QTV392827 RDR392826:RDR392827 RNN392826:RNN392827 RXJ392826:RXJ392827 SHF392826:SHF392827 SRB392826:SRB392827 TAX392826:TAX392827 TKT392826:TKT392827 TUP392826:TUP392827 UEL392826:UEL392827 UOH392826:UOH392827 UYD392826:UYD392827 VHZ392826:VHZ392827 VRV392826:VRV392827 WBR392826:WBR392827 WLN392826:WLN392827 WVJ392826:WVJ392827 B458362:B458363 IX458362:IX458363 ST458362:ST458363 ACP458362:ACP458363 AML458362:AML458363 AWH458362:AWH458363 BGD458362:BGD458363 BPZ458362:BPZ458363 BZV458362:BZV458363 CJR458362:CJR458363 CTN458362:CTN458363 DDJ458362:DDJ458363 DNF458362:DNF458363 DXB458362:DXB458363 EGX458362:EGX458363 EQT458362:EQT458363 FAP458362:FAP458363 FKL458362:FKL458363 FUH458362:FUH458363 GED458362:GED458363 GNZ458362:GNZ458363 GXV458362:GXV458363 HHR458362:HHR458363 HRN458362:HRN458363 IBJ458362:IBJ458363 ILF458362:ILF458363 IVB458362:IVB458363 JEX458362:JEX458363 JOT458362:JOT458363 JYP458362:JYP458363 KIL458362:KIL458363 KSH458362:KSH458363 LCD458362:LCD458363 LLZ458362:LLZ458363 LVV458362:LVV458363 MFR458362:MFR458363 MPN458362:MPN458363 MZJ458362:MZJ458363 NJF458362:NJF458363 NTB458362:NTB458363 OCX458362:OCX458363 OMT458362:OMT458363 OWP458362:OWP458363 PGL458362:PGL458363 PQH458362:PQH458363 QAD458362:QAD458363 QJZ458362:QJZ458363 QTV458362:QTV458363 RDR458362:RDR458363 RNN458362:RNN458363 RXJ458362:RXJ458363 SHF458362:SHF458363 SRB458362:SRB458363 TAX458362:TAX458363 TKT458362:TKT458363 TUP458362:TUP458363 UEL458362:UEL458363 UOH458362:UOH458363 UYD458362:UYD458363 VHZ458362:VHZ458363 VRV458362:VRV458363 WBR458362:WBR458363 WLN458362:WLN458363 WVJ458362:WVJ458363 B523898:B523899 IX523898:IX523899 ST523898:ST523899 ACP523898:ACP523899 AML523898:AML523899 AWH523898:AWH523899 BGD523898:BGD523899 BPZ523898:BPZ523899 BZV523898:BZV523899 CJR523898:CJR523899 CTN523898:CTN523899 DDJ523898:DDJ523899 DNF523898:DNF523899 DXB523898:DXB523899 EGX523898:EGX523899 EQT523898:EQT523899 FAP523898:FAP523899 FKL523898:FKL523899 FUH523898:FUH523899 GED523898:GED523899 GNZ523898:GNZ523899 GXV523898:GXV523899 HHR523898:HHR523899 HRN523898:HRN523899 IBJ523898:IBJ523899 ILF523898:ILF523899 IVB523898:IVB523899 JEX523898:JEX523899 JOT523898:JOT523899 JYP523898:JYP523899 KIL523898:KIL523899 KSH523898:KSH523899 LCD523898:LCD523899 LLZ523898:LLZ523899 LVV523898:LVV523899 MFR523898:MFR523899 MPN523898:MPN523899 MZJ523898:MZJ523899 NJF523898:NJF523899 NTB523898:NTB523899 OCX523898:OCX523899 OMT523898:OMT523899 OWP523898:OWP523899 PGL523898:PGL523899 PQH523898:PQH523899 QAD523898:QAD523899 QJZ523898:QJZ523899 QTV523898:QTV523899 RDR523898:RDR523899 RNN523898:RNN523899 RXJ523898:RXJ523899 SHF523898:SHF523899 SRB523898:SRB523899 TAX523898:TAX523899 TKT523898:TKT523899 TUP523898:TUP523899 UEL523898:UEL523899 UOH523898:UOH523899 UYD523898:UYD523899 VHZ523898:VHZ523899 VRV523898:VRV523899 WBR523898:WBR523899 WLN523898:WLN523899 WVJ523898:WVJ523899 B589434:B589435 IX589434:IX589435 ST589434:ST589435 ACP589434:ACP589435 AML589434:AML589435 AWH589434:AWH589435 BGD589434:BGD589435 BPZ589434:BPZ589435 BZV589434:BZV589435 CJR589434:CJR589435 CTN589434:CTN589435 DDJ589434:DDJ589435 DNF589434:DNF589435 DXB589434:DXB589435 EGX589434:EGX589435 EQT589434:EQT589435 FAP589434:FAP589435 FKL589434:FKL589435 FUH589434:FUH589435 GED589434:GED589435 GNZ589434:GNZ589435 GXV589434:GXV589435 HHR589434:HHR589435 HRN589434:HRN589435 IBJ589434:IBJ589435 ILF589434:ILF589435 IVB589434:IVB589435 JEX589434:JEX589435 JOT589434:JOT589435 JYP589434:JYP589435 KIL589434:KIL589435 KSH589434:KSH589435 LCD589434:LCD589435 LLZ589434:LLZ589435 LVV589434:LVV589435 MFR589434:MFR589435 MPN589434:MPN589435 MZJ589434:MZJ589435 NJF589434:NJF589435 NTB589434:NTB589435 OCX589434:OCX589435 OMT589434:OMT589435 OWP589434:OWP589435 PGL589434:PGL589435 PQH589434:PQH589435 QAD589434:QAD589435 QJZ589434:QJZ589435 QTV589434:QTV589435 RDR589434:RDR589435 RNN589434:RNN589435 RXJ589434:RXJ589435 SHF589434:SHF589435 SRB589434:SRB589435 TAX589434:TAX589435 TKT589434:TKT589435 TUP589434:TUP589435 UEL589434:UEL589435 UOH589434:UOH589435 UYD589434:UYD589435 VHZ589434:VHZ589435 VRV589434:VRV589435 WBR589434:WBR589435 WLN589434:WLN589435 WVJ589434:WVJ589435 B654970:B654971 IX654970:IX654971 ST654970:ST654971 ACP654970:ACP654971 AML654970:AML654971 AWH654970:AWH654971 BGD654970:BGD654971 BPZ654970:BPZ654971 BZV654970:BZV654971 CJR654970:CJR654971 CTN654970:CTN654971 DDJ654970:DDJ654971 DNF654970:DNF654971 DXB654970:DXB654971 EGX654970:EGX654971 EQT654970:EQT654971 FAP654970:FAP654971 FKL654970:FKL654971 FUH654970:FUH654971 GED654970:GED654971 GNZ654970:GNZ654971 GXV654970:GXV654971 HHR654970:HHR654971 HRN654970:HRN654971 IBJ654970:IBJ654971 ILF654970:ILF654971 IVB654970:IVB654971 JEX654970:JEX654971 JOT654970:JOT654971 JYP654970:JYP654971 KIL654970:KIL654971 KSH654970:KSH654971 LCD654970:LCD654971 LLZ654970:LLZ654971 LVV654970:LVV654971 MFR654970:MFR654971 MPN654970:MPN654971 MZJ654970:MZJ654971 NJF654970:NJF654971 NTB654970:NTB654971 OCX654970:OCX654971 OMT654970:OMT654971 OWP654970:OWP654971 PGL654970:PGL654971 PQH654970:PQH654971 QAD654970:QAD654971 QJZ654970:QJZ654971 QTV654970:QTV654971 RDR654970:RDR654971 RNN654970:RNN654971 RXJ654970:RXJ654971 SHF654970:SHF654971 SRB654970:SRB654971 TAX654970:TAX654971 TKT654970:TKT654971 TUP654970:TUP654971 UEL654970:UEL654971 UOH654970:UOH654971 UYD654970:UYD654971 VHZ654970:VHZ654971 VRV654970:VRV654971 WBR654970:WBR654971 WLN654970:WLN654971 WVJ654970:WVJ654971 B720506:B720507 IX720506:IX720507 ST720506:ST720507 ACP720506:ACP720507 AML720506:AML720507 AWH720506:AWH720507 BGD720506:BGD720507 BPZ720506:BPZ720507 BZV720506:BZV720507 CJR720506:CJR720507 CTN720506:CTN720507 DDJ720506:DDJ720507 DNF720506:DNF720507 DXB720506:DXB720507 EGX720506:EGX720507 EQT720506:EQT720507 FAP720506:FAP720507 FKL720506:FKL720507 FUH720506:FUH720507 GED720506:GED720507 GNZ720506:GNZ720507 GXV720506:GXV720507 HHR720506:HHR720507 HRN720506:HRN720507 IBJ720506:IBJ720507 ILF720506:ILF720507 IVB720506:IVB720507 JEX720506:JEX720507 JOT720506:JOT720507 JYP720506:JYP720507 KIL720506:KIL720507 KSH720506:KSH720507 LCD720506:LCD720507 LLZ720506:LLZ720507 LVV720506:LVV720507 MFR720506:MFR720507 MPN720506:MPN720507 MZJ720506:MZJ720507 NJF720506:NJF720507 NTB720506:NTB720507 OCX720506:OCX720507 OMT720506:OMT720507 OWP720506:OWP720507 PGL720506:PGL720507 PQH720506:PQH720507 QAD720506:QAD720507 QJZ720506:QJZ720507 QTV720506:QTV720507 RDR720506:RDR720507 RNN720506:RNN720507 RXJ720506:RXJ720507 SHF720506:SHF720507 SRB720506:SRB720507 TAX720506:TAX720507 TKT720506:TKT720507 TUP720506:TUP720507 UEL720506:UEL720507 UOH720506:UOH720507 UYD720506:UYD720507 VHZ720506:VHZ720507 VRV720506:VRV720507 WBR720506:WBR720507 WLN720506:WLN720507 WVJ720506:WVJ720507 B786042:B786043 IX786042:IX786043 ST786042:ST786043 ACP786042:ACP786043 AML786042:AML786043 AWH786042:AWH786043 BGD786042:BGD786043 BPZ786042:BPZ786043 BZV786042:BZV786043 CJR786042:CJR786043 CTN786042:CTN786043 DDJ786042:DDJ786043 DNF786042:DNF786043 DXB786042:DXB786043 EGX786042:EGX786043 EQT786042:EQT786043 FAP786042:FAP786043 FKL786042:FKL786043 FUH786042:FUH786043 GED786042:GED786043 GNZ786042:GNZ786043 GXV786042:GXV786043 HHR786042:HHR786043 HRN786042:HRN786043 IBJ786042:IBJ786043 ILF786042:ILF786043 IVB786042:IVB786043 JEX786042:JEX786043 JOT786042:JOT786043 JYP786042:JYP786043 KIL786042:KIL786043 KSH786042:KSH786043 LCD786042:LCD786043 LLZ786042:LLZ786043 LVV786042:LVV786043 MFR786042:MFR786043 MPN786042:MPN786043 MZJ786042:MZJ786043 NJF786042:NJF786043 NTB786042:NTB786043 OCX786042:OCX786043 OMT786042:OMT786043 OWP786042:OWP786043 PGL786042:PGL786043 PQH786042:PQH786043 QAD786042:QAD786043 QJZ786042:QJZ786043 QTV786042:QTV786043 RDR786042:RDR786043 RNN786042:RNN786043 RXJ786042:RXJ786043 SHF786042:SHF786043 SRB786042:SRB786043 TAX786042:TAX786043 TKT786042:TKT786043 TUP786042:TUP786043 UEL786042:UEL786043 UOH786042:UOH786043 UYD786042:UYD786043 VHZ786042:VHZ786043 VRV786042:VRV786043 WBR786042:WBR786043 WLN786042:WLN786043 WVJ786042:WVJ786043 B851578:B851579 IX851578:IX851579 ST851578:ST851579 ACP851578:ACP851579 AML851578:AML851579 AWH851578:AWH851579 BGD851578:BGD851579 BPZ851578:BPZ851579 BZV851578:BZV851579 CJR851578:CJR851579 CTN851578:CTN851579 DDJ851578:DDJ851579 DNF851578:DNF851579 DXB851578:DXB851579 EGX851578:EGX851579 EQT851578:EQT851579 FAP851578:FAP851579 FKL851578:FKL851579 FUH851578:FUH851579 GED851578:GED851579 GNZ851578:GNZ851579 GXV851578:GXV851579 HHR851578:HHR851579 HRN851578:HRN851579 IBJ851578:IBJ851579 ILF851578:ILF851579 IVB851578:IVB851579 JEX851578:JEX851579 JOT851578:JOT851579 JYP851578:JYP851579 KIL851578:KIL851579 KSH851578:KSH851579 LCD851578:LCD851579 LLZ851578:LLZ851579 LVV851578:LVV851579 MFR851578:MFR851579 MPN851578:MPN851579 MZJ851578:MZJ851579 NJF851578:NJF851579 NTB851578:NTB851579 OCX851578:OCX851579 OMT851578:OMT851579 OWP851578:OWP851579 PGL851578:PGL851579 PQH851578:PQH851579 QAD851578:QAD851579 QJZ851578:QJZ851579 QTV851578:QTV851579 RDR851578:RDR851579 RNN851578:RNN851579 RXJ851578:RXJ851579 SHF851578:SHF851579 SRB851578:SRB851579 TAX851578:TAX851579 TKT851578:TKT851579 TUP851578:TUP851579 UEL851578:UEL851579 UOH851578:UOH851579 UYD851578:UYD851579 VHZ851578:VHZ851579 VRV851578:VRV851579 WBR851578:WBR851579 WLN851578:WLN851579 WVJ851578:WVJ851579 B917114:B917115 IX917114:IX917115 ST917114:ST917115 ACP917114:ACP917115 AML917114:AML917115 AWH917114:AWH917115 BGD917114:BGD917115 BPZ917114:BPZ917115 BZV917114:BZV917115 CJR917114:CJR917115 CTN917114:CTN917115 DDJ917114:DDJ917115 DNF917114:DNF917115 DXB917114:DXB917115 EGX917114:EGX917115 EQT917114:EQT917115 FAP917114:FAP917115 FKL917114:FKL917115 FUH917114:FUH917115 GED917114:GED917115 GNZ917114:GNZ917115 GXV917114:GXV917115 HHR917114:HHR917115 HRN917114:HRN917115 IBJ917114:IBJ917115 ILF917114:ILF917115 IVB917114:IVB917115 JEX917114:JEX917115 JOT917114:JOT917115 JYP917114:JYP917115 KIL917114:KIL917115 KSH917114:KSH917115 LCD917114:LCD917115 LLZ917114:LLZ917115 LVV917114:LVV917115 MFR917114:MFR917115 MPN917114:MPN917115 MZJ917114:MZJ917115 NJF917114:NJF917115 NTB917114:NTB917115 OCX917114:OCX917115 OMT917114:OMT917115 OWP917114:OWP917115 PGL917114:PGL917115 PQH917114:PQH917115 QAD917114:QAD917115 QJZ917114:QJZ917115 QTV917114:QTV917115 RDR917114:RDR917115 RNN917114:RNN917115 RXJ917114:RXJ917115 SHF917114:SHF917115 SRB917114:SRB917115 TAX917114:TAX917115 TKT917114:TKT917115 TUP917114:TUP917115 UEL917114:UEL917115 UOH917114:UOH917115 UYD917114:UYD917115 VHZ917114:VHZ917115 VRV917114:VRV917115 WBR917114:WBR917115 WLN917114:WLN917115 WVJ917114:WVJ917115" xr:uid="{00000000-0002-0000-0900-000010000000}"/>
    <dataValidation allowBlank="1" showInputMessage="1" showErrorMessage="1" promptTitle="File Type" prompt="This is a hard coded value of 'IN' for each row." sqref="A982650:A982651 IW982650:IW982651 SS982650:SS982651 ACO982650:ACO982651 AMK982650:AMK982651 AWG982650:AWG982651 BGC982650:BGC982651 BPY982650:BPY982651 BZU982650:BZU982651 CJQ982650:CJQ982651 CTM982650:CTM982651 DDI982650:DDI982651 DNE982650:DNE982651 DXA982650:DXA982651 EGW982650:EGW982651 EQS982650:EQS982651 FAO982650:FAO982651 FKK982650:FKK982651 FUG982650:FUG982651 GEC982650:GEC982651 GNY982650:GNY982651 GXU982650:GXU982651 HHQ982650:HHQ982651 HRM982650:HRM982651 IBI982650:IBI982651 ILE982650:ILE982651 IVA982650:IVA982651 JEW982650:JEW982651 JOS982650:JOS982651 JYO982650:JYO982651 KIK982650:KIK982651 KSG982650:KSG982651 LCC982650:LCC982651 LLY982650:LLY982651 LVU982650:LVU982651 MFQ982650:MFQ982651 MPM982650:MPM982651 MZI982650:MZI982651 NJE982650:NJE982651 NTA982650:NTA982651 OCW982650:OCW982651 OMS982650:OMS982651 OWO982650:OWO982651 PGK982650:PGK982651 PQG982650:PQG982651 QAC982650:QAC982651 QJY982650:QJY982651 QTU982650:QTU982651 RDQ982650:RDQ982651 RNM982650:RNM982651 RXI982650:RXI982651 SHE982650:SHE982651 SRA982650:SRA982651 TAW982650:TAW982651 TKS982650:TKS982651 TUO982650:TUO982651 UEK982650:UEK982651 UOG982650:UOG982651 UYC982650:UYC982651 VHY982650:VHY982651 VRU982650:VRU982651 WBQ982650:WBQ982651 WLM982650:WLM982651 WVI982650:WVI982651 A65146:A65147 IW65146:IW65147 SS65146:SS65147 ACO65146:ACO65147 AMK65146:AMK65147 AWG65146:AWG65147 BGC65146:BGC65147 BPY65146:BPY65147 BZU65146:BZU65147 CJQ65146:CJQ65147 CTM65146:CTM65147 DDI65146:DDI65147 DNE65146:DNE65147 DXA65146:DXA65147 EGW65146:EGW65147 EQS65146:EQS65147 FAO65146:FAO65147 FKK65146:FKK65147 FUG65146:FUG65147 GEC65146:GEC65147 GNY65146:GNY65147 GXU65146:GXU65147 HHQ65146:HHQ65147 HRM65146:HRM65147 IBI65146:IBI65147 ILE65146:ILE65147 IVA65146:IVA65147 JEW65146:JEW65147 JOS65146:JOS65147 JYO65146:JYO65147 KIK65146:KIK65147 KSG65146:KSG65147 LCC65146:LCC65147 LLY65146:LLY65147 LVU65146:LVU65147 MFQ65146:MFQ65147 MPM65146:MPM65147 MZI65146:MZI65147 NJE65146:NJE65147 NTA65146:NTA65147 OCW65146:OCW65147 OMS65146:OMS65147 OWO65146:OWO65147 PGK65146:PGK65147 PQG65146:PQG65147 QAC65146:QAC65147 QJY65146:QJY65147 QTU65146:QTU65147 RDQ65146:RDQ65147 RNM65146:RNM65147 RXI65146:RXI65147 SHE65146:SHE65147 SRA65146:SRA65147 TAW65146:TAW65147 TKS65146:TKS65147 TUO65146:TUO65147 UEK65146:UEK65147 UOG65146:UOG65147 UYC65146:UYC65147 VHY65146:VHY65147 VRU65146:VRU65147 WBQ65146:WBQ65147 WLM65146:WLM65147 WVI65146:WVI65147 A130682:A130683 IW130682:IW130683 SS130682:SS130683 ACO130682:ACO130683 AMK130682:AMK130683 AWG130682:AWG130683 BGC130682:BGC130683 BPY130682:BPY130683 BZU130682:BZU130683 CJQ130682:CJQ130683 CTM130682:CTM130683 DDI130682:DDI130683 DNE130682:DNE130683 DXA130682:DXA130683 EGW130682:EGW130683 EQS130682:EQS130683 FAO130682:FAO130683 FKK130682:FKK130683 FUG130682:FUG130683 GEC130682:GEC130683 GNY130682:GNY130683 GXU130682:GXU130683 HHQ130682:HHQ130683 HRM130682:HRM130683 IBI130682:IBI130683 ILE130682:ILE130683 IVA130682:IVA130683 JEW130682:JEW130683 JOS130682:JOS130683 JYO130682:JYO130683 KIK130682:KIK130683 KSG130682:KSG130683 LCC130682:LCC130683 LLY130682:LLY130683 LVU130682:LVU130683 MFQ130682:MFQ130683 MPM130682:MPM130683 MZI130682:MZI130683 NJE130682:NJE130683 NTA130682:NTA130683 OCW130682:OCW130683 OMS130682:OMS130683 OWO130682:OWO130683 PGK130682:PGK130683 PQG130682:PQG130683 QAC130682:QAC130683 QJY130682:QJY130683 QTU130682:QTU130683 RDQ130682:RDQ130683 RNM130682:RNM130683 RXI130682:RXI130683 SHE130682:SHE130683 SRA130682:SRA130683 TAW130682:TAW130683 TKS130682:TKS130683 TUO130682:TUO130683 UEK130682:UEK130683 UOG130682:UOG130683 UYC130682:UYC130683 VHY130682:VHY130683 VRU130682:VRU130683 WBQ130682:WBQ130683 WLM130682:WLM130683 WVI130682:WVI130683 A196218:A196219 IW196218:IW196219 SS196218:SS196219 ACO196218:ACO196219 AMK196218:AMK196219 AWG196218:AWG196219 BGC196218:BGC196219 BPY196218:BPY196219 BZU196218:BZU196219 CJQ196218:CJQ196219 CTM196218:CTM196219 DDI196218:DDI196219 DNE196218:DNE196219 DXA196218:DXA196219 EGW196218:EGW196219 EQS196218:EQS196219 FAO196218:FAO196219 FKK196218:FKK196219 FUG196218:FUG196219 GEC196218:GEC196219 GNY196218:GNY196219 GXU196218:GXU196219 HHQ196218:HHQ196219 HRM196218:HRM196219 IBI196218:IBI196219 ILE196218:ILE196219 IVA196218:IVA196219 JEW196218:JEW196219 JOS196218:JOS196219 JYO196218:JYO196219 KIK196218:KIK196219 KSG196218:KSG196219 LCC196218:LCC196219 LLY196218:LLY196219 LVU196218:LVU196219 MFQ196218:MFQ196219 MPM196218:MPM196219 MZI196218:MZI196219 NJE196218:NJE196219 NTA196218:NTA196219 OCW196218:OCW196219 OMS196218:OMS196219 OWO196218:OWO196219 PGK196218:PGK196219 PQG196218:PQG196219 QAC196218:QAC196219 QJY196218:QJY196219 QTU196218:QTU196219 RDQ196218:RDQ196219 RNM196218:RNM196219 RXI196218:RXI196219 SHE196218:SHE196219 SRA196218:SRA196219 TAW196218:TAW196219 TKS196218:TKS196219 TUO196218:TUO196219 UEK196218:UEK196219 UOG196218:UOG196219 UYC196218:UYC196219 VHY196218:VHY196219 VRU196218:VRU196219 WBQ196218:WBQ196219 WLM196218:WLM196219 WVI196218:WVI196219 A261754:A261755 IW261754:IW261755 SS261754:SS261755 ACO261754:ACO261755 AMK261754:AMK261755 AWG261754:AWG261755 BGC261754:BGC261755 BPY261754:BPY261755 BZU261754:BZU261755 CJQ261754:CJQ261755 CTM261754:CTM261755 DDI261754:DDI261755 DNE261754:DNE261755 DXA261754:DXA261755 EGW261754:EGW261755 EQS261754:EQS261755 FAO261754:FAO261755 FKK261754:FKK261755 FUG261754:FUG261755 GEC261754:GEC261755 GNY261754:GNY261755 GXU261754:GXU261755 HHQ261754:HHQ261755 HRM261754:HRM261755 IBI261754:IBI261755 ILE261754:ILE261755 IVA261754:IVA261755 JEW261754:JEW261755 JOS261754:JOS261755 JYO261754:JYO261755 KIK261754:KIK261755 KSG261754:KSG261755 LCC261754:LCC261755 LLY261754:LLY261755 LVU261754:LVU261755 MFQ261754:MFQ261755 MPM261754:MPM261755 MZI261754:MZI261755 NJE261754:NJE261755 NTA261754:NTA261755 OCW261754:OCW261755 OMS261754:OMS261755 OWO261754:OWO261755 PGK261754:PGK261755 PQG261754:PQG261755 QAC261754:QAC261755 QJY261754:QJY261755 QTU261754:QTU261755 RDQ261754:RDQ261755 RNM261754:RNM261755 RXI261754:RXI261755 SHE261754:SHE261755 SRA261754:SRA261755 TAW261754:TAW261755 TKS261754:TKS261755 TUO261754:TUO261755 UEK261754:UEK261755 UOG261754:UOG261755 UYC261754:UYC261755 VHY261754:VHY261755 VRU261754:VRU261755 WBQ261754:WBQ261755 WLM261754:WLM261755 WVI261754:WVI261755 A327290:A327291 IW327290:IW327291 SS327290:SS327291 ACO327290:ACO327291 AMK327290:AMK327291 AWG327290:AWG327291 BGC327290:BGC327291 BPY327290:BPY327291 BZU327290:BZU327291 CJQ327290:CJQ327291 CTM327290:CTM327291 DDI327290:DDI327291 DNE327290:DNE327291 DXA327290:DXA327291 EGW327290:EGW327291 EQS327290:EQS327291 FAO327290:FAO327291 FKK327290:FKK327291 FUG327290:FUG327291 GEC327290:GEC327291 GNY327290:GNY327291 GXU327290:GXU327291 HHQ327290:HHQ327291 HRM327290:HRM327291 IBI327290:IBI327291 ILE327290:ILE327291 IVA327290:IVA327291 JEW327290:JEW327291 JOS327290:JOS327291 JYO327290:JYO327291 KIK327290:KIK327291 KSG327290:KSG327291 LCC327290:LCC327291 LLY327290:LLY327291 LVU327290:LVU327291 MFQ327290:MFQ327291 MPM327290:MPM327291 MZI327290:MZI327291 NJE327290:NJE327291 NTA327290:NTA327291 OCW327290:OCW327291 OMS327290:OMS327291 OWO327290:OWO327291 PGK327290:PGK327291 PQG327290:PQG327291 QAC327290:QAC327291 QJY327290:QJY327291 QTU327290:QTU327291 RDQ327290:RDQ327291 RNM327290:RNM327291 RXI327290:RXI327291 SHE327290:SHE327291 SRA327290:SRA327291 TAW327290:TAW327291 TKS327290:TKS327291 TUO327290:TUO327291 UEK327290:UEK327291 UOG327290:UOG327291 UYC327290:UYC327291 VHY327290:VHY327291 VRU327290:VRU327291 WBQ327290:WBQ327291 WLM327290:WLM327291 WVI327290:WVI327291 A392826:A392827 IW392826:IW392827 SS392826:SS392827 ACO392826:ACO392827 AMK392826:AMK392827 AWG392826:AWG392827 BGC392826:BGC392827 BPY392826:BPY392827 BZU392826:BZU392827 CJQ392826:CJQ392827 CTM392826:CTM392827 DDI392826:DDI392827 DNE392826:DNE392827 DXA392826:DXA392827 EGW392826:EGW392827 EQS392826:EQS392827 FAO392826:FAO392827 FKK392826:FKK392827 FUG392826:FUG392827 GEC392826:GEC392827 GNY392826:GNY392827 GXU392826:GXU392827 HHQ392826:HHQ392827 HRM392826:HRM392827 IBI392826:IBI392827 ILE392826:ILE392827 IVA392826:IVA392827 JEW392826:JEW392827 JOS392826:JOS392827 JYO392826:JYO392827 KIK392826:KIK392827 KSG392826:KSG392827 LCC392826:LCC392827 LLY392826:LLY392827 LVU392826:LVU392827 MFQ392826:MFQ392827 MPM392826:MPM392827 MZI392826:MZI392827 NJE392826:NJE392827 NTA392826:NTA392827 OCW392826:OCW392827 OMS392826:OMS392827 OWO392826:OWO392827 PGK392826:PGK392827 PQG392826:PQG392827 QAC392826:QAC392827 QJY392826:QJY392827 QTU392826:QTU392827 RDQ392826:RDQ392827 RNM392826:RNM392827 RXI392826:RXI392827 SHE392826:SHE392827 SRA392826:SRA392827 TAW392826:TAW392827 TKS392826:TKS392827 TUO392826:TUO392827 UEK392826:UEK392827 UOG392826:UOG392827 UYC392826:UYC392827 VHY392826:VHY392827 VRU392826:VRU392827 WBQ392826:WBQ392827 WLM392826:WLM392827 WVI392826:WVI392827 A458362:A458363 IW458362:IW458363 SS458362:SS458363 ACO458362:ACO458363 AMK458362:AMK458363 AWG458362:AWG458363 BGC458362:BGC458363 BPY458362:BPY458363 BZU458362:BZU458363 CJQ458362:CJQ458363 CTM458362:CTM458363 DDI458362:DDI458363 DNE458362:DNE458363 DXA458362:DXA458363 EGW458362:EGW458363 EQS458362:EQS458363 FAO458362:FAO458363 FKK458362:FKK458363 FUG458362:FUG458363 GEC458362:GEC458363 GNY458362:GNY458363 GXU458362:GXU458363 HHQ458362:HHQ458363 HRM458362:HRM458363 IBI458362:IBI458363 ILE458362:ILE458363 IVA458362:IVA458363 JEW458362:JEW458363 JOS458362:JOS458363 JYO458362:JYO458363 KIK458362:KIK458363 KSG458362:KSG458363 LCC458362:LCC458363 LLY458362:LLY458363 LVU458362:LVU458363 MFQ458362:MFQ458363 MPM458362:MPM458363 MZI458362:MZI458363 NJE458362:NJE458363 NTA458362:NTA458363 OCW458362:OCW458363 OMS458362:OMS458363 OWO458362:OWO458363 PGK458362:PGK458363 PQG458362:PQG458363 QAC458362:QAC458363 QJY458362:QJY458363 QTU458362:QTU458363 RDQ458362:RDQ458363 RNM458362:RNM458363 RXI458362:RXI458363 SHE458362:SHE458363 SRA458362:SRA458363 TAW458362:TAW458363 TKS458362:TKS458363 TUO458362:TUO458363 UEK458362:UEK458363 UOG458362:UOG458363 UYC458362:UYC458363 VHY458362:VHY458363 VRU458362:VRU458363 WBQ458362:WBQ458363 WLM458362:WLM458363 WVI458362:WVI458363 A523898:A523899 IW523898:IW523899 SS523898:SS523899 ACO523898:ACO523899 AMK523898:AMK523899 AWG523898:AWG523899 BGC523898:BGC523899 BPY523898:BPY523899 BZU523898:BZU523899 CJQ523898:CJQ523899 CTM523898:CTM523899 DDI523898:DDI523899 DNE523898:DNE523899 DXA523898:DXA523899 EGW523898:EGW523899 EQS523898:EQS523899 FAO523898:FAO523899 FKK523898:FKK523899 FUG523898:FUG523899 GEC523898:GEC523899 GNY523898:GNY523899 GXU523898:GXU523899 HHQ523898:HHQ523899 HRM523898:HRM523899 IBI523898:IBI523899 ILE523898:ILE523899 IVA523898:IVA523899 JEW523898:JEW523899 JOS523898:JOS523899 JYO523898:JYO523899 KIK523898:KIK523899 KSG523898:KSG523899 LCC523898:LCC523899 LLY523898:LLY523899 LVU523898:LVU523899 MFQ523898:MFQ523899 MPM523898:MPM523899 MZI523898:MZI523899 NJE523898:NJE523899 NTA523898:NTA523899 OCW523898:OCW523899 OMS523898:OMS523899 OWO523898:OWO523899 PGK523898:PGK523899 PQG523898:PQG523899 QAC523898:QAC523899 QJY523898:QJY523899 QTU523898:QTU523899 RDQ523898:RDQ523899 RNM523898:RNM523899 RXI523898:RXI523899 SHE523898:SHE523899 SRA523898:SRA523899 TAW523898:TAW523899 TKS523898:TKS523899 TUO523898:TUO523899 UEK523898:UEK523899 UOG523898:UOG523899 UYC523898:UYC523899 VHY523898:VHY523899 VRU523898:VRU523899 WBQ523898:WBQ523899 WLM523898:WLM523899 WVI523898:WVI523899 A589434:A589435 IW589434:IW589435 SS589434:SS589435 ACO589434:ACO589435 AMK589434:AMK589435 AWG589434:AWG589435 BGC589434:BGC589435 BPY589434:BPY589435 BZU589434:BZU589435 CJQ589434:CJQ589435 CTM589434:CTM589435 DDI589434:DDI589435 DNE589434:DNE589435 DXA589434:DXA589435 EGW589434:EGW589435 EQS589434:EQS589435 FAO589434:FAO589435 FKK589434:FKK589435 FUG589434:FUG589435 GEC589434:GEC589435 GNY589434:GNY589435 GXU589434:GXU589435 HHQ589434:HHQ589435 HRM589434:HRM589435 IBI589434:IBI589435 ILE589434:ILE589435 IVA589434:IVA589435 JEW589434:JEW589435 JOS589434:JOS589435 JYO589434:JYO589435 KIK589434:KIK589435 KSG589434:KSG589435 LCC589434:LCC589435 LLY589434:LLY589435 LVU589434:LVU589435 MFQ589434:MFQ589435 MPM589434:MPM589435 MZI589434:MZI589435 NJE589434:NJE589435 NTA589434:NTA589435 OCW589434:OCW589435 OMS589434:OMS589435 OWO589434:OWO589435 PGK589434:PGK589435 PQG589434:PQG589435 QAC589434:QAC589435 QJY589434:QJY589435 QTU589434:QTU589435 RDQ589434:RDQ589435 RNM589434:RNM589435 RXI589434:RXI589435 SHE589434:SHE589435 SRA589434:SRA589435 TAW589434:TAW589435 TKS589434:TKS589435 TUO589434:TUO589435 UEK589434:UEK589435 UOG589434:UOG589435 UYC589434:UYC589435 VHY589434:VHY589435 VRU589434:VRU589435 WBQ589434:WBQ589435 WLM589434:WLM589435 WVI589434:WVI589435 A654970:A654971 IW654970:IW654971 SS654970:SS654971 ACO654970:ACO654971 AMK654970:AMK654971 AWG654970:AWG654971 BGC654970:BGC654971 BPY654970:BPY654971 BZU654970:BZU654971 CJQ654970:CJQ654971 CTM654970:CTM654971 DDI654970:DDI654971 DNE654970:DNE654971 DXA654970:DXA654971 EGW654970:EGW654971 EQS654970:EQS654971 FAO654970:FAO654971 FKK654970:FKK654971 FUG654970:FUG654971 GEC654970:GEC654971 GNY654970:GNY654971 GXU654970:GXU654971 HHQ654970:HHQ654971 HRM654970:HRM654971 IBI654970:IBI654971 ILE654970:ILE654971 IVA654970:IVA654971 JEW654970:JEW654971 JOS654970:JOS654971 JYO654970:JYO654971 KIK654970:KIK654971 KSG654970:KSG654971 LCC654970:LCC654971 LLY654970:LLY654971 LVU654970:LVU654971 MFQ654970:MFQ654971 MPM654970:MPM654971 MZI654970:MZI654971 NJE654970:NJE654971 NTA654970:NTA654971 OCW654970:OCW654971 OMS654970:OMS654971 OWO654970:OWO654971 PGK654970:PGK654971 PQG654970:PQG654971 QAC654970:QAC654971 QJY654970:QJY654971 QTU654970:QTU654971 RDQ654970:RDQ654971 RNM654970:RNM654971 RXI654970:RXI654971 SHE654970:SHE654971 SRA654970:SRA654971 TAW654970:TAW654971 TKS654970:TKS654971 TUO654970:TUO654971 UEK654970:UEK654971 UOG654970:UOG654971 UYC654970:UYC654971 VHY654970:VHY654971 VRU654970:VRU654971 WBQ654970:WBQ654971 WLM654970:WLM654971 WVI654970:WVI654971 A720506:A720507 IW720506:IW720507 SS720506:SS720507 ACO720506:ACO720507 AMK720506:AMK720507 AWG720506:AWG720507 BGC720506:BGC720507 BPY720506:BPY720507 BZU720506:BZU720507 CJQ720506:CJQ720507 CTM720506:CTM720507 DDI720506:DDI720507 DNE720506:DNE720507 DXA720506:DXA720507 EGW720506:EGW720507 EQS720506:EQS720507 FAO720506:FAO720507 FKK720506:FKK720507 FUG720506:FUG720507 GEC720506:GEC720507 GNY720506:GNY720507 GXU720506:GXU720507 HHQ720506:HHQ720507 HRM720506:HRM720507 IBI720506:IBI720507 ILE720506:ILE720507 IVA720506:IVA720507 JEW720506:JEW720507 JOS720506:JOS720507 JYO720506:JYO720507 KIK720506:KIK720507 KSG720506:KSG720507 LCC720506:LCC720507 LLY720506:LLY720507 LVU720506:LVU720507 MFQ720506:MFQ720507 MPM720506:MPM720507 MZI720506:MZI720507 NJE720506:NJE720507 NTA720506:NTA720507 OCW720506:OCW720507 OMS720506:OMS720507 OWO720506:OWO720507 PGK720506:PGK720507 PQG720506:PQG720507 QAC720506:QAC720507 QJY720506:QJY720507 QTU720506:QTU720507 RDQ720506:RDQ720507 RNM720506:RNM720507 RXI720506:RXI720507 SHE720506:SHE720507 SRA720506:SRA720507 TAW720506:TAW720507 TKS720506:TKS720507 TUO720506:TUO720507 UEK720506:UEK720507 UOG720506:UOG720507 UYC720506:UYC720507 VHY720506:VHY720507 VRU720506:VRU720507 WBQ720506:WBQ720507 WLM720506:WLM720507 WVI720506:WVI720507 A786042:A786043 IW786042:IW786043 SS786042:SS786043 ACO786042:ACO786043 AMK786042:AMK786043 AWG786042:AWG786043 BGC786042:BGC786043 BPY786042:BPY786043 BZU786042:BZU786043 CJQ786042:CJQ786043 CTM786042:CTM786043 DDI786042:DDI786043 DNE786042:DNE786043 DXA786042:DXA786043 EGW786042:EGW786043 EQS786042:EQS786043 FAO786042:FAO786043 FKK786042:FKK786043 FUG786042:FUG786043 GEC786042:GEC786043 GNY786042:GNY786043 GXU786042:GXU786043 HHQ786042:HHQ786043 HRM786042:HRM786043 IBI786042:IBI786043 ILE786042:ILE786043 IVA786042:IVA786043 JEW786042:JEW786043 JOS786042:JOS786043 JYO786042:JYO786043 KIK786042:KIK786043 KSG786042:KSG786043 LCC786042:LCC786043 LLY786042:LLY786043 LVU786042:LVU786043 MFQ786042:MFQ786043 MPM786042:MPM786043 MZI786042:MZI786043 NJE786042:NJE786043 NTA786042:NTA786043 OCW786042:OCW786043 OMS786042:OMS786043 OWO786042:OWO786043 PGK786042:PGK786043 PQG786042:PQG786043 QAC786042:QAC786043 QJY786042:QJY786043 QTU786042:QTU786043 RDQ786042:RDQ786043 RNM786042:RNM786043 RXI786042:RXI786043 SHE786042:SHE786043 SRA786042:SRA786043 TAW786042:TAW786043 TKS786042:TKS786043 TUO786042:TUO786043 UEK786042:UEK786043 UOG786042:UOG786043 UYC786042:UYC786043 VHY786042:VHY786043 VRU786042:VRU786043 WBQ786042:WBQ786043 WLM786042:WLM786043 WVI786042:WVI786043 A851578:A851579 IW851578:IW851579 SS851578:SS851579 ACO851578:ACO851579 AMK851578:AMK851579 AWG851578:AWG851579 BGC851578:BGC851579 BPY851578:BPY851579 BZU851578:BZU851579 CJQ851578:CJQ851579 CTM851578:CTM851579 DDI851578:DDI851579 DNE851578:DNE851579 DXA851578:DXA851579 EGW851578:EGW851579 EQS851578:EQS851579 FAO851578:FAO851579 FKK851578:FKK851579 FUG851578:FUG851579 GEC851578:GEC851579 GNY851578:GNY851579 GXU851578:GXU851579 HHQ851578:HHQ851579 HRM851578:HRM851579 IBI851578:IBI851579 ILE851578:ILE851579 IVA851578:IVA851579 JEW851578:JEW851579 JOS851578:JOS851579 JYO851578:JYO851579 KIK851578:KIK851579 KSG851578:KSG851579 LCC851578:LCC851579 LLY851578:LLY851579 LVU851578:LVU851579 MFQ851578:MFQ851579 MPM851578:MPM851579 MZI851578:MZI851579 NJE851578:NJE851579 NTA851578:NTA851579 OCW851578:OCW851579 OMS851578:OMS851579 OWO851578:OWO851579 PGK851578:PGK851579 PQG851578:PQG851579 QAC851578:QAC851579 QJY851578:QJY851579 QTU851578:QTU851579 RDQ851578:RDQ851579 RNM851578:RNM851579 RXI851578:RXI851579 SHE851578:SHE851579 SRA851578:SRA851579 TAW851578:TAW851579 TKS851578:TKS851579 TUO851578:TUO851579 UEK851578:UEK851579 UOG851578:UOG851579 UYC851578:UYC851579 VHY851578:VHY851579 VRU851578:VRU851579 WBQ851578:WBQ851579 WLM851578:WLM851579 WVI851578:WVI851579 A917114:A917115 IW917114:IW917115 SS917114:SS917115 ACO917114:ACO917115 AMK917114:AMK917115 AWG917114:AWG917115 BGC917114:BGC917115 BPY917114:BPY917115 BZU917114:BZU917115 CJQ917114:CJQ917115 CTM917114:CTM917115 DDI917114:DDI917115 DNE917114:DNE917115 DXA917114:DXA917115 EGW917114:EGW917115 EQS917114:EQS917115 FAO917114:FAO917115 FKK917114:FKK917115 FUG917114:FUG917115 GEC917114:GEC917115 GNY917114:GNY917115 GXU917114:GXU917115 HHQ917114:HHQ917115 HRM917114:HRM917115 IBI917114:IBI917115 ILE917114:ILE917115 IVA917114:IVA917115 JEW917114:JEW917115 JOS917114:JOS917115 JYO917114:JYO917115 KIK917114:KIK917115 KSG917114:KSG917115 LCC917114:LCC917115 LLY917114:LLY917115 LVU917114:LVU917115 MFQ917114:MFQ917115 MPM917114:MPM917115 MZI917114:MZI917115 NJE917114:NJE917115 NTA917114:NTA917115 OCW917114:OCW917115 OMS917114:OMS917115 OWO917114:OWO917115 PGK917114:PGK917115 PQG917114:PQG917115 QAC917114:QAC917115 QJY917114:QJY917115 QTU917114:QTU917115 RDQ917114:RDQ917115 RNM917114:RNM917115 RXI917114:RXI917115 SHE917114:SHE917115 SRA917114:SRA917115 TAW917114:TAW917115 TKS917114:TKS917115 TUO917114:TUO917115 UEK917114:UEK917115 UOG917114:UOG917115 UYC917114:UYC917115 VHY917114:VHY917115 VRU917114:VRU917115 WBQ917114:WBQ917115 WLM917114:WLM917115 WVI917114:WVI917115 WVI3:WVI290 IW3:IW290 SS3:SS290 ACO3:ACO290 AMK3:AMK290 AWG3:AWG290 BGC3:BGC290 BPY3:BPY290 BZU3:BZU290 CJQ3:CJQ290 CTM3:CTM290 DDI3:DDI290 DNE3:DNE290 DXA3:DXA290 EGW3:EGW290 EQS3:EQS290 FAO3:FAO290 FKK3:FKK290 FUG3:FUG290 GEC3:GEC290 GNY3:GNY290 GXU3:GXU290 HHQ3:HHQ290 HRM3:HRM290 IBI3:IBI290 ILE3:ILE290 IVA3:IVA290 JEW3:JEW290 JOS3:JOS290 JYO3:JYO290 KIK3:KIK290 KSG3:KSG290 LCC3:LCC290 LLY3:LLY290 LVU3:LVU290 MFQ3:MFQ290 MPM3:MPM290 MZI3:MZI290 NJE3:NJE290 NTA3:NTA290 OCW3:OCW290 OMS3:OMS290 OWO3:OWO290 PGK3:PGK290 PQG3:PQG290 QAC3:QAC290 QJY3:QJY290 QTU3:QTU290 RDQ3:RDQ290 RNM3:RNM290 RXI3:RXI290 SHE3:SHE290 SRA3:SRA290 TAW3:TAW290 TKS3:TKS290 TUO3:TUO290 UEK3:UEK290 UOG3:UOG290 UYC3:UYC290 VHY3:VHY290 VRU3:VRU290 WBQ3:WBQ290 WLM3:WLM290 A3:A289" xr:uid="{00000000-0002-0000-0900-000011000000}"/>
    <dataValidation type="list" allowBlank="1" sqref="H4:H124" xr:uid="{00000000-0002-0000-0900-000012000000}">
      <formula1>Class</formula1>
    </dataValidation>
    <dataValidation type="list" allowBlank="1" sqref="H3" xr:uid="{00000000-0002-0000-0900-000013000000}">
      <formula1>Classes</formula1>
    </dataValidation>
    <dataValidation type="textLength" allowBlank="1" showInputMessage="1" showErrorMessage="1" promptTitle="NARRATIVE" prompt="This field can be used to provide a descriptive paragraph about the product or a detailed narrative. This field allos up to 4000 characters." sqref="I3:I290 JE3:JE290 TA3:TA290 ACW3:ACW290 AMS3:AMS290 AWO3:AWO290 BGK3:BGK290 BQG3:BQG290 CAC3:CAC290 CJY3:CJY290 CTU3:CTU290 DDQ3:DDQ290 DNM3:DNM290 DXI3:DXI290 EHE3:EHE290 ERA3:ERA290 FAW3:FAW290 FKS3:FKS290 FUO3:FUO290 GEK3:GEK290 GOG3:GOG290 GYC3:GYC290 HHY3:HHY290 HRU3:HRU290 IBQ3:IBQ290 ILM3:ILM290 IVI3:IVI290 JFE3:JFE290 JPA3:JPA290 JYW3:JYW290 KIS3:KIS290 KSO3:KSO290 LCK3:LCK290 LMG3:LMG290 LWC3:LWC290 MFY3:MFY290 MPU3:MPU290 MZQ3:MZQ290 NJM3:NJM290 NTI3:NTI290 ODE3:ODE290 ONA3:ONA290 OWW3:OWW290 PGS3:PGS290 PQO3:PQO290 QAK3:QAK290 QKG3:QKG290 QUC3:QUC290 RDY3:RDY290 RNU3:RNU290 RXQ3:RXQ290 SHM3:SHM290 SRI3:SRI290 TBE3:TBE290 TLA3:TLA290 TUW3:TUW290 UES3:UES290 UOO3:UOO290 UYK3:UYK290 VIG3:VIG290 VSC3:VSC290 WBY3:WBY290 WLU3:WLU290 WVQ3:WVQ290" xr:uid="{00000000-0002-0000-0900-000014000000}">
      <formula1>1</formula1>
      <formula2>4000</formula2>
    </dataValidation>
    <dataValidation type="textLength" operator="lessThanOrEqual" allowBlank="1" showErrorMessage="1" errorTitle="Exceeded Character Limit" error="You have exceeded the 23 character limit for this field.  Please limit your entry to 23 characters." promptTitle="Vendor Part Number" prompt="Vendor Part Number represents your internal product identifier. It MUST be unique and cannot be longer than 23 characters." sqref="WVJ3:WVJ290 IX3:IX290 ST3:ST290 ACP3:ACP290 AML3:AML290 AWH3:AWH290 BGD3:BGD290 BPZ3:BPZ290 BZV3:BZV290 CJR3:CJR290 CTN3:CTN290 DDJ3:DDJ290 DNF3:DNF290 DXB3:DXB290 EGX3:EGX290 EQT3:EQT290 FAP3:FAP290 FKL3:FKL290 FUH3:FUH290 GED3:GED290 GNZ3:GNZ290 GXV3:GXV290 HHR3:HHR290 HRN3:HRN290 IBJ3:IBJ290 ILF3:ILF290 IVB3:IVB290 JEX3:JEX290 JOT3:JOT290 JYP3:JYP290 KIL3:KIL290 KSH3:KSH290 LCD3:LCD290 LLZ3:LLZ290 LVV3:LVV290 MFR3:MFR290 MPN3:MPN290 MZJ3:MZJ290 NJF3:NJF290 NTB3:NTB290 OCX3:OCX290 OMT3:OMT290 OWP3:OWP290 PGL3:PGL290 PQH3:PQH290 QAD3:QAD290 QJZ3:QJZ290 QTV3:QTV290 RDR3:RDR290 RNN3:RNN290 RXJ3:RXJ290 SHF3:SHF290 SRB3:SRB290 TAX3:TAX290 TKT3:TKT290 TUP3:TUP290 UEL3:UEL290 UOH3:UOH290 UYD3:UYD290 VHZ3:VHZ290 VRV3:VRV290 WBR3:WBR290 WLN3:WLN290" xr:uid="{00000000-0002-0000-0900-000015000000}">
      <formula1>23</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E175"/>
  <sheetViews>
    <sheetView topLeftCell="B5" workbookViewId="0">
      <selection activeCell="E19" sqref="E19"/>
    </sheetView>
  </sheetViews>
  <sheetFormatPr baseColWidth="10" defaultColWidth="11" defaultRowHeight="16"/>
  <cols>
    <col min="1" max="1" width="29.6640625" hidden="1" customWidth="1"/>
    <col min="2" max="2" width="33.6640625" style="51" customWidth="1"/>
    <col min="3" max="3" width="40.1640625" customWidth="1"/>
    <col min="4" max="4" width="42.5" customWidth="1"/>
    <col min="5" max="5" width="50.5" customWidth="1"/>
  </cols>
  <sheetData>
    <row r="1" spans="1:5" s="55" customFormat="1" ht="45" customHeight="1">
      <c r="A1" s="55" t="s">
        <v>1442</v>
      </c>
      <c r="B1" s="141" t="s">
        <v>1443</v>
      </c>
      <c r="C1" s="141" t="s">
        <v>1444</v>
      </c>
      <c r="D1" s="141" t="s">
        <v>1445</v>
      </c>
      <c r="E1" s="143" t="s">
        <v>1446</v>
      </c>
    </row>
    <row r="2" spans="1:5" s="55" customFormat="1" ht="22" customHeight="1">
      <c r="B2" s="142"/>
      <c r="C2" s="142"/>
      <c r="D2" s="142"/>
      <c r="E2" s="143"/>
    </row>
    <row r="3" spans="1:5" s="56" customFormat="1" ht="102" customHeight="1">
      <c r="B3" s="57" t="s">
        <v>1447</v>
      </c>
      <c r="C3" s="57" t="s">
        <v>1448</v>
      </c>
      <c r="D3" s="58" t="s">
        <v>1449</v>
      </c>
      <c r="E3" s="57" t="s">
        <v>1450</v>
      </c>
    </row>
    <row r="4" spans="1:5">
      <c r="B4" s="59" t="s">
        <v>42</v>
      </c>
      <c r="C4" s="60" t="s">
        <v>1451</v>
      </c>
      <c r="D4" s="60">
        <v>0</v>
      </c>
      <c r="E4">
        <v>0</v>
      </c>
    </row>
    <row r="5" spans="1:5">
      <c r="B5" s="59" t="s">
        <v>43</v>
      </c>
      <c r="C5" s="60" t="s">
        <v>1451</v>
      </c>
      <c r="D5" s="60">
        <v>0</v>
      </c>
      <c r="E5">
        <v>0</v>
      </c>
    </row>
    <row r="6" spans="1:5">
      <c r="B6" s="59" t="s">
        <v>44</v>
      </c>
      <c r="C6" s="60" t="s">
        <v>1451</v>
      </c>
      <c r="D6" s="60">
        <v>0</v>
      </c>
      <c r="E6">
        <v>0</v>
      </c>
    </row>
    <row r="7" spans="1:5">
      <c r="B7" s="59" t="s">
        <v>45</v>
      </c>
      <c r="C7" s="60" t="s">
        <v>1451</v>
      </c>
      <c r="D7" s="60">
        <v>0</v>
      </c>
      <c r="E7">
        <v>0</v>
      </c>
    </row>
    <row r="8" spans="1:5">
      <c r="B8" s="59" t="s">
        <v>46</v>
      </c>
      <c r="C8" s="60" t="s">
        <v>1451</v>
      </c>
      <c r="D8" s="60">
        <v>0</v>
      </c>
      <c r="E8">
        <v>0</v>
      </c>
    </row>
    <row r="9" spans="1:5">
      <c r="B9" s="61" t="s">
        <v>1298</v>
      </c>
      <c r="C9" s="60" t="s">
        <v>1451</v>
      </c>
      <c r="D9" s="60">
        <v>0</v>
      </c>
      <c r="E9">
        <v>0</v>
      </c>
    </row>
    <row r="10" spans="1:5">
      <c r="B10" s="59" t="s">
        <v>47</v>
      </c>
      <c r="C10" s="60" t="s">
        <v>1451</v>
      </c>
      <c r="D10" s="60">
        <v>0</v>
      </c>
      <c r="E10">
        <v>0</v>
      </c>
    </row>
    <row r="11" spans="1:5">
      <c r="B11" s="59" t="s">
        <v>48</v>
      </c>
      <c r="C11" s="60" t="s">
        <v>1451</v>
      </c>
      <c r="D11" s="60">
        <v>0</v>
      </c>
      <c r="E11">
        <v>0</v>
      </c>
    </row>
    <row r="12" spans="1:5">
      <c r="B12" s="59" t="s">
        <v>49</v>
      </c>
      <c r="C12" s="60" t="s">
        <v>1451</v>
      </c>
      <c r="D12" s="60">
        <v>0</v>
      </c>
      <c r="E12">
        <v>0</v>
      </c>
    </row>
    <row r="13" spans="1:5">
      <c r="B13" s="59" t="s">
        <v>50</v>
      </c>
      <c r="C13" s="60" t="s">
        <v>1451</v>
      </c>
      <c r="D13" s="60">
        <v>0</v>
      </c>
      <c r="E13">
        <v>0</v>
      </c>
    </row>
    <row r="14" spans="1:5">
      <c r="B14" s="59" t="s">
        <v>51</v>
      </c>
      <c r="C14" s="60" t="s">
        <v>1451</v>
      </c>
      <c r="D14" s="60">
        <v>0</v>
      </c>
      <c r="E14">
        <v>0</v>
      </c>
    </row>
    <row r="15" spans="1:5">
      <c r="B15" s="59" t="s">
        <v>52</v>
      </c>
      <c r="C15" s="60" t="s">
        <v>1451</v>
      </c>
      <c r="D15" s="60">
        <v>0</v>
      </c>
      <c r="E15">
        <v>0</v>
      </c>
    </row>
    <row r="16" spans="1:5">
      <c r="B16" s="59" t="s">
        <v>53</v>
      </c>
      <c r="C16" s="60" t="s">
        <v>1451</v>
      </c>
      <c r="D16" s="60">
        <v>0</v>
      </c>
      <c r="E16">
        <v>0</v>
      </c>
    </row>
    <row r="17" spans="2:5">
      <c r="B17" s="59" t="s">
        <v>54</v>
      </c>
      <c r="C17" s="60" t="s">
        <v>1451</v>
      </c>
      <c r="D17" s="60">
        <v>0</v>
      </c>
      <c r="E17">
        <v>0</v>
      </c>
    </row>
    <row r="18" spans="2:5">
      <c r="B18" s="27" t="s">
        <v>149</v>
      </c>
      <c r="C18" s="60" t="s">
        <v>1451</v>
      </c>
      <c r="D18" s="60">
        <v>0</v>
      </c>
      <c r="E18">
        <v>0</v>
      </c>
    </row>
    <row r="19" spans="2:5">
      <c r="B19" s="59" t="s">
        <v>55</v>
      </c>
      <c r="C19" s="60" t="s">
        <v>1451</v>
      </c>
      <c r="D19" s="60">
        <v>0</v>
      </c>
      <c r="E19">
        <v>0</v>
      </c>
    </row>
    <row r="20" spans="2:5">
      <c r="B20" s="59" t="s">
        <v>56</v>
      </c>
      <c r="C20" s="60" t="s">
        <v>1451</v>
      </c>
      <c r="D20" s="60">
        <v>0</v>
      </c>
      <c r="E20">
        <v>0</v>
      </c>
    </row>
    <row r="21" spans="2:5">
      <c r="B21" s="59" t="s">
        <v>57</v>
      </c>
      <c r="C21" s="60" t="s">
        <v>1451</v>
      </c>
      <c r="D21" s="60">
        <v>0</v>
      </c>
      <c r="E21">
        <v>0</v>
      </c>
    </row>
    <row r="22" spans="2:5">
      <c r="B22" s="59" t="s">
        <v>28</v>
      </c>
      <c r="C22" s="60" t="s">
        <v>1451</v>
      </c>
      <c r="D22" s="60">
        <v>0</v>
      </c>
      <c r="E22">
        <v>0</v>
      </c>
    </row>
    <row r="23" spans="2:5">
      <c r="B23" s="59" t="s">
        <v>24</v>
      </c>
      <c r="C23" s="60" t="s">
        <v>1451</v>
      </c>
      <c r="D23" s="60">
        <v>0</v>
      </c>
      <c r="E23">
        <v>0</v>
      </c>
    </row>
    <row r="24" spans="2:5">
      <c r="B24" s="59" t="s">
        <v>4</v>
      </c>
      <c r="C24" s="60" t="s">
        <v>1451</v>
      </c>
      <c r="D24" s="60">
        <v>0</v>
      </c>
      <c r="E24">
        <v>0</v>
      </c>
    </row>
    <row r="25" spans="2:5">
      <c r="B25" s="59" t="s">
        <v>58</v>
      </c>
      <c r="C25" s="60" t="s">
        <v>1451</v>
      </c>
      <c r="D25" s="60">
        <v>0</v>
      </c>
      <c r="E25">
        <v>0</v>
      </c>
    </row>
    <row r="26" spans="2:5">
      <c r="B26" s="59" t="s">
        <v>59</v>
      </c>
      <c r="C26" s="60" t="s">
        <v>1451</v>
      </c>
      <c r="D26" s="60">
        <v>0</v>
      </c>
      <c r="E26">
        <v>0</v>
      </c>
    </row>
    <row r="27" spans="2:5">
      <c r="B27" s="59" t="s">
        <v>23</v>
      </c>
      <c r="C27" s="60" t="s">
        <v>1451</v>
      </c>
      <c r="D27" s="60">
        <v>0</v>
      </c>
      <c r="E27">
        <v>0</v>
      </c>
    </row>
    <row r="28" spans="2:5">
      <c r="B28" s="59" t="s">
        <v>924</v>
      </c>
      <c r="C28" s="60" t="s">
        <v>1451</v>
      </c>
      <c r="D28" s="60">
        <v>0</v>
      </c>
      <c r="E28">
        <v>0</v>
      </c>
    </row>
    <row r="29" spans="2:5">
      <c r="B29" s="59" t="s">
        <v>60</v>
      </c>
      <c r="C29" s="60" t="s">
        <v>1451</v>
      </c>
      <c r="D29" s="60">
        <v>0</v>
      </c>
      <c r="E29">
        <v>0</v>
      </c>
    </row>
    <row r="30" spans="2:5">
      <c r="B30" s="59" t="s">
        <v>61</v>
      </c>
      <c r="C30" s="60" t="s">
        <v>1451</v>
      </c>
      <c r="D30" s="60">
        <v>0</v>
      </c>
      <c r="E30">
        <v>0</v>
      </c>
    </row>
    <row r="31" spans="2:5">
      <c r="B31" s="59" t="s">
        <v>925</v>
      </c>
      <c r="C31" s="60" t="s">
        <v>1451</v>
      </c>
      <c r="D31" s="60">
        <v>0</v>
      </c>
      <c r="E31">
        <v>0</v>
      </c>
    </row>
    <row r="32" spans="2:5">
      <c r="B32" s="59" t="s">
        <v>62</v>
      </c>
      <c r="C32" s="60" t="s">
        <v>1451</v>
      </c>
      <c r="D32" s="60">
        <v>0</v>
      </c>
      <c r="E32">
        <v>0</v>
      </c>
    </row>
    <row r="33" spans="2:5">
      <c r="B33" s="59" t="s">
        <v>63</v>
      </c>
      <c r="C33" s="60" t="s">
        <v>1451</v>
      </c>
      <c r="D33" s="60">
        <v>0</v>
      </c>
      <c r="E33">
        <v>0</v>
      </c>
    </row>
    <row r="34" spans="2:5">
      <c r="B34" s="59" t="s">
        <v>926</v>
      </c>
      <c r="C34" s="60" t="s">
        <v>1451</v>
      </c>
      <c r="D34" s="60">
        <v>0</v>
      </c>
      <c r="E34">
        <v>0</v>
      </c>
    </row>
    <row r="35" spans="2:5">
      <c r="B35" s="59" t="s">
        <v>64</v>
      </c>
      <c r="C35" s="60" t="s">
        <v>1451</v>
      </c>
      <c r="D35" s="60">
        <v>0</v>
      </c>
      <c r="E35">
        <v>0</v>
      </c>
    </row>
    <row r="36" spans="2:5">
      <c r="B36" s="59" t="s">
        <v>65</v>
      </c>
      <c r="C36" s="60" t="s">
        <v>1451</v>
      </c>
      <c r="D36" s="60">
        <v>0</v>
      </c>
      <c r="E36">
        <v>0</v>
      </c>
    </row>
    <row r="37" spans="2:5">
      <c r="B37" s="59" t="s">
        <v>66</v>
      </c>
      <c r="C37" s="60" t="s">
        <v>1451</v>
      </c>
      <c r="D37" s="60">
        <v>0</v>
      </c>
      <c r="E37">
        <v>0</v>
      </c>
    </row>
    <row r="38" spans="2:5">
      <c r="B38" s="59" t="s">
        <v>67</v>
      </c>
      <c r="C38" s="60" t="s">
        <v>1451</v>
      </c>
      <c r="D38" s="60">
        <v>0</v>
      </c>
      <c r="E38">
        <v>0</v>
      </c>
    </row>
    <row r="39" spans="2:5">
      <c r="B39" s="59" t="s">
        <v>68</v>
      </c>
      <c r="C39" s="60" t="s">
        <v>1451</v>
      </c>
      <c r="D39" s="60">
        <v>0</v>
      </c>
      <c r="E39">
        <v>0</v>
      </c>
    </row>
    <row r="40" spans="2:5">
      <c r="B40" s="59" t="s">
        <v>69</v>
      </c>
      <c r="C40" s="60" t="s">
        <v>1451</v>
      </c>
      <c r="D40" s="60">
        <v>0</v>
      </c>
      <c r="E40">
        <v>0</v>
      </c>
    </row>
    <row r="41" spans="2:5">
      <c r="B41" s="59" t="s">
        <v>70</v>
      </c>
      <c r="C41" s="60" t="s">
        <v>1451</v>
      </c>
      <c r="D41" s="60">
        <v>0</v>
      </c>
      <c r="E41">
        <v>0</v>
      </c>
    </row>
    <row r="42" spans="2:5">
      <c r="B42" s="59" t="s">
        <v>71</v>
      </c>
      <c r="C42" s="60" t="s">
        <v>1451</v>
      </c>
      <c r="D42" s="60">
        <v>0</v>
      </c>
      <c r="E42">
        <v>0</v>
      </c>
    </row>
    <row r="43" spans="2:5">
      <c r="B43" s="59" t="s">
        <v>15</v>
      </c>
      <c r="C43" s="60" t="s">
        <v>1451</v>
      </c>
      <c r="D43" s="60">
        <v>0</v>
      </c>
      <c r="E43">
        <v>0</v>
      </c>
    </row>
    <row r="44" spans="2:5">
      <c r="B44" s="59" t="s">
        <v>72</v>
      </c>
      <c r="C44" s="60" t="s">
        <v>1451</v>
      </c>
      <c r="D44" s="60">
        <v>0</v>
      </c>
      <c r="E44">
        <v>0</v>
      </c>
    </row>
    <row r="45" spans="2:5">
      <c r="B45" s="59" t="s">
        <v>17</v>
      </c>
      <c r="C45" s="60" t="s">
        <v>1451</v>
      </c>
      <c r="D45" s="60">
        <v>0</v>
      </c>
      <c r="E45">
        <v>0</v>
      </c>
    </row>
    <row r="46" spans="2:5">
      <c r="B46" s="59" t="s">
        <v>73</v>
      </c>
      <c r="C46" s="60" t="s">
        <v>1451</v>
      </c>
      <c r="D46" s="60">
        <v>0</v>
      </c>
      <c r="E46">
        <v>0</v>
      </c>
    </row>
    <row r="47" spans="2:5">
      <c r="B47" s="59" t="s">
        <v>5</v>
      </c>
      <c r="C47" s="60" t="s">
        <v>1451</v>
      </c>
      <c r="D47" s="60">
        <v>0</v>
      </c>
      <c r="E47">
        <v>0</v>
      </c>
    </row>
    <row r="48" spans="2:5">
      <c r="B48" s="59" t="s">
        <v>74</v>
      </c>
      <c r="C48" s="60" t="s">
        <v>1451</v>
      </c>
      <c r="D48" s="60">
        <v>0</v>
      </c>
      <c r="E48">
        <v>0</v>
      </c>
    </row>
    <row r="49" spans="2:5">
      <c r="B49" s="59" t="s">
        <v>75</v>
      </c>
      <c r="C49" s="60" t="s">
        <v>1451</v>
      </c>
      <c r="D49" s="60">
        <v>0</v>
      </c>
      <c r="E49">
        <v>0</v>
      </c>
    </row>
    <row r="50" spans="2:5">
      <c r="B50" s="59" t="s">
        <v>76</v>
      </c>
      <c r="C50" s="60" t="s">
        <v>1451</v>
      </c>
      <c r="D50" s="60">
        <v>0</v>
      </c>
      <c r="E50">
        <v>0</v>
      </c>
    </row>
    <row r="51" spans="2:5">
      <c r="B51" s="59" t="s">
        <v>927</v>
      </c>
      <c r="C51" s="60" t="s">
        <v>1451</v>
      </c>
      <c r="D51" s="60">
        <v>0</v>
      </c>
      <c r="E51">
        <v>0</v>
      </c>
    </row>
    <row r="52" spans="2:5">
      <c r="B52" s="59" t="s">
        <v>77</v>
      </c>
      <c r="C52" s="60" t="s">
        <v>1451</v>
      </c>
      <c r="D52" s="60">
        <v>0</v>
      </c>
      <c r="E52">
        <v>0</v>
      </c>
    </row>
    <row r="53" spans="2:5">
      <c r="B53" s="59" t="s">
        <v>78</v>
      </c>
      <c r="C53" s="60" t="s">
        <v>1451</v>
      </c>
      <c r="D53" s="60">
        <v>0</v>
      </c>
      <c r="E53">
        <v>0</v>
      </c>
    </row>
    <row r="54" spans="2:5">
      <c r="B54" s="59" t="s">
        <v>928</v>
      </c>
      <c r="C54" s="60" t="s">
        <v>1451</v>
      </c>
      <c r="D54" s="60">
        <v>0</v>
      </c>
      <c r="E54">
        <v>0</v>
      </c>
    </row>
    <row r="55" spans="2:5">
      <c r="B55" s="59" t="s">
        <v>929</v>
      </c>
      <c r="C55" s="60" t="s">
        <v>1451</v>
      </c>
      <c r="D55" s="60">
        <v>0</v>
      </c>
      <c r="E55">
        <v>0</v>
      </c>
    </row>
    <row r="56" spans="2:5">
      <c r="B56" s="59" t="s">
        <v>14</v>
      </c>
      <c r="C56" s="60" t="s">
        <v>1451</v>
      </c>
      <c r="D56" s="60">
        <v>0</v>
      </c>
      <c r="E56">
        <v>0</v>
      </c>
    </row>
    <row r="57" spans="2:5">
      <c r="B57" s="59" t="s">
        <v>79</v>
      </c>
      <c r="C57" s="60" t="s">
        <v>1451</v>
      </c>
      <c r="D57" s="60">
        <v>0</v>
      </c>
      <c r="E57">
        <v>0</v>
      </c>
    </row>
    <row r="58" spans="2:5">
      <c r="B58" s="59" t="s">
        <v>80</v>
      </c>
      <c r="C58" s="60" t="s">
        <v>1451</v>
      </c>
      <c r="D58" s="60">
        <v>0</v>
      </c>
      <c r="E58">
        <v>0</v>
      </c>
    </row>
    <row r="59" spans="2:5">
      <c r="B59" s="59" t="s">
        <v>81</v>
      </c>
      <c r="C59" s="60" t="s">
        <v>1451</v>
      </c>
      <c r="D59" s="60">
        <v>0</v>
      </c>
      <c r="E59">
        <v>0</v>
      </c>
    </row>
    <row r="60" spans="2:5">
      <c r="B60" s="59" t="s">
        <v>41</v>
      </c>
      <c r="C60" s="60" t="s">
        <v>1451</v>
      </c>
      <c r="D60" s="60">
        <v>0</v>
      </c>
      <c r="E60">
        <v>0</v>
      </c>
    </row>
    <row r="61" spans="2:5">
      <c r="B61" s="59" t="s">
        <v>82</v>
      </c>
      <c r="C61" s="60" t="s">
        <v>1451</v>
      </c>
      <c r="D61" s="60">
        <v>0</v>
      </c>
      <c r="E61">
        <v>0</v>
      </c>
    </row>
    <row r="62" spans="2:5">
      <c r="B62" s="59" t="s">
        <v>83</v>
      </c>
      <c r="C62" s="60" t="s">
        <v>1451</v>
      </c>
      <c r="D62" s="60">
        <v>0</v>
      </c>
      <c r="E62">
        <v>0</v>
      </c>
    </row>
    <row r="63" spans="2:5">
      <c r="B63" s="59" t="s">
        <v>22</v>
      </c>
      <c r="C63" s="60" t="s">
        <v>1451</v>
      </c>
      <c r="D63" s="60">
        <v>0</v>
      </c>
      <c r="E63">
        <v>0</v>
      </c>
    </row>
    <row r="64" spans="2:5">
      <c r="B64" s="59" t="s">
        <v>84</v>
      </c>
      <c r="C64" s="60" t="s">
        <v>1451</v>
      </c>
      <c r="D64" s="60">
        <v>0</v>
      </c>
      <c r="E64">
        <v>0</v>
      </c>
    </row>
    <row r="65" spans="2:5">
      <c r="B65" s="59" t="s">
        <v>85</v>
      </c>
      <c r="C65" s="60" t="s">
        <v>1451</v>
      </c>
      <c r="D65" s="60">
        <v>0</v>
      </c>
      <c r="E65">
        <v>0</v>
      </c>
    </row>
    <row r="66" spans="2:5">
      <c r="B66" s="59" t="s">
        <v>86</v>
      </c>
      <c r="C66" s="60" t="s">
        <v>1451</v>
      </c>
      <c r="D66" s="60">
        <v>0</v>
      </c>
      <c r="E66">
        <v>0</v>
      </c>
    </row>
    <row r="67" spans="2:5">
      <c r="B67" s="59" t="s">
        <v>87</v>
      </c>
      <c r="C67" s="60" t="s">
        <v>1451</v>
      </c>
      <c r="D67" s="60">
        <v>0</v>
      </c>
      <c r="E67">
        <v>0</v>
      </c>
    </row>
    <row r="68" spans="2:5">
      <c r="B68" s="59" t="s">
        <v>16</v>
      </c>
      <c r="C68" s="60" t="s">
        <v>1451</v>
      </c>
      <c r="D68" s="60">
        <v>0</v>
      </c>
      <c r="E68">
        <v>0</v>
      </c>
    </row>
    <row r="69" spans="2:5">
      <c r="B69" s="59" t="s">
        <v>88</v>
      </c>
      <c r="C69" s="60" t="s">
        <v>1451</v>
      </c>
      <c r="D69" s="60">
        <v>0</v>
      </c>
      <c r="E69">
        <v>0</v>
      </c>
    </row>
    <row r="70" spans="2:5">
      <c r="B70" s="59" t="s">
        <v>32</v>
      </c>
      <c r="C70" s="60" t="s">
        <v>1451</v>
      </c>
      <c r="D70" s="60">
        <v>0</v>
      </c>
      <c r="E70">
        <v>0</v>
      </c>
    </row>
    <row r="71" spans="2:5">
      <c r="B71" s="59" t="s">
        <v>38</v>
      </c>
      <c r="C71" s="60" t="s">
        <v>1451</v>
      </c>
      <c r="D71" s="60">
        <v>0</v>
      </c>
      <c r="E71">
        <v>0</v>
      </c>
    </row>
    <row r="72" spans="2:5">
      <c r="B72" s="59" t="s">
        <v>3</v>
      </c>
      <c r="C72" s="60" t="s">
        <v>1451</v>
      </c>
      <c r="D72" s="60">
        <v>0</v>
      </c>
      <c r="E72">
        <v>0</v>
      </c>
    </row>
    <row r="73" spans="2:5">
      <c r="B73" s="59" t="s">
        <v>20</v>
      </c>
      <c r="C73" s="60" t="s">
        <v>1451</v>
      </c>
      <c r="D73" s="60">
        <v>0</v>
      </c>
      <c r="E73">
        <v>0</v>
      </c>
    </row>
    <row r="74" spans="2:5">
      <c r="B74" s="59" t="s">
        <v>89</v>
      </c>
      <c r="C74" s="60" t="s">
        <v>1451</v>
      </c>
      <c r="D74" s="60">
        <v>0</v>
      </c>
      <c r="E74">
        <v>0</v>
      </c>
    </row>
    <row r="75" spans="2:5">
      <c r="B75" s="59" t="s">
        <v>8</v>
      </c>
      <c r="C75" s="60" t="s">
        <v>1451</v>
      </c>
      <c r="D75" s="60">
        <v>0</v>
      </c>
      <c r="E75">
        <v>0</v>
      </c>
    </row>
    <row r="76" spans="2:5">
      <c r="B76" s="59" t="s">
        <v>90</v>
      </c>
      <c r="C76" s="60" t="s">
        <v>1451</v>
      </c>
      <c r="D76" s="60">
        <v>0</v>
      </c>
      <c r="E76">
        <v>0</v>
      </c>
    </row>
    <row r="77" spans="2:5">
      <c r="B77" s="59" t="s">
        <v>91</v>
      </c>
      <c r="C77" s="60" t="s">
        <v>1451</v>
      </c>
      <c r="D77" s="60">
        <v>0</v>
      </c>
      <c r="E77">
        <v>0</v>
      </c>
    </row>
    <row r="78" spans="2:5">
      <c r="B78" s="59" t="s">
        <v>92</v>
      </c>
      <c r="C78" s="60" t="s">
        <v>1451</v>
      </c>
      <c r="D78" s="60">
        <v>0</v>
      </c>
      <c r="E78">
        <v>0</v>
      </c>
    </row>
    <row r="79" spans="2:5">
      <c r="B79" s="59" t="s">
        <v>13</v>
      </c>
      <c r="C79" s="60" t="s">
        <v>1451</v>
      </c>
      <c r="D79" s="60">
        <v>0</v>
      </c>
      <c r="E79">
        <v>0</v>
      </c>
    </row>
    <row r="80" spans="2:5">
      <c r="B80" s="59" t="s">
        <v>12</v>
      </c>
      <c r="C80" s="60" t="s">
        <v>1451</v>
      </c>
      <c r="D80" s="60">
        <v>0</v>
      </c>
      <c r="E80">
        <v>0</v>
      </c>
    </row>
    <row r="81" spans="2:5">
      <c r="B81" s="59" t="s">
        <v>931</v>
      </c>
      <c r="C81" s="60" t="s">
        <v>1451</v>
      </c>
      <c r="D81" s="60">
        <v>0</v>
      </c>
      <c r="E81">
        <v>0</v>
      </c>
    </row>
    <row r="82" spans="2:5">
      <c r="B82" s="59" t="s">
        <v>21</v>
      </c>
      <c r="C82" s="60" t="s">
        <v>1451</v>
      </c>
      <c r="D82" s="60">
        <v>0</v>
      </c>
      <c r="E82">
        <v>0</v>
      </c>
    </row>
    <row r="83" spans="2:5">
      <c r="B83" s="59" t="s">
        <v>93</v>
      </c>
      <c r="C83" s="60" t="s">
        <v>1451</v>
      </c>
      <c r="D83" s="60">
        <v>0</v>
      </c>
      <c r="E83">
        <v>0</v>
      </c>
    </row>
    <row r="84" spans="2:5">
      <c r="B84" s="59" t="s">
        <v>932</v>
      </c>
      <c r="C84" s="60" t="s">
        <v>1451</v>
      </c>
      <c r="D84" s="60">
        <v>0</v>
      </c>
      <c r="E84">
        <v>0</v>
      </c>
    </row>
    <row r="85" spans="2:5">
      <c r="B85" s="59" t="s">
        <v>94</v>
      </c>
      <c r="C85" s="60" t="s">
        <v>1451</v>
      </c>
      <c r="D85" s="60">
        <v>0</v>
      </c>
      <c r="E85">
        <v>0</v>
      </c>
    </row>
    <row r="86" spans="2:5">
      <c r="B86" s="59" t="s">
        <v>933</v>
      </c>
      <c r="C86" s="60" t="s">
        <v>1451</v>
      </c>
      <c r="D86" s="60">
        <v>0</v>
      </c>
      <c r="E86">
        <v>0</v>
      </c>
    </row>
    <row r="87" spans="2:5">
      <c r="B87" s="59" t="s">
        <v>934</v>
      </c>
      <c r="C87" s="60" t="s">
        <v>1451</v>
      </c>
      <c r="D87" s="60">
        <v>0</v>
      </c>
      <c r="E87">
        <v>0</v>
      </c>
    </row>
    <row r="88" spans="2:5">
      <c r="B88" s="59" t="s">
        <v>11</v>
      </c>
      <c r="C88" s="60" t="s">
        <v>1451</v>
      </c>
      <c r="D88" s="60">
        <v>0</v>
      </c>
      <c r="E88">
        <v>0</v>
      </c>
    </row>
    <row r="89" spans="2:5">
      <c r="B89" s="59" t="s">
        <v>36</v>
      </c>
      <c r="C89" s="60" t="s">
        <v>1451</v>
      </c>
      <c r="D89" s="60">
        <v>0</v>
      </c>
      <c r="E89">
        <v>0</v>
      </c>
    </row>
    <row r="90" spans="2:5">
      <c r="B90" s="59" t="s">
        <v>7</v>
      </c>
      <c r="C90" s="60" t="s">
        <v>1451</v>
      </c>
      <c r="D90" s="60">
        <v>0</v>
      </c>
      <c r="E90">
        <v>0</v>
      </c>
    </row>
    <row r="91" spans="2:5">
      <c r="B91" s="59" t="s">
        <v>30</v>
      </c>
      <c r="C91" s="60" t="s">
        <v>1451</v>
      </c>
      <c r="D91" s="60">
        <v>0</v>
      </c>
      <c r="E91">
        <v>0</v>
      </c>
    </row>
    <row r="92" spans="2:5">
      <c r="B92" s="59" t="s">
        <v>33</v>
      </c>
      <c r="C92" s="60" t="s">
        <v>1451</v>
      </c>
      <c r="D92" s="60">
        <v>0</v>
      </c>
      <c r="E92">
        <v>0</v>
      </c>
    </row>
    <row r="93" spans="2:5">
      <c r="B93" s="59" t="s">
        <v>95</v>
      </c>
      <c r="C93" s="60" t="s">
        <v>1451</v>
      </c>
      <c r="D93" s="60">
        <v>0</v>
      </c>
      <c r="E93">
        <v>0</v>
      </c>
    </row>
    <row r="94" spans="2:5">
      <c r="B94" s="59" t="s">
        <v>18</v>
      </c>
      <c r="C94" s="60" t="s">
        <v>1451</v>
      </c>
      <c r="D94" s="60">
        <v>0</v>
      </c>
      <c r="E94">
        <v>0</v>
      </c>
    </row>
    <row r="95" spans="2:5">
      <c r="B95" s="59" t="s">
        <v>35</v>
      </c>
      <c r="C95" s="60" t="s">
        <v>1451</v>
      </c>
      <c r="D95" s="60">
        <v>0</v>
      </c>
      <c r="E95">
        <v>0</v>
      </c>
    </row>
    <row r="96" spans="2:5">
      <c r="B96" s="59" t="s">
        <v>19</v>
      </c>
      <c r="C96" s="60" t="s">
        <v>1451</v>
      </c>
      <c r="D96" s="60">
        <v>0</v>
      </c>
      <c r="E96">
        <v>0</v>
      </c>
    </row>
    <row r="97" spans="2:5">
      <c r="B97" s="59" t="s">
        <v>96</v>
      </c>
      <c r="C97" s="60" t="s">
        <v>1451</v>
      </c>
      <c r="D97" s="60">
        <v>0</v>
      </c>
      <c r="E97">
        <v>0</v>
      </c>
    </row>
    <row r="98" spans="2:5">
      <c r="B98" s="59" t="s">
        <v>97</v>
      </c>
      <c r="C98" s="60" t="s">
        <v>1451</v>
      </c>
      <c r="D98" s="60">
        <v>0</v>
      </c>
      <c r="E98">
        <v>0</v>
      </c>
    </row>
    <row r="99" spans="2:5">
      <c r="B99" s="59" t="s">
        <v>98</v>
      </c>
      <c r="C99" s="60" t="s">
        <v>1451</v>
      </c>
      <c r="D99" s="60">
        <v>0</v>
      </c>
      <c r="E99">
        <v>0</v>
      </c>
    </row>
    <row r="100" spans="2:5">
      <c r="B100" s="59" t="s">
        <v>99</v>
      </c>
      <c r="C100" s="60" t="s">
        <v>1451</v>
      </c>
      <c r="D100" s="60">
        <v>0</v>
      </c>
      <c r="E100">
        <v>0</v>
      </c>
    </row>
    <row r="101" spans="2:5">
      <c r="B101" s="59" t="s">
        <v>39</v>
      </c>
      <c r="C101" s="60" t="s">
        <v>1451</v>
      </c>
      <c r="D101" s="60">
        <v>0</v>
      </c>
      <c r="E101">
        <v>0</v>
      </c>
    </row>
    <row r="102" spans="2:5">
      <c r="B102" s="59" t="s">
        <v>146</v>
      </c>
      <c r="C102" s="60" t="s">
        <v>1451</v>
      </c>
      <c r="D102" s="60">
        <v>0</v>
      </c>
      <c r="E102">
        <v>0</v>
      </c>
    </row>
    <row r="103" spans="2:5">
      <c r="B103" s="59" t="s">
        <v>37</v>
      </c>
      <c r="C103" s="60" t="s">
        <v>1451</v>
      </c>
      <c r="D103" s="60">
        <v>0</v>
      </c>
      <c r="E103">
        <v>0</v>
      </c>
    </row>
    <row r="104" spans="2:5">
      <c r="B104" s="59" t="s">
        <v>6</v>
      </c>
      <c r="C104" s="60" t="s">
        <v>1451</v>
      </c>
      <c r="D104" s="60">
        <v>0</v>
      </c>
      <c r="E104">
        <v>0</v>
      </c>
    </row>
    <row r="105" spans="2:5">
      <c r="B105" s="59" t="s">
        <v>100</v>
      </c>
      <c r="C105" s="60" t="s">
        <v>1451</v>
      </c>
      <c r="D105" s="60">
        <v>0</v>
      </c>
      <c r="E105">
        <v>0</v>
      </c>
    </row>
    <row r="106" spans="2:5">
      <c r="B106" s="59" t="s">
        <v>34</v>
      </c>
      <c r="C106" s="60" t="s">
        <v>1451</v>
      </c>
      <c r="D106" s="60">
        <v>0</v>
      </c>
      <c r="E106">
        <v>0</v>
      </c>
    </row>
    <row r="107" spans="2:5">
      <c r="B107" s="59" t="s">
        <v>40</v>
      </c>
      <c r="C107" s="60" t="s">
        <v>1451</v>
      </c>
      <c r="D107" s="60">
        <v>0</v>
      </c>
      <c r="E107">
        <v>0</v>
      </c>
    </row>
    <row r="108" spans="2:5">
      <c r="B108" s="59" t="s">
        <v>27</v>
      </c>
      <c r="C108" s="60" t="s">
        <v>1451</v>
      </c>
      <c r="D108" s="60">
        <v>0</v>
      </c>
      <c r="E108">
        <v>0</v>
      </c>
    </row>
    <row r="109" spans="2:5">
      <c r="B109" s="59" t="s">
        <v>10</v>
      </c>
      <c r="C109" s="60" t="s">
        <v>1451</v>
      </c>
      <c r="D109" s="60">
        <v>0</v>
      </c>
      <c r="E109">
        <v>0</v>
      </c>
    </row>
    <row r="110" spans="2:5">
      <c r="B110" s="59" t="s">
        <v>101</v>
      </c>
      <c r="C110" s="60" t="s">
        <v>1451</v>
      </c>
      <c r="D110" s="60">
        <v>0</v>
      </c>
      <c r="E110">
        <v>0</v>
      </c>
    </row>
    <row r="111" spans="2:5">
      <c r="B111" s="59" t="s">
        <v>25</v>
      </c>
      <c r="C111" s="60" t="s">
        <v>1451</v>
      </c>
      <c r="D111" s="60">
        <v>0</v>
      </c>
      <c r="E111">
        <v>0</v>
      </c>
    </row>
    <row r="112" spans="2:5">
      <c r="B112" s="59" t="s">
        <v>102</v>
      </c>
      <c r="C112" s="60" t="s">
        <v>1451</v>
      </c>
      <c r="D112" s="60">
        <v>0</v>
      </c>
      <c r="E112">
        <v>0</v>
      </c>
    </row>
    <row r="113" spans="2:5">
      <c r="B113" s="59" t="s">
        <v>103</v>
      </c>
      <c r="C113" s="60" t="s">
        <v>1451</v>
      </c>
      <c r="D113" s="60">
        <v>0</v>
      </c>
      <c r="E113">
        <v>0</v>
      </c>
    </row>
    <row r="114" spans="2:5">
      <c r="B114" s="59" t="s">
        <v>104</v>
      </c>
      <c r="C114" s="60" t="s">
        <v>1451</v>
      </c>
      <c r="D114" s="60">
        <v>0</v>
      </c>
      <c r="E114">
        <v>0</v>
      </c>
    </row>
    <row r="115" spans="2:5">
      <c r="B115" s="59" t="s">
        <v>105</v>
      </c>
      <c r="C115" s="60" t="s">
        <v>1451</v>
      </c>
      <c r="D115" s="60">
        <v>0</v>
      </c>
      <c r="E115">
        <v>0</v>
      </c>
    </row>
    <row r="116" spans="2:5">
      <c r="B116" s="59" t="s">
        <v>106</v>
      </c>
      <c r="C116" s="60" t="s">
        <v>1451</v>
      </c>
      <c r="D116" s="60">
        <v>0</v>
      </c>
      <c r="E116">
        <v>0</v>
      </c>
    </row>
    <row r="117" spans="2:5">
      <c r="B117" s="59" t="s">
        <v>107</v>
      </c>
      <c r="C117" s="60" t="s">
        <v>1451</v>
      </c>
      <c r="D117" s="60">
        <v>0</v>
      </c>
      <c r="E117">
        <v>0</v>
      </c>
    </row>
    <row r="118" spans="2:5">
      <c r="B118" s="59" t="s">
        <v>108</v>
      </c>
      <c r="C118" s="60" t="s">
        <v>1451</v>
      </c>
      <c r="D118" s="60">
        <v>0</v>
      </c>
      <c r="E118">
        <v>0</v>
      </c>
    </row>
    <row r="119" spans="2:5">
      <c r="B119" s="59" t="s">
        <v>109</v>
      </c>
      <c r="C119" s="60" t="s">
        <v>1451</v>
      </c>
      <c r="D119" s="60">
        <v>0</v>
      </c>
      <c r="E119">
        <v>0</v>
      </c>
    </row>
    <row r="120" spans="2:5">
      <c r="B120" s="59" t="s">
        <v>110</v>
      </c>
      <c r="C120" s="60" t="s">
        <v>1451</v>
      </c>
      <c r="D120" s="60">
        <v>0</v>
      </c>
      <c r="E120">
        <v>0</v>
      </c>
    </row>
    <row r="121" spans="2:5">
      <c r="B121" s="59" t="s">
        <v>111</v>
      </c>
      <c r="C121" s="60" t="s">
        <v>1451</v>
      </c>
      <c r="D121" s="60">
        <v>0</v>
      </c>
      <c r="E121">
        <v>0</v>
      </c>
    </row>
    <row r="122" spans="2:5">
      <c r="B122" s="59" t="s">
        <v>112</v>
      </c>
      <c r="C122" s="60" t="s">
        <v>1451</v>
      </c>
      <c r="D122" s="60">
        <v>0</v>
      </c>
      <c r="E122">
        <v>0</v>
      </c>
    </row>
    <row r="123" spans="2:5">
      <c r="B123" s="59" t="s">
        <v>113</v>
      </c>
      <c r="C123" s="60" t="s">
        <v>1451</v>
      </c>
      <c r="D123" s="60">
        <v>0</v>
      </c>
      <c r="E123">
        <v>0</v>
      </c>
    </row>
    <row r="124" spans="2:5">
      <c r="B124" s="59" t="s">
        <v>114</v>
      </c>
      <c r="C124" s="60" t="s">
        <v>1451</v>
      </c>
      <c r="D124" s="60">
        <v>0</v>
      </c>
      <c r="E124">
        <v>0</v>
      </c>
    </row>
    <row r="125" spans="2:5">
      <c r="B125" s="59" t="s">
        <v>115</v>
      </c>
      <c r="C125" s="60" t="s">
        <v>1451</v>
      </c>
      <c r="D125" s="60">
        <v>0</v>
      </c>
      <c r="E125">
        <v>0</v>
      </c>
    </row>
    <row r="126" spans="2:5">
      <c r="B126" s="59" t="s">
        <v>1452</v>
      </c>
      <c r="C126" s="60" t="s">
        <v>1451</v>
      </c>
      <c r="D126" s="60">
        <v>0</v>
      </c>
      <c r="E126">
        <v>0</v>
      </c>
    </row>
    <row r="127" spans="2:5">
      <c r="B127" s="59" t="s">
        <v>116</v>
      </c>
      <c r="C127" s="60" t="s">
        <v>1451</v>
      </c>
      <c r="D127" s="60">
        <v>0</v>
      </c>
      <c r="E127">
        <v>0</v>
      </c>
    </row>
    <row r="128" spans="2:5">
      <c r="B128" s="59" t="s">
        <v>117</v>
      </c>
      <c r="C128" s="60" t="s">
        <v>1451</v>
      </c>
      <c r="D128" s="60">
        <v>0</v>
      </c>
      <c r="E128">
        <v>0</v>
      </c>
    </row>
    <row r="129" spans="2:5">
      <c r="B129" s="59" t="s">
        <v>118</v>
      </c>
      <c r="C129" s="60" t="s">
        <v>1451</v>
      </c>
      <c r="D129" s="60">
        <v>0</v>
      </c>
      <c r="E129">
        <v>0</v>
      </c>
    </row>
    <row r="130" spans="2:5">
      <c r="B130" s="59" t="s">
        <v>119</v>
      </c>
      <c r="C130" s="60" t="s">
        <v>1451</v>
      </c>
      <c r="D130" s="60">
        <v>0</v>
      </c>
      <c r="E130">
        <v>0</v>
      </c>
    </row>
    <row r="131" spans="2:5">
      <c r="B131" s="59" t="s">
        <v>120</v>
      </c>
      <c r="C131" s="60" t="s">
        <v>1451</v>
      </c>
      <c r="D131" s="60">
        <v>0</v>
      </c>
      <c r="E131">
        <v>0</v>
      </c>
    </row>
    <row r="132" spans="2:5">
      <c r="B132" s="59" t="s">
        <v>121</v>
      </c>
      <c r="C132" s="60" t="s">
        <v>1451</v>
      </c>
      <c r="D132" s="60">
        <v>0</v>
      </c>
      <c r="E132">
        <v>0</v>
      </c>
    </row>
    <row r="133" spans="2:5">
      <c r="B133" s="59" t="s">
        <v>122</v>
      </c>
      <c r="C133" s="60" t="s">
        <v>1451</v>
      </c>
      <c r="D133" s="60">
        <v>0</v>
      </c>
      <c r="E133">
        <v>0</v>
      </c>
    </row>
    <row r="134" spans="2:5">
      <c r="B134" s="59" t="s">
        <v>1</v>
      </c>
      <c r="C134" s="60" t="s">
        <v>1451</v>
      </c>
      <c r="D134" s="60">
        <v>0</v>
      </c>
      <c r="E134">
        <v>0</v>
      </c>
    </row>
    <row r="135" spans="2:5">
      <c r="B135" s="59" t="s">
        <v>123</v>
      </c>
      <c r="C135" s="60" t="s">
        <v>1451</v>
      </c>
      <c r="D135" s="60">
        <v>0</v>
      </c>
      <c r="E135">
        <v>0</v>
      </c>
    </row>
    <row r="136" spans="2:5">
      <c r="B136" s="59" t="s">
        <v>124</v>
      </c>
      <c r="C136" s="60" t="s">
        <v>1451</v>
      </c>
      <c r="D136" s="60">
        <v>0</v>
      </c>
      <c r="E136">
        <v>0</v>
      </c>
    </row>
    <row r="137" spans="2:5">
      <c r="B137" s="59" t="s">
        <v>125</v>
      </c>
      <c r="C137" s="60" t="s">
        <v>1451</v>
      </c>
      <c r="D137" s="60">
        <v>0</v>
      </c>
      <c r="E137">
        <v>0</v>
      </c>
    </row>
    <row r="138" spans="2:5">
      <c r="B138" s="59" t="s">
        <v>9</v>
      </c>
      <c r="C138" s="60" t="s">
        <v>1451</v>
      </c>
      <c r="D138" s="60">
        <v>0</v>
      </c>
      <c r="E138">
        <v>0</v>
      </c>
    </row>
    <row r="139" spans="2:5">
      <c r="B139" s="59" t="s">
        <v>126</v>
      </c>
      <c r="C139" s="60" t="s">
        <v>1451</v>
      </c>
      <c r="D139" s="60">
        <v>0</v>
      </c>
      <c r="E139">
        <v>0</v>
      </c>
    </row>
    <row r="140" spans="2:5">
      <c r="B140" s="59" t="s">
        <v>29</v>
      </c>
      <c r="C140" s="60" t="s">
        <v>1451</v>
      </c>
      <c r="D140" s="60">
        <v>0</v>
      </c>
      <c r="E140">
        <v>0</v>
      </c>
    </row>
    <row r="141" spans="2:5">
      <c r="B141" s="59" t="s">
        <v>26</v>
      </c>
      <c r="C141" s="60" t="s">
        <v>1451</v>
      </c>
      <c r="D141" s="60">
        <v>0</v>
      </c>
      <c r="E141">
        <v>0</v>
      </c>
    </row>
    <row r="142" spans="2:5">
      <c r="B142" s="59" t="s">
        <v>2</v>
      </c>
      <c r="C142" s="60" t="s">
        <v>1451</v>
      </c>
      <c r="D142" s="60">
        <v>0</v>
      </c>
      <c r="E142">
        <v>0</v>
      </c>
    </row>
    <row r="143" spans="2:5">
      <c r="B143" s="59" t="s">
        <v>127</v>
      </c>
      <c r="C143" s="60" t="s">
        <v>1451</v>
      </c>
      <c r="D143" s="60">
        <v>0</v>
      </c>
      <c r="E143">
        <v>0</v>
      </c>
    </row>
    <row r="144" spans="2:5">
      <c r="B144" s="59" t="s">
        <v>147</v>
      </c>
      <c r="C144" s="60" t="s">
        <v>1451</v>
      </c>
      <c r="D144" s="60">
        <v>0</v>
      </c>
      <c r="E144">
        <v>0</v>
      </c>
    </row>
    <row r="145" spans="2:5">
      <c r="B145" s="59" t="s">
        <v>148</v>
      </c>
      <c r="C145" s="60" t="s">
        <v>1451</v>
      </c>
      <c r="D145" s="60">
        <v>0</v>
      </c>
      <c r="E145">
        <v>0</v>
      </c>
    </row>
    <row r="146" spans="2:5">
      <c r="B146" s="59" t="s">
        <v>31</v>
      </c>
      <c r="C146" s="60" t="s">
        <v>1451</v>
      </c>
      <c r="D146" s="60">
        <v>0</v>
      </c>
      <c r="E146">
        <v>0</v>
      </c>
    </row>
    <row r="147" spans="2:5">
      <c r="B147" s="59" t="s">
        <v>128</v>
      </c>
      <c r="C147" s="60" t="s">
        <v>1451</v>
      </c>
      <c r="D147" s="60">
        <v>0</v>
      </c>
      <c r="E147">
        <v>0</v>
      </c>
    </row>
    <row r="148" spans="2:5">
      <c r="B148" s="59" t="s">
        <v>129</v>
      </c>
      <c r="C148" s="60" t="s">
        <v>1451</v>
      </c>
      <c r="D148" s="60">
        <v>0</v>
      </c>
      <c r="E148">
        <v>0</v>
      </c>
    </row>
    <row r="149" spans="2:5">
      <c r="B149" s="59" t="s">
        <v>130</v>
      </c>
      <c r="C149" s="60" t="s">
        <v>1451</v>
      </c>
      <c r="D149" s="60">
        <v>0</v>
      </c>
      <c r="E149">
        <v>0</v>
      </c>
    </row>
    <row r="150" spans="2:5">
      <c r="B150" s="59" t="s">
        <v>131</v>
      </c>
      <c r="C150" s="60" t="s">
        <v>1451</v>
      </c>
      <c r="D150" s="60">
        <v>0</v>
      </c>
      <c r="E150">
        <v>0</v>
      </c>
    </row>
    <row r="151" spans="2:5">
      <c r="B151" s="59" t="s">
        <v>132</v>
      </c>
      <c r="C151" s="60" t="s">
        <v>1451</v>
      </c>
      <c r="D151" s="60">
        <v>0</v>
      </c>
      <c r="E151">
        <v>0</v>
      </c>
    </row>
    <row r="152" spans="2:5">
      <c r="B152" s="59" t="s">
        <v>133</v>
      </c>
      <c r="C152" s="60" t="s">
        <v>1451</v>
      </c>
      <c r="D152" s="60">
        <v>0</v>
      </c>
      <c r="E152">
        <v>0</v>
      </c>
    </row>
    <row r="153" spans="2:5">
      <c r="B153" s="59" t="s">
        <v>134</v>
      </c>
      <c r="C153" s="60" t="s">
        <v>1451</v>
      </c>
      <c r="D153" s="60">
        <v>0</v>
      </c>
      <c r="E153">
        <v>0</v>
      </c>
    </row>
    <row r="154" spans="2:5">
      <c r="B154" s="59" t="s">
        <v>135</v>
      </c>
      <c r="C154" s="60" t="s">
        <v>1451</v>
      </c>
      <c r="D154" s="60">
        <v>15</v>
      </c>
      <c r="E154">
        <v>0</v>
      </c>
    </row>
    <row r="155" spans="2:5">
      <c r="B155" s="59" t="s">
        <v>136</v>
      </c>
      <c r="C155" s="60" t="s">
        <v>1451</v>
      </c>
      <c r="D155" s="60">
        <v>30</v>
      </c>
      <c r="E155">
        <v>0</v>
      </c>
    </row>
    <row r="156" spans="2:5">
      <c r="B156" s="59" t="s">
        <v>137</v>
      </c>
      <c r="C156" s="60" t="s">
        <v>1451</v>
      </c>
      <c r="D156" s="60">
        <v>7</v>
      </c>
      <c r="E156">
        <v>0</v>
      </c>
    </row>
    <row r="157" spans="2:5">
      <c r="B157" s="59" t="s">
        <v>138</v>
      </c>
      <c r="C157" s="60" t="s">
        <v>1451</v>
      </c>
      <c r="D157" s="60">
        <v>7</v>
      </c>
      <c r="E157">
        <v>0</v>
      </c>
    </row>
    <row r="158" spans="2:5">
      <c r="B158" s="59" t="s">
        <v>139</v>
      </c>
      <c r="C158" s="60" t="s">
        <v>1451</v>
      </c>
      <c r="D158" s="60">
        <v>12</v>
      </c>
      <c r="E158">
        <v>0</v>
      </c>
    </row>
    <row r="159" spans="2:5">
      <c r="B159" s="59" t="s">
        <v>140</v>
      </c>
      <c r="C159" s="60" t="s">
        <v>1451</v>
      </c>
      <c r="D159" s="60">
        <v>0</v>
      </c>
      <c r="E159">
        <v>0</v>
      </c>
    </row>
    <row r="160" spans="2:5">
      <c r="B160" s="59" t="s">
        <v>141</v>
      </c>
      <c r="C160" s="60" t="s">
        <v>1451</v>
      </c>
      <c r="D160" s="60">
        <v>0</v>
      </c>
      <c r="E160">
        <v>0</v>
      </c>
    </row>
    <row r="161" spans="2:5">
      <c r="B161" s="59" t="s">
        <v>142</v>
      </c>
      <c r="C161" s="60" t="s">
        <v>1451</v>
      </c>
      <c r="D161" s="60">
        <v>0</v>
      </c>
      <c r="E161">
        <v>0</v>
      </c>
    </row>
    <row r="162" spans="2:5">
      <c r="B162" s="59" t="s">
        <v>143</v>
      </c>
      <c r="C162" s="60" t="s">
        <v>1451</v>
      </c>
      <c r="D162" s="60">
        <v>0</v>
      </c>
      <c r="E162">
        <v>0</v>
      </c>
    </row>
    <row r="163" spans="2:5">
      <c r="B163" s="59" t="s">
        <v>144</v>
      </c>
      <c r="C163" s="60" t="s">
        <v>1451</v>
      </c>
      <c r="D163" s="60">
        <v>0</v>
      </c>
      <c r="E163">
        <v>0</v>
      </c>
    </row>
    <row r="164" spans="2:5">
      <c r="B164" s="59" t="s">
        <v>145</v>
      </c>
      <c r="C164" s="60" t="s">
        <v>1451</v>
      </c>
      <c r="D164" s="60">
        <v>0</v>
      </c>
      <c r="E164">
        <v>0</v>
      </c>
    </row>
    <row r="165" spans="2:5">
      <c r="B165" s="59" t="s">
        <v>135</v>
      </c>
      <c r="C165" s="60" t="s">
        <v>1451</v>
      </c>
      <c r="D165" s="60">
        <v>0</v>
      </c>
      <c r="E165">
        <v>0</v>
      </c>
    </row>
    <row r="166" spans="2:5">
      <c r="B166" s="59" t="s">
        <v>136</v>
      </c>
      <c r="C166" s="60" t="s">
        <v>1451</v>
      </c>
      <c r="D166" s="60">
        <v>0</v>
      </c>
      <c r="E166">
        <v>0</v>
      </c>
    </row>
    <row r="167" spans="2:5">
      <c r="B167" s="59" t="s">
        <v>137</v>
      </c>
      <c r="C167" s="60" t="s">
        <v>1451</v>
      </c>
      <c r="D167" s="60">
        <v>0</v>
      </c>
      <c r="E167">
        <v>0</v>
      </c>
    </row>
    <row r="168" spans="2:5">
      <c r="B168" s="59" t="s">
        <v>138</v>
      </c>
      <c r="C168" s="60" t="s">
        <v>1451</v>
      </c>
      <c r="D168" s="60">
        <v>0</v>
      </c>
      <c r="E168">
        <v>0</v>
      </c>
    </row>
    <row r="169" spans="2:5">
      <c r="B169" s="59" t="s">
        <v>139</v>
      </c>
      <c r="C169" s="60" t="s">
        <v>1451</v>
      </c>
      <c r="D169" s="60">
        <v>0</v>
      </c>
      <c r="E169">
        <v>0</v>
      </c>
    </row>
    <row r="170" spans="2:5">
      <c r="B170" s="59" t="s">
        <v>140</v>
      </c>
      <c r="C170" s="60" t="s">
        <v>1451</v>
      </c>
      <c r="D170" s="60">
        <v>0</v>
      </c>
      <c r="E170">
        <v>0</v>
      </c>
    </row>
    <row r="171" spans="2:5">
      <c r="B171" s="59" t="s">
        <v>141</v>
      </c>
      <c r="C171" s="60" t="s">
        <v>1451</v>
      </c>
      <c r="D171" s="60">
        <v>0</v>
      </c>
      <c r="E171">
        <v>0</v>
      </c>
    </row>
    <row r="172" spans="2:5">
      <c r="B172" s="59" t="s">
        <v>142</v>
      </c>
      <c r="C172" s="60" t="s">
        <v>1451</v>
      </c>
      <c r="D172" s="60">
        <v>0</v>
      </c>
      <c r="E172">
        <v>0</v>
      </c>
    </row>
    <row r="173" spans="2:5">
      <c r="B173" s="59" t="s">
        <v>143</v>
      </c>
      <c r="C173" s="60" t="s">
        <v>1451</v>
      </c>
      <c r="D173" s="60">
        <v>0</v>
      </c>
      <c r="E173">
        <v>0</v>
      </c>
    </row>
    <row r="174" spans="2:5">
      <c r="B174" s="59" t="s">
        <v>144</v>
      </c>
      <c r="C174" s="60" t="s">
        <v>1451</v>
      </c>
      <c r="D174" s="60">
        <v>0</v>
      </c>
      <c r="E174">
        <v>0</v>
      </c>
    </row>
    <row r="175" spans="2:5">
      <c r="B175" s="59" t="s">
        <v>145</v>
      </c>
      <c r="C175" s="60" t="s">
        <v>1451</v>
      </c>
      <c r="D175" s="60">
        <v>0</v>
      </c>
      <c r="E175">
        <v>0</v>
      </c>
    </row>
  </sheetData>
  <mergeCells count="4">
    <mergeCell ref="B1:B2"/>
    <mergeCell ref="C1:C2"/>
    <mergeCell ref="D1:D2"/>
    <mergeCell ref="E1:E2"/>
  </mergeCells>
  <conditionalFormatting sqref="B175">
    <cfRule type="duplicateValues" dxfId="1" priority="2"/>
  </conditionalFormatting>
  <conditionalFormatting sqref="B164">
    <cfRule type="duplicateValues" dxfId="0" priority="1"/>
  </conditionalFormatting>
  <dataValidations count="1">
    <dataValidation type="list" allowBlank="1" showInputMessage="1" showErrorMessage="1" sqref="C4:C1048576" xr:uid="{00000000-0002-0000-0A00-000000000000}">
      <formula1>"AC (Standard Availability Code), AA (Item Has Infinite Inventory)"</formula1>
    </dataValidation>
  </dataValidations>
  <pageMargins left="0.75" right="0.75" top="1" bottom="1" header="0.5" footer="0.5"/>
  <pageSetup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Master</vt:lpstr>
      <vt:lpstr>Setup</vt:lpstr>
      <vt:lpstr>Fanatics</vt:lpstr>
      <vt:lpstr>Target</vt:lpstr>
      <vt:lpstr>Groupon</vt:lpstr>
      <vt:lpstr>BBB</vt:lpstr>
      <vt:lpstr>ShopHQ</vt:lpstr>
      <vt:lpstr>HSN</vt:lpstr>
      <vt:lpstr>Hibbits</vt:lpstr>
      <vt:lpstr>Belk</vt:lpstr>
      <vt:lpstr>Walmart</vt:lpstr>
      <vt:lpstr>Setup!Print_Area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 Last</dc:creator>
  <cp:lastModifiedBy>Josh Last</cp:lastModifiedBy>
  <cp:lastPrinted>2020-02-16T18:26:08Z</cp:lastPrinted>
  <dcterms:created xsi:type="dcterms:W3CDTF">2019-11-17T20:02:24Z</dcterms:created>
  <dcterms:modified xsi:type="dcterms:W3CDTF">2020-09-02T20:56:59Z</dcterms:modified>
</cp:coreProperties>
</file>